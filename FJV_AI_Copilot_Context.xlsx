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23e58cfe2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61ab64508a9748f6"/>
    <x:sheet xmlns:r="http://schemas.openxmlformats.org/officeDocument/2006/relationships" name="01_KPI_Context" sheetId="2" r:id="R1be993aa812f4e40"/>
    <x:sheet xmlns:r="http://schemas.openxmlformats.org/officeDocument/2006/relationships" name="02_Related_KPIs" sheetId="3" r:id="Rad71eccd84834a9e"/>
    <x:sheet xmlns:r="http://schemas.openxmlformats.org/officeDocument/2006/relationships" name="03_AI_Context_Packets" sheetId="4" r:id="Ra965027bcad64735"/>
    <x:sheet xmlns:r="http://schemas.openxmlformats.org/officeDocument/2006/relationships" name="04_Objective_Graph" sheetId="5" r:id="Re2050cb8300044f7"/>
    <x:sheet xmlns:r="http://schemas.openxmlformats.org/officeDocument/2006/relationships" name="05_Value_Dictionary" sheetId="6" r:id="R7772c70e2314454c"/>
    <x:sheet xmlns:r="http://schemas.openxmlformats.org/officeDocument/2006/relationships" name="06_Dummy_Values_Long" sheetId="7" r:id="Re02e7535389d483e"/>
    <x:sheet xmlns:r="http://schemas.openxmlformats.org/officeDocument/2006/relationships" name="07_Prompt_Template" sheetId="8" r:id="R3c6dca457483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</x:cellXfs>
  <x:cellStyles count="1">
    <x:cellStyle name="Normal" xfId="0"/>
  </x:cellStyles>
  <x:dxfs count="4"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6bcaca4824ec0" /><Relationship Type="http://schemas.openxmlformats.org/officeDocument/2006/relationships/theme" Target="/xl/theme/theme1.xml" Id="R669bcedf93444c27" /><Relationship Type="http://schemas.openxmlformats.org/officeDocument/2006/relationships/sharedStrings" Target="/xl/sharedStrings.xml" Id="R45cfa8b8b0f74b8a" /><Relationship Type="http://schemas.openxmlformats.org/officeDocument/2006/relationships/worksheet" Target="/xl/worksheets/sheet1.xml" Id="R61ab64508a9748f6" /><Relationship Type="http://schemas.openxmlformats.org/officeDocument/2006/relationships/worksheet" Target="/xl/worksheets/sheet2.xml" Id="R1be993aa812f4e40" /><Relationship Type="http://schemas.openxmlformats.org/officeDocument/2006/relationships/worksheet" Target="/xl/worksheets/sheet3.xml" Id="Rad71eccd84834a9e" /><Relationship Type="http://schemas.openxmlformats.org/officeDocument/2006/relationships/worksheet" Target="/xl/worksheets/sheet4.xml" Id="Ra965027bcad64735" /><Relationship Type="http://schemas.openxmlformats.org/officeDocument/2006/relationships/worksheet" Target="/xl/worksheets/sheet5.xml" Id="Re2050cb8300044f7" /><Relationship Type="http://schemas.openxmlformats.org/officeDocument/2006/relationships/worksheet" Target="/xl/worksheets/sheet6.xml" Id="R7772c70e2314454c" /><Relationship Type="http://schemas.openxmlformats.org/officeDocument/2006/relationships/worksheet" Target="/xl/worksheets/sheet7.xml" Id="Re02e7535389d483e" /><Relationship Type="http://schemas.openxmlformats.org/officeDocument/2006/relationships/worksheet" Target="/xl/worksheets/sheet8.xml" Id="R3c6dca4574834ccb" /></Relationships>
</file>

<file path=xl/tables/table1.xml><?xml version="1.0" encoding="utf-8"?>
<x:table xmlns:x="http://schemas.openxmlformats.org/spreadsheetml/2006/main" id="1" name="KPIContextTable" displayName="KPIContextTable" ref="A1:AI104" headerRowCount="1" totalsRowCount="0" totalsRowShown="0">
  <x:tableColumns count="35">
    <x:tableColumn id="1" name="KPI_ID"/>
    <x:tableColumn id="2" name="KPI_Name"/>
    <x:tableColumn id="3" name="Department"/>
    <x:tableColumn id="4" name="BSC_Perspective"/>
    <x:tableColumn id="5" name="Strategic_Objective"/>
    <x:tableColumn id="6" name="KPI_Tier"/>
    <x:tableColumn id="7" name="Purpose"/>
    <x:tableColumn id="8" name="Formula"/>
    <x:tableColumn id="9" name="Formula_Type"/>
    <x:tableColumn id="10" name="Unit"/>
    <x:tableColumn id="11" name="Direction"/>
    <x:tableColumn id="12" name="2023"/>
    <x:tableColumn id="13" name="2024"/>
    <x:tableColumn id="14" name="2025"/>
    <x:tableColumn id="15" name="2026"/>
    <x:tableColumn id="16" name="Baseline_3Y"/>
    <x:tableColumn id="17" name="Target_2026"/>
    <x:tableColumn id="18" name="Warning_Threshold"/>
    <x:tableColumn id="19" name="Critical_Threshold"/>
    <x:tableColumn id="20" name="Performance_Change"/>
    <x:tableColumn id="21" name="Trend_Health"/>
    <x:tableColumn id="22" name="Owner"/>
    <x:tableColumn id="23" name="Frequency"/>
    <x:tableColumn id="24" name="Data_Source"/>
    <x:tableColumn id="25" name="Evidence"/>
    <x:tableColumn id="26" name="Leading_Lagging"/>
    <x:tableColumn id="27" name="Collection_Method"/>
    <x:tableColumn id="28" name="Static_Required_Action"/>
    <x:tableColumn id="29" name="Anti_Gaming_Control"/>
    <x:tableColumn id="30" name="Input_IDs"/>
    <x:tableColumn id="31" name="Underlying_Values_2026"/>
    <x:tableColumn id="32" name="Top_Related_KPI_IDs"/>
    <x:tableColumn id="33" name="Relationship_Method"/>
    <x:tableColumn id="34" name="Synthetic_Data"/>
    <x:tableColumn id="35" name="AI_Us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edKPIsTable" displayName="RelatedKPIsTable" ref="A1:P825" headerRowCount="1" totalsRowCount="0" totalsRowShown="0">
  <x:tableColumns count="16">
    <x:tableColumn id="1" name="Focal_KPI_ID"/>
    <x:tableColumn id="2" name="Focal_KPI_Name"/>
    <x:tableColumn id="3" name="Rank"/>
    <x:tableColumn id="4" name="Related_KPI_ID"/>
    <x:tableColumn id="5" name="Related_KPI_Name"/>
    <x:tableColumn id="6" name="Relation_Type"/>
    <x:tableColumn id="7" name="Relation_Score"/>
    <x:tableColumn id="8" name="Related_Department"/>
    <x:tableColumn id="9" name="Related_BSC_Perspective"/>
    <x:tableColumn id="10" name="Related_Strategic_Objective"/>
    <x:tableColumn id="11" name="Related_2026"/>
    <x:tableColumn id="12" name="Related_Baseline_3Y"/>
    <x:tableColumn id="13" name="Related_Performance_Change"/>
    <x:tableColumn id="14" name="Related_Trend_Health"/>
    <x:tableColumn id="15" name="Why_Included"/>
    <x:tableColumn id="16" name="Synthetic_Da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ContextPacketsTable" displayName="AIContextPacketsTable" ref="A1:H104" headerRowCount="1" totalsRowCount="0" totalsRowShown="0">
  <x:tableColumns count="8">
    <x:tableColumn id="1" name="KPI_ID"/>
    <x:tableColumn id="2" name="KPI_Name"/>
    <x:tableColumn id="3" name="Department"/>
    <x:tableColumn id="4" name="Strategic_Objective"/>
    <x:tableColumn id="5" name="Prompt_Ready_Context"/>
    <x:tableColumn id="6" name="Suggested_User_Query"/>
    <x:tableColumn id="7" name="Required_Output_Structure"/>
    <x:tableColumn id="8" name="Use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bjectiveGraphTable" displayName="ObjectiveGraphTable" ref="A1:H39" headerRowCount="1" totalsRowCount="0" totalsRowShown="0">
  <x:tableColumns count="8">
    <x:tableColumn id="1" name="From_Objective"/>
    <x:tableColumn id="2" name="From_Name"/>
    <x:tableColumn id="3" name="To_Objective"/>
    <x:tableColumn id="4" name="To_Name"/>
    <x:tableColumn id="5" name="Relation_Type"/>
    <x:tableColumn id="6" name="Why_AI_Should_Consider_It"/>
    <x:tableColumn id="7" name="Retrieval_Weight"/>
    <x:tableColumn id="8" name="Causality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lueDictionaryTable" displayName="ValueDictionaryTable" ref="A1:L184" headerRowCount="1" totalsRowCount="0" totalsRowShown="0">
  <x:tableColumns count="12">
    <x:tableColumn id="1" name="Value_ID"/>
    <x:tableColumn id="2" name="KPI_ID"/>
    <x:tableColumn id="3" name="Área / módulo"/>
    <x:tableColumn id="4" name="Perspectiva"/>
    <x:tableColumn id="5" name="KPI"/>
    <x:tableColumn id="6" name="Input_Role"/>
    <x:tableColumn id="7" name="Value_Name"/>
    <x:tableColumn id="8" name="Unit"/>
    <x:tableColumn id="9" name="Formula_Type"/>
    <x:tableColumn id="10" name="Target_2026"/>
    <x:tableColumn id="11" name="Canonical_Field"/>
    <x:tableColumn id="12" name="Is_Synthetic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ummyValuesLongTable" displayName="DummyValuesLongTable" ref="A1:J733" headerRowCount="1" totalsRowCount="0" totalsRowShown="0">
  <x:tableColumns count="10">
    <x:tableColumn id="1" name="Value_ID"/>
    <x:tableColumn id="2" name="Year"/>
    <x:tableColumn id="3" name="Área / módulo"/>
    <x:tableColumn id="4" name="KPI_ID"/>
    <x:tableColumn id="5" name="Input_Role"/>
    <x:tableColumn id="6" name="Value_Name"/>
    <x:tableColumn id="7" name="Unit"/>
    <x:tableColumn id="8" name="Value"/>
    <x:tableColumn id="9" name="Period_Status"/>
    <x:tableColumn id="10" name="Is_Syntheti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7d26bd59f041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3b9194b6bf48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ee915b743241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dbc6072e7140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71e6e27ec44a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3b7144c8d44ac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28" hidden="0" customWidth="1"/>
    <x:col min="4" max="4" width="58" hidden="0" customWidth="1"/>
    <x:col min="5" max="5" width="4" hidden="0" customWidth="1"/>
    <x:col min="6" max="6" width="30" hidden="0" customWidth="1"/>
    <x:col min="7" max="7" width="28" hidden="0" customWidth="1"/>
    <x:col min="8" max="8" width="4" hidden="0" customWidth="1"/>
  </x:cols>
  <x:sheetData>
    <x:row r="1" ht="30" customHeight="1">
      <x:c r="A1" s="30" t="str">
        <x:v>FJV AI Copilot Context — Prototype Dataset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 ht="40" customHeight="1">
      <x:c r="A3" s="32" t="str">
        <x:v>Purpose: provide a clean retrieval layer so an AI copilot can analyze one selected KPI together with historical performance, underlying inputs, related KPIs, strategy, governance and evidence.</x:v>
      </x:c>
      <x:c r="B3" s="32"/>
      <x:c r="C3" s="32"/>
      <x:c r="D3" s="32"/>
      <x:c r="E3" s="32"/>
      <x:c r="F3" s="32"/>
      <x:c r="G3" s="32"/>
      <x:c r="H3" s="32"/>
    </x:row>
    <x:row r="4">
      <x:c r="A4" s="31"/>
      <x:c r="B4" s="31"/>
      <x:c r="C4" s="31"/>
      <x:c r="D4" s="31"/>
      <x:c r="E4" s="31"/>
      <x:c r="F4" s="31"/>
      <x:c r="G4" s="31"/>
      <x:c r="H4" s="31"/>
    </x:row>
    <x:row r="5">
      <x:c r="A5" s="33" t="str">
        <x:v>STEP</x:v>
      </x:c>
      <x:c r="B5" s="33" t="str">
        <x:v>WHAT HAPPENS</x:v>
      </x:c>
      <x:c r="C5" s="33" t="str">
        <x:v>SOURCE SHEET</x:v>
      </x:c>
      <x:c r="D5" s="33" t="str">
        <x:v>NOTES</x:v>
      </x:c>
      <x:c r="E5" s="31"/>
      <x:c r="F5" s="34" t="str">
        <x:v>DATASET SUMMARY</x:v>
      </x:c>
      <x:c r="G5" s="34" t="str">
        <x:v>VALUE</x:v>
      </x:c>
      <x:c r="H5" s="31"/>
    </x:row>
    <x:row r="6">
      <x:c r="A6" s="35" t="str">
        <x:v>1</x:v>
      </x:c>
      <x:c r="B6" s="35" t="str">
        <x:v>Tableau sends the selected KPI_ID</x:v>
      </x:c>
      <x:c r="C6" s="35" t="str">
        <x:v>01_KPI_Context</x:v>
      </x:c>
      <x:c r="D6" s="35" t="str">
        <x:v>KPI_ID should be the stable key used across Tableau and the AI service.</x:v>
      </x:c>
      <x:c r="E6" s="31"/>
      <x:c r="F6" s="31" t="str">
        <x:v>Active KPI context rows</x:v>
      </x:c>
      <x:c r="G6" s="31" t="n">
        <x:v>103</x:v>
      </x:c>
      <x:c r="H6" s="31"/>
    </x:row>
    <x:row r="7">
      <x:c r="A7" s="35" t="str">
        <x:v>2</x:v>
      </x:c>
      <x:c r="B7" s="35" t="str">
        <x:v>Retrieve the selected KPI context</x:v>
      </x:c>
      <x:c r="C7" s="35" t="str">
        <x:v>01_KPI_Context</x:v>
      </x:c>
      <x:c r="D7" s="35" t="str">
        <x:v>Includes strategy, owner, target, 2023–2026, baseline, thresholds, formula and controls.</x:v>
      </x:c>
      <x:c r="E7" s="31"/>
      <x:c r="F7" s="31" t="str">
        <x:v>Related-KPI links</x:v>
      </x:c>
      <x:c r="G7" s="31" t="n">
        <x:v>824</x:v>
      </x:c>
      <x:c r="H7" s="31"/>
    </x:row>
    <x:row r="8">
      <x:c r="A8" s="35" t="str">
        <x:v>3</x:v>
      </x:c>
      <x:c r="B8" s="35" t="str">
        <x:v>Retrieve related KPIs</x:v>
      </x:c>
      <x:c r="C8" s="35" t="str">
        <x:v>02_Related_KPIs</x:v>
      </x:c>
      <x:c r="D8" s="35" t="str">
        <x:v>Top 8 prototype relationships. Heuristic = same objective + strategic-map adjacency + department + perspective.</x:v>
      </x:c>
      <x:c r="E8" s="31"/>
      <x:c r="F8" s="31" t="str">
        <x:v>Underlying value definitions</x:v>
      </x:c>
      <x:c r="G8" s="31" t="n">
        <x:v>183</x:v>
      </x:c>
      <x:c r="H8" s="31"/>
    </x:row>
    <x:row r="9">
      <x:c r="A9" s="35" t="str">
        <x:v>4</x:v>
      </x:c>
      <x:c r="B9" s="35" t="str">
        <x:v>Retrieve underlying values/drivers</x:v>
      </x:c>
      <x:c r="C9" s="35" t="str">
        <x:v>05_Value_Dictionary + 06_Dummy_Values_Long</x:v>
      </x:c>
      <x:c r="D9" s="35" t="str">
        <x:v>Use KPI_ID to fetch the inputs behind the KPI calculation.</x:v>
      </x:c>
      <x:c r="E9" s="31"/>
      <x:c r="F9" s="31" t="str">
        <x:v>Long-format dummy observations</x:v>
      </x:c>
      <x:c r="G9" s="31" t="n">
        <x:v>732</x:v>
      </x:c>
      <x:c r="H9" s="31"/>
    </x:row>
    <x:row r="10">
      <x:c r="A10" s="35" t="str">
        <x:v>5</x:v>
      </x:c>
      <x:c r="B10" s="35" t="str">
        <x:v>Send context to the AI model</x:v>
      </x:c>
      <x:c r="C10" s="35" t="str">
        <x:v>03_AI_Context_Packets</x:v>
      </x:c>
      <x:c r="D10" s="35" t="str">
        <x:v>Each row is already prompt-ready for a first manual/prototype test.</x:v>
      </x:c>
      <x:c r="E10" s="31"/>
      <x:c r="F10" s="31" t="str">
        <x:v>Years covered</x:v>
      </x:c>
      <x:c r="G10" s="31" t="str">
        <x:v>2023–2026</x:v>
      </x:c>
      <x:c r="H10" s="31"/>
    </x:row>
    <x:row r="11">
      <x:c r="A11" s="35" t="str">
        <x:v>6</x:v>
      </x:c>
      <x:c r="B11" s="35" t="str">
        <x:v>Require structured answer</x:v>
      </x:c>
      <x:c r="C11" s="35" t="str">
        <x:v>07_Prompt_Template</x:v>
      </x:c>
      <x:c r="D11" s="35" t="str">
        <x:v>Diagnosis → Evidence → Likely Drivers → Recommended Action → Confidence/Data Gaps.</x:v>
      </x:c>
      <x:c r="E11" s="31"/>
      <x:c r="F11" s="36" t="str">
        <x:v>Data status</x:v>
      </x:c>
      <x:c r="G11" s="36" t="str">
        <x:v>100% SYNTHETIC / DUMMY</x:v>
      </x:c>
      <x:c r="H11" s="31"/>
    </x:row>
    <x:row r="12">
      <x:c r="A12" s="35" t="str">
        <x:v>7</x:v>
      </x:c>
      <x:c r="B12" s="35" t="str">
        <x:v>Human reviews and approves</x:v>
      </x:c>
      <x:c r="C12" s="35" t="str">
        <x:v>Outside this workbook</x:v>
      </x:c>
      <x:c r="D12" s="35" t="str">
        <x:v>AI recommends; it should not autonomously change targets, punish owners or execute financial/legal actions.</x:v>
      </x:c>
      <x:c r="E12" s="31"/>
      <x:c r="F12" s="36" t="str">
        <x:v>AI status</x:v>
      </x:c>
      <x:c r="G12" s="36" t="str">
        <x:v>PROTOTYPE ONLY</x:v>
      </x:c>
      <x:c r="H12" s="31"/>
    </x:row>
    <x:row r="13">
      <x:c r="A13" s="31"/>
      <x:c r="B13" s="31"/>
      <x:c r="C13" s="31"/>
      <x:c r="D13" s="31"/>
      <x:c r="E13" s="31"/>
      <x:c r="F13" s="31"/>
      <x:c r="G13" s="31"/>
      <x:c r="H13" s="31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 ht="42" customHeight="1">
      <x:c r="A15" s="37" t="str">
        <x:v>Important: this workbook does not prove causal relationships. The relationship layer is an editable retrieval heuristic designed to give the AI relevant context without sending all 103 KPIs every time.</x:v>
      </x:c>
      <x:c r="B15" s="37"/>
      <x:c r="C15" s="37"/>
      <x:c r="D15" s="37"/>
      <x:c r="E15" s="37"/>
      <x:c r="F15" s="37"/>
      <x:c r="G15" s="37"/>
      <x:c r="H15" s="37"/>
    </x:row>
    <x:row r="16">
      <x:c r="A16" s="31"/>
      <x:c r="B16" s="31"/>
      <x:c r="C16" s="31"/>
      <x:c r="D16" s="31"/>
      <x:c r="E16" s="31"/>
      <x:c r="F16" s="31"/>
      <x:c r="G16" s="31"/>
      <x:c r="H16" s="31"/>
    </x:row>
    <x:row r="17">
      <x:c r="A17" s="31"/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3:H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45" hidden="0" customWidth="1"/>
    <x:col min="8" max="8" width="52" hidden="0" customWidth="1"/>
    <x:col min="9" max="9" width="16" hidden="0" customWidth="1"/>
    <x:col min="10" max="10" width="16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8" hidden="0" customWidth="1"/>
    <x:col min="18" max="18" width="18" hidden="0" customWidth="1"/>
    <x:col min="19" max="19" width="18" hidden="0" customWidth="1"/>
    <x:col min="20" max="20" width="16" hidden="0" customWidth="1"/>
    <x:col min="21" max="21" width="20" hidden="0" customWidth="1"/>
    <x:col min="22" max="22" width="24" hidden="0" customWidth="1"/>
    <x:col min="23" max="23" width="18" hidden="0" customWidth="1"/>
    <x:col min="24" max="24" width="34" hidden="0" customWidth="1"/>
    <x:col min="25" max="25" width="42" hidden="0" customWidth="1"/>
    <x:col min="26" max="26" width="18" hidden="0" customWidth="1"/>
    <x:col min="27" max="27" width="28" hidden="0" customWidth="1"/>
    <x:col min="28" max="28" width="48" hidden="0" customWidth="1"/>
    <x:col min="29" max="29" width="48" hidden="0" customWidth="1"/>
    <x:col min="30" max="30" width="26" hidden="0" customWidth="1"/>
    <x:col min="31" max="31" width="55" hidden="0" customWidth="1"/>
    <x:col min="32" max="32" width="36" hidden="0" customWidth="1"/>
    <x:col min="33" max="33" width="48" hidden="0" customWidth="1"/>
    <x:col min="34" max="34" width="14" hidden="0" customWidth="1"/>
    <x:col min="35" max="35" width="30" hidden="0" customWidth="1"/>
  </x:cols>
  <x:sheetData>
    <x:row r="1" ht="32" customHeight="1">
      <x:c r="A1" s="47" t="str">
        <x:v>KPI_ID</x:v>
      </x:c>
      <x:c r="B1" s="47" t="str">
        <x:v>KPI_Name</x:v>
      </x:c>
      <x:c r="C1" s="47" t="str">
        <x:v>Department</x:v>
      </x:c>
      <x:c r="D1" s="47" t="str">
        <x:v>BSC_Perspective</x:v>
      </x:c>
      <x:c r="E1" s="47" t="str">
        <x:v>Strategic_Objective</x:v>
      </x:c>
      <x:c r="F1" s="47" t="str">
        <x:v>KPI_Tier</x:v>
      </x:c>
      <x:c r="G1" s="47" t="str">
        <x:v>Purpose</x:v>
      </x:c>
      <x:c r="H1" s="47" t="str">
        <x:v>Formula</x:v>
      </x:c>
      <x:c r="I1" s="47" t="str">
        <x:v>Formula_Type</x:v>
      </x:c>
      <x:c r="J1" s="47" t="str">
        <x:v>Unit</x:v>
      </x:c>
      <x:c r="K1" s="47" t="str">
        <x:v>Direction</x:v>
      </x:c>
      <x:c r="L1" s="47" t="str">
        <x:v>2023</x:v>
      </x:c>
      <x:c r="M1" s="47" t="str">
        <x:v>2024</x:v>
      </x:c>
      <x:c r="N1" s="47" t="str">
        <x:v>2025</x:v>
      </x:c>
      <x:c r="O1" s="47" t="str">
        <x:v>2026</x:v>
      </x:c>
      <x:c r="P1" s="47" t="str">
        <x:v>Baseline_3Y</x:v>
      </x:c>
      <x:c r="Q1" s="47" t="str">
        <x:v>Target_2026</x:v>
      </x:c>
      <x:c r="R1" s="47" t="str">
        <x:v>Warning_Threshold</x:v>
      </x:c>
      <x:c r="S1" s="47" t="str">
        <x:v>Critical_Threshold</x:v>
      </x:c>
      <x:c r="T1" s="47" t="str">
        <x:v>Performance_Change</x:v>
      </x:c>
      <x:c r="U1" s="47" t="str">
        <x:v>Trend_Health</x:v>
      </x:c>
      <x:c r="V1" s="47" t="str">
        <x:v>Owner</x:v>
      </x:c>
      <x:c r="W1" s="47" t="str">
        <x:v>Frequency</x:v>
      </x:c>
      <x:c r="X1" s="47" t="str">
        <x:v>Data_Source</x:v>
      </x:c>
      <x:c r="Y1" s="47" t="str">
        <x:v>Evidence</x:v>
      </x:c>
      <x:c r="Z1" s="47" t="str">
        <x:v>Leading_Lagging</x:v>
      </x:c>
      <x:c r="AA1" s="47" t="str">
        <x:v>Collection_Method</x:v>
      </x:c>
      <x:c r="AB1" s="47" t="str">
        <x:v>Static_Required_Action</x:v>
      </x:c>
      <x:c r="AC1" s="47" t="str">
        <x:v>Anti_Gaming_Control</x:v>
      </x:c>
      <x:c r="AD1" s="47" t="str">
        <x:v>Input_IDs</x:v>
      </x:c>
      <x:c r="AE1" s="47" t="str">
        <x:v>Underlying_Values_2026</x:v>
      </x:c>
      <x:c r="AF1" s="47" t="str">
        <x:v>Top_Related_KPI_IDs</x:v>
      </x:c>
      <x:c r="AG1" s="47" t="str">
        <x:v>Relationship_Method</x:v>
      </x:c>
      <x:c r="AH1" s="47" t="str">
        <x:v>Synthetic_Data</x:v>
      </x:c>
      <x:c r="AI1" s="47" t="str">
        <x:v>AI_Use_Status</x:v>
      </x:c>
    </x:row>
    <x:row r="2">
      <x:c r="A2" s="35" t="str">
        <x:v>ADM-001</x:v>
      </x:c>
      <x:c r="B2" s="35" t="str">
        <x:v>Facturación de donativos emitida dentro del SLA</x:v>
      </x:c>
      <x:c r="C2" s="35" t="str">
        <x:v>Administración</x:v>
      </x:c>
      <x:c r="D2" s="35" t="str">
        <x:v>Procesos internos</x:v>
      </x:c>
      <x:c r="E2" s="35" t="str">
        <x:v>P4. Simplificar y digitalizar procesos</x:v>
      </x:c>
      <x:c r="F2" s="35" t="str">
        <x:v>OPERATIVO / DEPARTAMENTAL</x:v>
      </x:c>
      <x:c r="G2" s="35" t="str">
        <x:v>Medir oportunidad de la facturación, no sólo que exista al cierre del mes.</x:v>
      </x:c>
      <x:c r="H2" s="35" t="str">
        <x:v>Solicitudes de facturación emitidas dentro de 3 días hábiles ÷ solicitudes autorizadas completas × 100</x:v>
      </x:c>
      <x:c r="I2" s="35" t="str">
        <x:v>RATIO_PCT</x:v>
      </x:c>
      <x:c r="J2" s="35" t="str">
        <x:v>%</x:v>
      </x:c>
      <x:c r="K2" s="35" t="str">
        <x:v>↑</x:v>
      </x:c>
      <x:c r="L2" s="35" t="n">
        <x:v>84.16666666666667</x:v>
      </x:c>
      <x:c r="M2" s="35" t="n">
        <x:v>89.1891891891892</x:v>
      </x:c>
      <x:c r="N2" s="35" t="n">
        <x:v>93.88489208633094</x:v>
      </x:c>
      <x:c r="O2" s="35" t="n">
        <x:v>100</x:v>
      </x:c>
      <x:c r="P2" s="35" t="n">
        <x:v>89.08024931406226</x:v>
      </x:c>
      <x:c r="Q2" s="35" t="str">
        <x:v>100%</x:v>
      </x:c>
      <x:c r="R2" s="35" t="str">
        <x:v>&lt;100% y ≥95%</x:v>
      </x:c>
      <x:c r="S2" s="35" t="str">
        <x:v>&lt;95%</x:v>
      </x:c>
      <x:c r="T2" s="54" t="n">
        <x:f>IF(OR(P2="",P2=0,O2=""),"",IF(K2="↑",(O2-P2)/ABS(P2),IF(K2="↓",(P2-O2)/ABS(P2),IF(K2="↔",(ABS(P2)-ABS(O2))/ABS(P2),""))))</x:f>
        <x:v>0.12258329730801444</x:v>
      </x:c>
      <x:c r="U2" s="35" t="str">
        <x:f>IF(T2="","",IF(T2&gt;=0.1,"Strong improvement",IF(T2&gt;=0,"Improving",IF(T2&gt;=-0.1,"Attention","Deteriorating"))))</x:f>
        <x:v>Strong improvement</x:v>
      </x:c>
      <x:c r="V2" s="35" t="str">
        <x:v>Administración</x:v>
      </x:c>
      <x:c r="W2" s="35" t="str">
        <x:v>Mensual</x:v>
      </x:c>
      <x:c r="X2" s="35" t="str">
        <x:v>Registros del área / evidencia del proceso</x:v>
      </x:c>
      <x:c r="Y2" s="35" t="str">
        <x:v>Registro fuente, reporte del sistema y evidencia documental de respaldo.</x:v>
      </x:c>
      <x:c r="Z2" s="35" t="str">
        <x:v>Leading/Lagging</x:v>
      </x:c>
      <x:c r="AA2" s="35" t="str">
        <x:v>Manual / por definir</x:v>
      </x:c>
      <x:c r="AB2" s="35" t="str">
        <x:v>Revisar solicitudes fuera de SLA, causa del retraso y cuello de botella.</x:v>
      </x:c>
      <x:c r="AC2" s="35" t="str">
        <x:v>El reloj inicia cuando la solicitud está completa y autorizada; registrar pausas justificadas.</x:v>
      </x:c>
      <x:c r="AD2" s="35" t="str">
        <x:v>ADM-001_NUM | ADM-001_DEN</x:v>
      </x:c>
      <x:c r="AE2" s="35" t="str">
        <x:v>Solicitudes de facturación emitidas dentro de 3 días hábiles = 300.0 días; solicitudes autorizadas completas = 300 # / base</x:v>
      </x:c>
      <x:c r="AF2" s="35" t="str">
        <x:v>ADM-002 | ADM-003 | ADM-016 | ADM-004 | ADM-006 | ADM-017 | REC-P04 | LEG-001</x:v>
      </x:c>
      <x:c r="AG2" s="35" t="str">
        <x:v>Top-8 heuristic: same strategic objective &gt; strategic-map adjacency &gt; same department &gt; same BSC perspective.</x:v>
      </x:c>
      <x:c r="AH2" s="35" t="str">
        <x:v>YES</x:v>
      </x:c>
      <x:c r="AI2" s="35" t="str">
        <x:v>PROTOTYPE ONLY — human review required</x:v>
      </x:c>
    </x:row>
    <x:row r="3">
      <x:c r="A3" s="35" t="str">
        <x:v>ADM-002</x:v>
      </x:c>
      <x:c r="B3" s="35" t="str">
        <x:v>Solicitudes de compra procesadas dentro del SLA</x:v>
      </x:c>
      <x:c r="C3" s="35" t="str">
        <x:v>Administración</x:v>
      </x:c>
      <x:c r="D3" s="35" t="str">
        <x:v>Procesos internos</x:v>
      </x:c>
      <x:c r="E3" s="35" t="str">
        <x:v>P4. Simplificar y digitalizar procesos</x:v>
      </x:c>
      <x:c r="F3" s="35" t="str">
        <x:v>OPERATIVO / DEPARTAMENTAL</x:v>
      </x:c>
      <x:c r="G3" s="35" t="str">
        <x:v>Medir agilidad del proceso de compra y evitar que el cierre mensual oculte retrasos.</x:v>
      </x:c>
      <x:c r="H3" s="35" t="str">
        <x:v>Solicitudes de compra procesadas dentro de 3 días hábiles ÷ solicitudes completas y autorizadas × 100</x:v>
      </x:c>
      <x:c r="I3" s="35" t="str">
        <x:v>RATIO_PCT</x:v>
      </x:c>
      <x:c r="J3" s="35" t="str">
        <x:v>%</x:v>
      </x:c>
      <x:c r="K3" s="35" t="str">
        <x:v>↑</x:v>
      </x:c>
      <x:c r="L3" s="35" t="n">
        <x:v>84.16666666666667</x:v>
      </x:c>
      <x:c r="M3" s="35" t="n">
        <x:v>89.1891891891892</x:v>
      </x:c>
      <x:c r="N3" s="35" t="n">
        <x:v>93.88489208633094</x:v>
      </x:c>
      <x:c r="O3" s="35" t="n">
        <x:v>100</x:v>
      </x:c>
      <x:c r="P3" s="35" t="n">
        <x:v>89.08024931406226</x:v>
      </x:c>
      <x:c r="Q3" s="35" t="str">
        <x:v>100%</x:v>
      </x:c>
      <x:c r="R3" s="35" t="str">
        <x:v>&lt;100% y ≥95%</x:v>
      </x:c>
      <x:c r="S3" s="35" t="str">
        <x:v>&lt;95%</x:v>
      </x:c>
      <x:c r="T3" s="54" t="n">
        <x:f>IF(OR(P3="",P3=0,O3=""),"",IF(K3="↑",(O3-P3)/ABS(P3),IF(K3="↓",(P3-O3)/ABS(P3),IF(K3="↔",(ABS(P3)-ABS(O3))/ABS(P3),""))))</x:f>
        <x:v>0.12258329730801444</x:v>
      </x:c>
      <x:c r="U3" s="35" t="str">
        <x:f>IF(T3="","",IF(T3&gt;=0.1,"Strong improvement",IF(T3&gt;=0,"Improving",IF(T3&gt;=-0.1,"Attention","Deteriorating"))))</x:f>
        <x:v>Strong improvement</x:v>
      </x:c>
      <x:c r="V3" s="35" t="str">
        <x:v>Administración</x:v>
      </x:c>
      <x:c r="W3" s="35" t="str">
        <x:v>Mensual</x:v>
      </x:c>
      <x:c r="X3" s="35" t="str">
        <x:v>Registros del área / evidencia del proceso</x:v>
      </x:c>
      <x:c r="Y3" s="35" t="str">
        <x:v>Registro fuente, reporte del sistema y evidencia documental de respaldo.</x:v>
      </x:c>
      <x:c r="Z3" s="35" t="str">
        <x:v>Leading/Lagging</x:v>
      </x:c>
      <x:c r="AA3" s="35" t="str">
        <x:v>Manual / por definir</x:v>
      </x:c>
      <x:c r="AB3" s="35" t="str">
        <x:v>Revisar desviación y definir acción correctiva cuando no se alcance la meta.</x:v>
      </x:c>
      <x:c r="AC3" s="35" t="str">
        <x:v>Excluir únicamente tiempos de espera externos documentados; no cerrar solicitudes sin evidencia.</x:v>
      </x:c>
      <x:c r="AD3" s="35" t="str">
        <x:v>ADM-002_NUM | ADM-002_DEN</x:v>
      </x:c>
      <x:c r="AE3" s="35" t="str">
        <x:v>Solicitudes de compra procesadas dentro de 3 días hábiles = 300.0 días; solicitudes completas y autorizadas = 300 # / base</x:v>
      </x:c>
      <x:c r="AF3" s="35" t="str">
        <x:v>ADM-001 | ADM-003 | ADM-016 | ADM-004 | ADM-006 | ADM-017 | REC-P04 | LEG-001</x:v>
      </x:c>
      <x:c r="AG3" s="35" t="str">
        <x:v>Top-8 heuristic: same strategic objective &gt; strategic-map adjacency &gt; same department &gt; same BSC perspective.</x:v>
      </x:c>
      <x:c r="AH3" s="35" t="str">
        <x:v>YES</x:v>
      </x:c>
      <x:c r="AI3" s="35" t="str">
        <x:v>PROTOTYPE ONLY — human review required</x:v>
      </x:c>
    </x:row>
    <x:row r="4">
      <x:c r="A4" s="35" t="str">
        <x:v>ADM-003</x:v>
      </x:c>
      <x:c r="B4" s="35" t="str">
        <x:v>Pagos realizados en la fecha programada</x:v>
      </x:c>
      <x:c r="C4" s="35" t="str">
        <x:v>Administración</x:v>
      </x:c>
      <x:c r="D4" s="35" t="str">
        <x:v>Procesos internos</x:v>
      </x:c>
      <x:c r="E4" s="35" t="str">
        <x:v>P4. Simplificar y digitalizar procesos</x:v>
      </x:c>
      <x:c r="F4" s="35" t="str">
        <x:v>OPERATIVO / DEPARTAMENTAL</x:v>
      </x:c>
      <x:c r="G4" s="35" t="str">
        <x:v>Controlar puntualidad de pagos y riesgo operativo/contractual.</x:v>
      </x:c>
      <x:c r="H4" s="35" t="str">
        <x:v>Pagos realizados en o antes de la fecha comprometida ÷ pagos programados y aprobados × 100</x:v>
      </x:c>
      <x:c r="I4" s="35" t="str">
        <x:v>RATIO_PCT</x:v>
      </x:c>
      <x:c r="J4" s="35" t="str">
        <x:v>%</x:v>
      </x:c>
      <x:c r="K4" s="35" t="str">
        <x:v>↑</x:v>
      </x:c>
      <x:c r="L4" s="35" t="n">
        <x:v>83.33333333333334</x:v>
      </x:c>
      <x:c r="M4" s="35" t="n">
        <x:v>92.3076923076923</x:v>
      </x:c>
      <x:c r="N4" s="35" t="n">
        <x:v>92.85714285714286</x:v>
      </x:c>
      <x:c r="O4" s="35" t="n">
        <x:v>100</x:v>
      </x:c>
      <x:c r="P4" s="35" t="n">
        <x:v>89.49938949938951</x:v>
      </x:c>
      <x:c r="Q4" s="35" t="str">
        <x:v>100%</x:v>
      </x:c>
      <x:c r="R4" s="35" t="str">
        <x:v>&lt;100% y ≥95%</x:v>
      </x:c>
      <x:c r="S4" s="35" t="str">
        <x:v>&lt;95%</x:v>
      </x:c>
      <x:c r="T4" s="54" t="n">
        <x:f>IF(OR(P4="",P4=0,O4=""),"",IF(K4="↑",(O4-P4)/ABS(P4),IF(K4="↓",(P4-O4)/ABS(P4),IF(K4="↔",(ABS(P4)-ABS(O4))/ABS(P4),""))))</x:f>
        <x:v>0.11732605729877206</x:v>
      </x:c>
      <x:c r="U4" s="35" t="str">
        <x:f>IF(T4="","",IF(T4&gt;=0.1,"Strong improvement",IF(T4&gt;=0,"Improving",IF(T4&gt;=-0.1,"Attention","Deteriorating"))))</x:f>
        <x:v>Strong improvement</x:v>
      </x:c>
      <x:c r="V4" s="35" t="str">
        <x:v>Administración</x:v>
      </x:c>
      <x:c r="W4" s="35" t="str">
        <x:v>Mensual</x:v>
      </x:c>
      <x:c r="X4" s="35" t="str">
        <x:v>Registros del área / evidencia del proceso</x:v>
      </x:c>
      <x:c r="Y4" s="35" t="str">
        <x:v>Registro fuente, reporte del sistema y evidencia documental de respaldo.</x:v>
      </x:c>
      <x:c r="Z4" s="35" t="str">
        <x:v>Leading/Lagging</x:v>
      </x:c>
      <x:c r="AA4" s="35" t="str">
        <x:v>Manual / por definir</x:v>
      </x:c>
      <x:c r="AB4" s="35" t="str">
        <x:v>Revisar desviación y definir acción correctiva cuando no se alcance la meta.</x:v>
      </x:c>
      <x:c r="AC4" s="35" t="str">
        <x:v>No reprogramar fechas retroactivamente; conservar fecha original y causa de cambio.</x:v>
      </x:c>
      <x:c r="AD4" s="35" t="str">
        <x:v>ADM-003_NUM | ADM-003_DEN</x:v>
      </x:c>
      <x:c r="AE4" s="35" t="str">
        <x:v>Pagos realizados en o antes de la fecha comprometida = 15.0 días; pagos programados y aprobados = 15 # / base</x:v>
      </x:c>
      <x:c r="AF4" s="35" t="str">
        <x:v>ADM-001 | ADM-002 | ADM-016 | ADM-004 | ADM-006 | ADM-017 | REC-P04 | LEG-001</x:v>
      </x:c>
      <x:c r="AG4" s="35" t="str">
        <x:v>Top-8 heuristic: same strategic objective &gt; strategic-map adjacency &gt; same department &gt; same BSC perspective.</x:v>
      </x:c>
      <x:c r="AH4" s="35" t="str">
        <x:v>YES</x:v>
      </x:c>
      <x:c r="AI4" s="35" t="str">
        <x:v>PROTOTYPE ONLY — human review required</x:v>
      </x:c>
    </x:row>
    <x:row r="5">
      <x:c r="A5" s="35" t="str">
        <x:v>ADM-004</x:v>
      </x:c>
      <x:c r="B5" s="35" t="str">
        <x:v>Presupuestos anuales aprobados dentro del calendario</x:v>
      </x:c>
      <x:c r="C5" s="35" t="str">
        <x:v>Administración</x:v>
      </x:c>
      <x:c r="D5" s="35" t="str">
        <x:v>Capacidades y tecnología</x:v>
      </x:c>
      <x:c r="E5" s="35" t="str">
        <x:v>L4. Fortalecer colaboración interdepartamental</x:v>
      </x:c>
      <x:c r="F5" s="35" t="str">
        <x:v>OPERATIVO / DEPARTAMENTAL</x:v>
      </x:c>
      <x:c r="G5" s="35" t="str">
        <x:v>Medir cumplimiento del proceso presupuestario, no contar archivos producidos.</x:v>
      </x:c>
      <x:c r="H5" s="35" t="str">
        <x:v>Presupuestos anuales aprobados dentro de Ago–Oct ÷ presupuestos requeridos × 100</x:v>
      </x:c>
      <x:c r="I5" s="35" t="str">
        <x:v>RATIO_PCT</x:v>
      </x:c>
      <x:c r="J5" s="35" t="str">
        <x:v>%</x:v>
      </x:c>
      <x:c r="K5" s="35" t="str">
        <x:v>↑</x:v>
      </x:c>
      <x:c r="L5" s="35" t="n">
        <x:v>84</x:v>
      </x:c>
      <x:c r="M5" s="35" t="n">
        <x:v>88.88888888888889</x:v>
      </x:c>
      <x:c r="N5" s="35" t="n">
        <x:v>93.96551724137932</x:v>
      </x:c>
      <x:c r="O5" s="35" t="n">
        <x:v>100</x:v>
      </x:c>
      <x:c r="P5" s="35" t="n">
        <x:v>88.9514687100894</x:v>
      </x:c>
      <x:c r="Q5" s="35" t="str">
        <x:v>100% (5 de 5)</x:v>
      </x:c>
      <x:c r="R5" s="35" t="str">
        <x:v>&lt;100%</x:v>
      </x:c>
      <x:c r="S5" s="35" t="str">
        <x:v>&lt;80%</x:v>
      </x:c>
      <x:c r="T5" s="54" t="n">
        <x:f>IF(OR(P5="",P5=0,O5=""),"",IF(K5="↑",(O5-P5)/ABS(P5),IF(K5="↓",(P5-O5)/ABS(P5),IF(K5="↔",(ABS(P5)-ABS(O5))/ABS(P5),""))))</x:f>
        <x:v>0.12420853135005526</x:v>
      </x:c>
      <x:c r="U5" s="35" t="str">
        <x:f>IF(T5="","",IF(T5&gt;=0.1,"Strong improvement",IF(T5&gt;=0,"Improving",IF(T5&gt;=-0.1,"Attention","Deteriorating"))))</x:f>
        <x:v>Strong improvement</x:v>
      </x:c>
      <x:c r="V5" s="35" t="str">
        <x:v>Administración</x:v>
      </x:c>
      <x:c r="W5" s="35" t="str">
        <x:v>Anual con seguimiento mensual Ago–Oct</x:v>
      </x:c>
      <x:c r="X5" s="35" t="str">
        <x:v>Registros del área / evidencia del proceso</x:v>
      </x:c>
      <x:c r="Y5" s="35" t="str">
        <x:v>Presupuesto aprobado + fecha de aprobación + versión final.</x:v>
      </x:c>
      <x:c r="Z5" s="35" t="str">
        <x:v>Leading/Lagging</x:v>
      </x:c>
      <x:c r="AA5" s="35" t="str">
        <x:v>Manual / por definir</x:v>
      </x:c>
      <x:c r="AB5" s="35" t="str">
        <x:v>Revisar desviación y definir acción correctiva cuando no se alcance la meta.</x:v>
      </x:c>
      <x:c r="AC5" s="35" t="str">
        <x:v>Validar contra evidencia documental y resultado real, no sólo contra actividad reportada.</x:v>
      </x:c>
      <x:c r="AD5" s="35" t="str">
        <x:v>ADM-004_NUM | ADM-004_DEN</x:v>
      </x:c>
      <x:c r="AE5" s="35" t="str">
        <x:v>Presupuestos anuales aprobados dentro de Ago–Oct = 125.00 Moneda; presupuestos requeridos = 125.00 Moneda</x:v>
      </x:c>
      <x:c r="AF5" s="35" t="str">
        <x:v>ADM-012 | ADM-013 | MKT-001 | ADM-001 | ADM-002 | ADM-003 | ADM-016 | MKT-004</x:v>
      </x:c>
      <x:c r="AG5" s="35" t="str">
        <x:v>Top-8 heuristic: same strategic objective &gt; strategic-map adjacency &gt; same department &gt; same BSC perspective.</x:v>
      </x:c>
      <x:c r="AH5" s="35" t="str">
        <x:v>YES</x:v>
      </x:c>
      <x:c r="AI5" s="35" t="str">
        <x:v>PROTOTYPE ONLY — human review required</x:v>
      </x:c>
    </x:row>
    <x:row r="6">
      <x:c r="A6" s="35" t="str">
        <x:v>ADM-006</x:v>
      </x:c>
      <x:c r="B6" s="35" t="str">
        <x:v>Informes regulatorios presentados en tiempo y forma</x:v>
      </x:c>
      <x:c r="C6" s="35" t="str">
        <x:v>Administración</x:v>
      </x:c>
      <x:c r="D6" s="35" t="str">
        <x:v>Beneficiarios y grupos de interés</x:v>
      </x:c>
      <x:c r="E6" s="35" t="str">
        <x:v>C3. Fortalecer confianza y credibilidad institucional</x:v>
      </x:c>
      <x:c r="F6" s="35" t="str">
        <x:v>OPERATIVO / DEPARTAMENTAL</x:v>
      </x:c>
      <x:c r="G6" s="35" t="str">
        <x:v>Medir cumplimiento regulatorio, no la cantidad fija de informes.</x:v>
      </x:c>
      <x:c r="H6" s="35" t="str">
        <x:v>Informes regulatorios presentados dentro del plazo y con expediente completo ÷ informes regulatorios programados × 100</x:v>
      </x:c>
      <x:c r="I6" s="35" t="str">
        <x:v>RATIO_PCT</x:v>
      </x:c>
      <x:c r="J6" s="35" t="str">
        <x:v>%</x:v>
      </x:c>
      <x:c r="K6" s="35" t="str">
        <x:v>↑</x:v>
      </x:c>
      <x:c r="L6" s="35" t="n">
        <x:v>84</x:v>
      </x:c>
      <x:c r="M6" s="35" t="n">
        <x:v>88.88888888888889</x:v>
      </x:c>
      <x:c r="N6" s="35" t="n">
        <x:v>93.96551724137932</x:v>
      </x:c>
      <x:c r="O6" s="35" t="n">
        <x:v>100</x:v>
      </x:c>
      <x:c r="P6" s="35" t="n">
        <x:v>88.9514687100894</x:v>
      </x:c>
      <x:c r="Q6" s="35" t="str">
        <x:v>100% (3 de 3)</x:v>
      </x:c>
      <x:c r="R6" s="35" t="str">
        <x:v>&lt;100%</x:v>
      </x:c>
      <x:c r="S6" s="35" t="str">
        <x:v>&lt;100% al vencimiento</x:v>
      </x:c>
      <x:c r="T6" s="54" t="n">
        <x:f>IF(OR(P6="",P6=0,O6=""),"",IF(K6="↑",(O6-P6)/ABS(P6),IF(K6="↓",(P6-O6)/ABS(P6),IF(K6="↔",(ABS(P6)-ABS(O6))/ABS(P6),""))))</x:f>
        <x:v>0.12420853135005526</x:v>
      </x:c>
      <x:c r="U6" s="35" t="str">
        <x:f>IF(T6="","",IF(T6&gt;=0.1,"Strong improvement",IF(T6&gt;=0,"Improving",IF(T6&gt;=-0.1,"Attention","Deteriorating"))))</x:f>
        <x:v>Strong improvement</x:v>
      </x:c>
      <x:c r="V6" s="35" t="str">
        <x:v>Administración</x:v>
      </x:c>
      <x:c r="W6" s="35" t="str">
        <x:v>Trimestral / anual según calendario</x:v>
      </x:c>
      <x:c r="X6" s="35" t="str">
        <x:v>Registros del área / evidencia del proceso</x:v>
      </x:c>
      <x:c r="Y6" s="35" t="str">
        <x:v>Documento firmado/aprobado, acuse o evidencia de cierre.</x:v>
      </x:c>
      <x:c r="Z6" s="35" t="str">
        <x:v>Leading/Lagging</x:v>
      </x:c>
      <x:c r="AA6" s="35" t="str">
        <x:v>Manual / por definir</x:v>
      </x:c>
      <x:c r="AB6" s="35" t="str">
        <x:v>Escalar cualquier informe en riesgo 30 días antes del vencimiento.</x:v>
      </x:c>
      <x:c r="AC6" s="35" t="str">
        <x:v>El cumplimiento exige acuse/recepción y expediente completo, no sólo envío.</x:v>
      </x:c>
      <x:c r="AD6" s="35" t="str">
        <x:v>ADM-006_NUM | ADM-006_DEN</x:v>
      </x:c>
      <x:c r="AE6" s="35" t="str">
        <x:v>Informes regulatorios presentados dentro del plazo y con expediente completo = 125 # / base; informes regulatorios programados = 125 # / base</x:v>
      </x:c>
      <x:c r="AF6" s="35" t="str">
        <x:v>ADM-008 | ADM-010 | LEG-010 | ADM-001 | ADM-002 | ADM-003 | ADM-016 | LEG-012</x:v>
      </x:c>
      <x:c r="AG6" s="35" t="str">
        <x:v>Top-8 heuristic: same strategic objective &gt; strategic-map adjacency &gt; same department &gt; same BSC perspective.</x:v>
      </x:c>
      <x:c r="AH6" s="35" t="str">
        <x:v>YES</x:v>
      </x:c>
      <x:c r="AI6" s="35" t="str">
        <x:v>PROTOTYPE ONLY — human review required</x:v>
      </x:c>
    </x:row>
    <x:row r="7">
      <x:c r="A7" s="35" t="str">
        <x:v>ADM-008</x:v>
      </x:c>
      <x:c r="B7" s="35" t="str">
        <x:v>Acreditaciones institucionales renovadas antes de vencimiento</x:v>
      </x:c>
      <x:c r="C7" s="35" t="str">
        <x:v>Administración</x:v>
      </x:c>
      <x:c r="D7" s="35" t="str">
        <x:v>Beneficiarios y grupos de interés</x:v>
      </x:c>
      <x:c r="E7" s="35" t="str">
        <x:v>C3. Fortalecer confianza y credibilidad institucional</x:v>
      </x:c>
      <x:c r="F7" s="35" t="str">
        <x:v>OPERATIVO / DEPARTAMENTAL</x:v>
      </x:c>
      <x:c r="G7" s="35" t="str">
        <x:v>Proteger credibilidad institucional y continuidad de acreditaciones.</x:v>
      </x:c>
      <x:c r="H7" s="35" t="str">
        <x:v>Acreditaciones ESR/AIT renovadas antes del vencimiento ÷ acreditaciones con renovación exigible × 100</x:v>
      </x:c>
      <x:c r="I7" s="35" t="str">
        <x:v>RATIO_PCT</x:v>
      </x:c>
      <x:c r="J7" s="35" t="str">
        <x:v>%</x:v>
      </x:c>
      <x:c r="K7" s="35" t="str">
        <x:v>↑</x:v>
      </x:c>
      <x:c r="L7" s="35" t="n">
        <x:v>83.33333333333334</x:v>
      </x:c>
      <x:c r="M7" s="35" t="n">
        <x:v>89.47368421052632</x:v>
      </x:c>
      <x:c r="N7" s="35" t="n">
        <x:v>95.23809523809523</x:v>
      </x:c>
      <x:c r="O7" s="35" t="n">
        <x:v>100</x:v>
      </x:c>
      <x:c r="P7" s="35" t="n">
        <x:v>89.3483709273183</x:v>
      </x:c>
      <x:c r="Q7" s="35" t="str">
        <x:v>100%</x:v>
      </x:c>
      <x:c r="R7" s="35" t="str">
        <x:v>&lt;100% con &gt;30 días a vencimiento</x:v>
      </x:c>
      <x:c r="S7" s="35" t="str">
        <x:v>Alguna acreditación vencida</x:v>
      </x:c>
      <x:c r="T7" s="54" t="n">
        <x:f>IF(OR(P7="",P7=0,O7=""),"",IF(K7="↑",(O7-P7)/ABS(P7),IF(K7="↓",(P7-O7)/ABS(P7),IF(K7="↔",(ABS(P7)-ABS(O7))/ABS(P7),""))))</x:f>
        <x:v>0.11921458625525942</x:v>
      </x:c>
      <x:c r="U7" s="35" t="str">
        <x:f>IF(T7="","",IF(T7&gt;=0.1,"Strong improvement",IF(T7&gt;=0,"Improving",IF(T7&gt;=-0.1,"Attention","Deteriorating"))))</x:f>
        <x:v>Strong improvement</x:v>
      </x:c>
      <x:c r="V7" s="35" t="str">
        <x:v>Administración</x:v>
      </x:c>
      <x:c r="W7" s="35" t="str">
        <x:v>Mensual durante ventana de renovación</x:v>
      </x:c>
      <x:c r="X7" s="35" t="str">
        <x:v>Registros del área / evidencia del proceso</x:v>
      </x:c>
      <x:c r="Y7" s="35" t="str">
        <x:v>Documento firmado/aprobado, acuse o evidencia de cierre.</x:v>
      </x:c>
      <x:c r="Z7" s="35" t="str">
        <x:v>Leading/Lagging</x:v>
      </x:c>
      <x:c r="AA7" s="35" t="str">
        <x:v>Manual / por definir</x:v>
      </x:c>
      <x:c r="AB7" s="35" t="str">
        <x:v>Revisar desviación y definir acción correctiva cuando no se alcance la meta.</x:v>
      </x:c>
      <x:c r="AC7" s="35" t="str">
        <x:v>Contar sólo renovaciones oficialmente aceptadas por el organismo acreditador.</x:v>
      </x:c>
      <x:c r="AD7" s="35" t="str">
        <x:v>ADM-008_NUM | ADM-008_DEN</x:v>
      </x:c>
      <x:c r="AE7" s="35" t="str">
        <x:v>Acreditaciones ESR/AIT renovadas antes del vencimiento = 22 # / base; acreditaciones con renovación exigible = 22 # / base</x:v>
      </x:c>
      <x:c r="AF7" s="35" t="str">
        <x:v>ADM-006 | ADM-010 | LEG-010 | ADM-001 | ADM-002 | ADM-003 | ADM-016 | LEG-012</x:v>
      </x:c>
      <x:c r="AG7" s="35" t="str">
        <x:v>Top-8 heuristic: same strategic objective &gt; strategic-map adjacency &gt; same department &gt; same BSC perspective.</x:v>
      </x:c>
      <x:c r="AH7" s="35" t="str">
        <x:v>YES</x:v>
      </x:c>
      <x:c r="AI7" s="35" t="str">
        <x:v>PROTOTYPE ONLY — human review required</x:v>
      </x:c>
    </x:row>
    <x:row r="8">
      <x:c r="A8" s="35" t="str">
        <x:v>ADM-010</x:v>
      </x:c>
      <x:c r="B8" s="35" t="str">
        <x:v>Países con ruta de acreditación regulatoria definida y validada</x:v>
      </x:c>
      <x:c r="C8" s="35" t="str">
        <x:v>Administración</x:v>
      </x:c>
      <x:c r="D8" s="35" t="str">
        <x:v>Beneficiarios y grupos de interés</x:v>
      </x:c>
      <x:c r="E8" s="35" t="str">
        <x:v>C3. Fortalecer confianza y credibilidad institucional</x:v>
      </x:c>
      <x:c r="F8" s="35" t="str">
        <x:v>OPERATIVO / DEPARTAMENTAL</x:v>
      </x:c>
      <x:c r="G8" s="35" t="str">
        <x:v>Medir preparación real para acreditaciones internacionales, no número de contactos.</x:v>
      </x:c>
      <x:c r="H8" s="35" t="str">
        <x:v>Países objetivo con requisitos, autoridad, evidencia y ruta de acreditación validados ÷ países objetivo × 100</x:v>
      </x:c>
      <x:c r="I8" s="35" t="str">
        <x:v>RATIO_PCT</x:v>
      </x:c>
      <x:c r="J8" s="35" t="str">
        <x:v>%</x:v>
      </x:c>
      <x:c r="K8" s="35" t="str">
        <x:v>↑</x:v>
      </x:c>
      <x:c r="L8" s="35" t="n">
        <x:v>75</x:v>
      </x:c>
      <x:c r="M8" s="35" t="n">
        <x:v>100</x:v>
      </x:c>
      <x:c r="N8" s="35" t="n">
        <x:v>100</x:v>
      </x:c>
      <x:c r="O8" s="35" t="n">
        <x:v>100</x:v>
      </x:c>
      <x:c r="P8" s="35" t="n">
        <x:v>91.66666666666667</x:v>
      </x:c>
      <x:c r="Q8" s="35" t="str">
        <x:v>100% (2 de 2)</x:v>
      </x:c>
      <x:c r="R8" s="35" t="str">
        <x:v>&lt;100% al Q3</x:v>
      </x:c>
      <x:c r="S8" s="35" t="str">
        <x:v>&lt;100% al cierre</x:v>
      </x:c>
      <x:c r="T8" s="54" t="n">
        <x:f>IF(OR(P8="",P8=0,O8=""),"",IF(K8="↑",(O8-P8)/ABS(P8),IF(K8="↓",(P8-O8)/ABS(P8),IF(K8="↔",(ABS(P8)-ABS(O8))/ABS(P8),""))))</x:f>
        <x:v>0.09090909090909086</x:v>
      </x:c>
      <x:c r="U8" s="35" t="str">
        <x:f>IF(T8="","",IF(T8&gt;=0.1,"Strong improvement",IF(T8&gt;=0,"Improving",IF(T8&gt;=-0.1,"Attention","Deteriorating"))))</x:f>
        <x:v>Improving</x:v>
      </x:c>
      <x:c r="V8" s="35" t="str">
        <x:v>Administración</x:v>
      </x:c>
      <x:c r="W8" s="35" t="str">
        <x:v>Trimestral</x:v>
      </x:c>
      <x:c r="X8" s="35" t="str">
        <x:v>Registros del área / evidencia del proceso</x:v>
      </x:c>
      <x:c r="Y8" s="35" t="str">
        <x:v>Registro fuente, reporte del sistema y evidencia documental de respaldo.</x:v>
      </x:c>
      <x:c r="Z8" s="35" t="str">
        <x:v>Leading/Lagging</x:v>
      </x:c>
      <x:c r="AA8" s="35" t="str">
        <x:v>Manual / por definir</x:v>
      </x:c>
      <x:c r="AB8" s="35" t="str">
        <x:v>Revisar desviación y definir acción correctiva cuando no se alcance la meta.</x:v>
      </x:c>
      <x:c r="AC8" s="35" t="str">
        <x:v>Requiere validación Jurídico + Administración y matriz de requisitos completa.</x:v>
      </x:c>
      <x:c r="AD8" s="35" t="str">
        <x:v>ADM-010_NUM | ADM-010_DEN</x:v>
      </x:c>
      <x:c r="AE8" s="35" t="str">
        <x:v>Países objetivo con requisitos, autoridad, evidencia y ruta de acreditación validados = 4 # / base; países objetivo = 4 # / base</x:v>
      </x:c>
      <x:c r="AF8" s="35" t="str">
        <x:v>ADM-006 | ADM-008 | LEG-010 | ADM-001 | ADM-002 | ADM-003 | ADM-016 | LEG-012</x:v>
      </x:c>
      <x:c r="AG8" s="35" t="str">
        <x:v>Top-8 heuristic: same strategic objective &gt; strategic-map adjacency &gt; same department &gt; same BSC perspective.</x:v>
      </x:c>
      <x:c r="AH8" s="35" t="str">
        <x:v>YES</x:v>
      </x:c>
      <x:c r="AI8" s="35" t="str">
        <x:v>PROTOTYPE ONLY — human review required</x:v>
      </x:c>
    </x:row>
    <x:row r="9">
      <x:c r="A9" s="35" t="str">
        <x:v>ADM-012</x:v>
      </x:c>
      <x:c r="B9" s="35" t="str">
        <x:v>Nuevos convenios universitarios activados</x:v>
      </x:c>
      <x:c r="C9" s="35" t="str">
        <x:v>Administración</x:v>
      </x:c>
      <x:c r="D9" s="35" t="str">
        <x:v>Capacidades y tecnología</x:v>
      </x:c>
      <x:c r="E9" s="35" t="str">
        <x:v>L4. Fortalecer colaboración interdepartamental</x:v>
      </x:c>
      <x:c r="F9" s="35" t="str">
        <x:v>OPERATIVO / DEPARTAMENTAL</x:v>
      </x:c>
      <x:c r="G9" s="35" t="str">
        <x:v>Medir expansión efectiva de la red de universidades, no sólo contactos.</x:v>
      </x:c>
      <x:c r="H9" s="35" t="str">
        <x:v>Convenios nuevos firmados y habilitados para recibir prestadores</x:v>
      </x:c>
      <x:c r="I9" s="35" t="str">
        <x:v>VALUE</x:v>
      </x:c>
      <x:c r="J9" s="35" t="str">
        <x:v>#</x:v>
      </x:c>
      <x:c r="K9" s="35" t="str">
        <x:v>↑</x:v>
      </x:c>
      <x:c r="L9" s="35" t="n">
        <x:v>1</x:v>
      </x:c>
      <x:c r="M9" s="35" t="n">
        <x:v>1</x:v>
      </x:c>
      <x:c r="N9" s="35" t="n">
        <x:v>2</x:v>
      </x:c>
      <x:c r="O9" s="35" t="n">
        <x:v>2</x:v>
      </x:c>
      <x:c r="P9" s="35" t="n">
        <x:v>1.3333333333333333</x:v>
      </x:c>
      <x:c r="Q9" s="35" t="str">
        <x:v>≥2</x:v>
      </x:c>
      <x:c r="R9" s="35" t="str">
        <x:v>&lt;2 al Q4</x:v>
      </x:c>
      <x:c r="S9" s="35" t="str">
        <x:v>0 al Q4</x:v>
      </x:c>
      <x:c r="T9" s="54" t="n">
        <x:f>IF(OR(P9="",P9=0,O9=""),"",IF(K9="↑",(O9-P9)/ABS(P9),IF(K9="↓",(P9-O9)/ABS(P9),IF(K9="↔",(ABS(P9)-ABS(O9))/ABS(P9),""))))</x:f>
        <x:v>0.5000000000000001</x:v>
      </x:c>
      <x:c r="U9" s="35" t="str">
        <x:f>IF(T9="","",IF(T9&gt;=0.1,"Strong improvement",IF(T9&gt;=0,"Improving",IF(T9&gt;=-0.1,"Attention","Deteriorating"))))</x:f>
        <x:v>Strong improvement</x:v>
      </x:c>
      <x:c r="V9" s="35" t="str">
        <x:v>Administración</x:v>
      </x:c>
      <x:c r="W9" s="35" t="str">
        <x:v>Trimestral</x:v>
      </x:c>
      <x:c r="X9" s="35" t="str">
        <x:v>Registros del área / evidencia del proceso</x:v>
      </x:c>
      <x:c r="Y9" s="35" t="str">
        <x:v>Documento firmado/aprobado, acuse o evidencia de cierre.</x:v>
      </x:c>
      <x:c r="Z9" s="35" t="str">
        <x:v>Leading/Lagging</x:v>
      </x:c>
      <x:c r="AA9" s="35" t="str">
        <x:v>Manual / por definir</x:v>
      </x:c>
      <x:c r="AB9" s="35" t="str">
        <x:v>Revisar desviación y definir acción correctiva cuando no se alcance la meta.</x:v>
      </x:c>
      <x:c r="AC9" s="35" t="str">
        <x:v>Contar sólo convenios vigentes con capacidad real de canalizar prestadores.</x:v>
      </x:c>
      <x:c r="AD9" s="35" t="str">
        <x:v>ADM-012_VAL</x:v>
      </x:c>
      <x:c r="AE9" s="35" t="str">
        <x:v>Convenios nuevos firmados y habilitados para recibir prestadores = 2 #</x:v>
      </x:c>
      <x:c r="AF9" s="35" t="str">
        <x:v>ADM-004 | ADM-013 | MKT-001 | ADM-001 | ADM-002 | ADM-003 | ADM-016 | MKT-004</x:v>
      </x:c>
      <x:c r="AG9" s="35" t="str">
        <x:v>Top-8 heuristic: same strategic objective &gt; strategic-map adjacency &gt; same department &gt; same BSC perspective.</x:v>
      </x:c>
      <x:c r="AH9" s="35" t="str">
        <x:v>YES</x:v>
      </x:c>
      <x:c r="AI9" s="35" t="str">
        <x:v>PROTOTYPE ONLY — human review required</x:v>
      </x:c>
    </x:row>
    <x:row r="10">
      <x:c r="A10" s="35" t="str">
        <x:v>ADM-013</x:v>
      </x:c>
      <x:c r="B10" s="35" t="str">
        <x:v>Convenios universitarios renovados antes de vencimiento</x:v>
      </x:c>
      <x:c r="C10" s="35" t="str">
        <x:v>Administración</x:v>
      </x:c>
      <x:c r="D10" s="35" t="str">
        <x:v>Capacidades y tecnología</x:v>
      </x:c>
      <x:c r="E10" s="35" t="str">
        <x:v>L4. Fortalecer colaboración interdepartamental</x:v>
      </x:c>
      <x:c r="F10" s="35" t="str">
        <x:v>OPERATIVO / DEPARTAMENTAL</x:v>
      </x:c>
      <x:c r="G10" s="35" t="str">
        <x:v>Evitar interrupciones en la disponibilidad de servicio social.</x:v>
      </x:c>
      <x:c r="H10" s="35" t="str">
        <x:v>Convenios renovados antes de vencimiento ÷ convenios que vencen en 2026 × 100</x:v>
      </x:c>
      <x:c r="I10" s="35" t="str">
        <x:v>RATIO_PCT</x:v>
      </x:c>
      <x:c r="J10" s="35" t="str">
        <x:v>%</x:v>
      </x:c>
      <x:c r="K10" s="35" t="str">
        <x:v>↑</x:v>
      </x:c>
      <x:c r="L10" s="35" t="n">
        <x:v>84.28571428571429</x:v>
      </x:c>
      <x:c r="M10" s="35" t="n">
        <x:v>89.47368421052632</x:v>
      </x:c>
      <x:c r="N10" s="35" t="n">
        <x:v>93.82716049382715</x:v>
      </x:c>
      <x:c r="O10" s="35" t="n">
        <x:v>100</x:v>
      </x:c>
      <x:c r="P10" s="35" t="n">
        <x:v>89.19551966335592</x:v>
      </x:c>
      <x:c r="Q10" s="35" t="str">
        <x:v>100%</x:v>
      </x:c>
      <x:c r="R10" s="35" t="str">
        <x:v>&lt;100% con 30 días a vencimiento</x:v>
      </x:c>
      <x:c r="S10" s="35" t="str">
        <x:v>Convenio vencido sin renovación</x:v>
      </x:c>
      <x:c r="T10" s="54" t="n">
        <x:f>IF(OR(P10="",P10=0,O10=""),"",IF(K10="↑",(O10-P10)/ABS(P10),IF(K10="↓",(P10-O10)/ABS(P10),IF(K10="↔",(ABS(P10)-ABS(O10))/ABS(P10),""))))</x:f>
        <x:v>0.12113254541733295</x:v>
      </x:c>
      <x:c r="U10" s="35" t="str">
        <x:f>IF(T10="","",IF(T10&gt;=0.1,"Strong improvement",IF(T10&gt;=0,"Improving",IF(T10&gt;=-0.1,"Attention","Deteriorating"))))</x:f>
        <x:v>Strong improvement</x:v>
      </x:c>
      <x:c r="V10" s="35" t="str">
        <x:v>Administración</x:v>
      </x:c>
      <x:c r="W10" s="35" t="str">
        <x:v>Anual</x:v>
      </x:c>
      <x:c r="X10" s="35" t="str">
        <x:v>Registros del área / evidencia del proceso</x:v>
      </x:c>
      <x:c r="Y10" s="35" t="str">
        <x:v>Registro fuente, reporte del sistema y evidencia documental de respaldo.</x:v>
      </x:c>
      <x:c r="Z10" s="35" t="str">
        <x:v>Leading/Lagging</x:v>
      </x:c>
      <x:c r="AA10" s="35" t="str">
        <x:v>Manual / por definir</x:v>
      </x:c>
      <x:c r="AB10" s="35" t="str">
        <x:v>Revisar desviación y definir acción correctiva cuando no se alcance la meta.</x:v>
      </x:c>
      <x:c r="AC10" s="35" t="str">
        <x:v>Validar contra evidencia documental y resultado real, no sólo contra actividad reportada.</x:v>
      </x:c>
      <x:c r="AD10" s="35" t="str">
        <x:v>ADM-013_NUM | ADM-013_DEN</x:v>
      </x:c>
      <x:c r="AE10" s="35" t="str">
        <x:v>Convenios renovados antes de vencimiento = 88 # / base; convenios que vencen en 2026 = 88 # / base</x:v>
      </x:c>
      <x:c r="AF10" s="35" t="str">
        <x:v>ADM-004 | ADM-012 | MKT-001 | ADM-001 | ADM-002 | ADM-003 | ADM-016 | MKT-004</x:v>
      </x:c>
      <x:c r="AG10" s="35" t="str">
        <x:v>Top-8 heuristic: same strategic objective &gt; strategic-map adjacency &gt; same department &gt; same BSC perspective.</x:v>
      </x:c>
      <x:c r="AH10" s="35" t="str">
        <x:v>YES</x:v>
      </x:c>
      <x:c r="AI10" s="35" t="str">
        <x:v>PROTOTYPE ONLY — human review required</x:v>
      </x:c>
    </x:row>
    <x:row r="11">
      <x:c r="A11" s="35" t="str">
        <x:v>ADM-014</x:v>
      </x:c>
      <x:c r="B11" s="35" t="str">
        <x:v>Prestadores de servicio social incorporados</x:v>
      </x:c>
      <x:c r="C11" s="35" t="str">
        <x:v>Administración</x:v>
      </x:c>
      <x:c r="D11" s="35" t="str">
        <x:v>Capacidades y tecnología</x:v>
      </x:c>
      <x:c r="E11" s="35" t="str">
        <x:v>L3. Fortalecer capacidades del equipo</x:v>
      </x:c>
      <x:c r="F11" s="35" t="str">
        <x:v>OPERATIVO / DEPARTAMENTAL</x:v>
      </x:c>
      <x:c r="G11" s="35" t="str">
        <x:v>Medir capacidad real obtenida para las áreas. El +10% original es ambiguo sin baseline.</x:v>
      </x:c>
      <x:c r="H11" s="35" t="str">
        <x:v>Número de prestadores que formalizan ingreso durante 2026</x:v>
      </x:c>
      <x:c r="I11" s="35" t="str">
        <x:v>VALUE</x:v>
      </x:c>
      <x:c r="J11" s="35" t="str">
        <x:v>#</x:v>
      </x:c>
      <x:c r="K11" s="35" t="str">
        <x:v>↑</x:v>
      </x:c>
      <x:c r="L11" s="35" t="n">
        <x:v>4</x:v>
      </x:c>
      <x:c r="M11" s="35" t="n">
        <x:v>5</x:v>
      </x:c>
      <x:c r="N11" s="35" t="n">
        <x:v>6</x:v>
      </x:c>
      <x:c r="O11" s="35" t="n">
        <x:v>7</x:v>
      </x:c>
      <x:c r="P11" s="35" t="n">
        <x:v>5</x:v>
      </x:c>
      <x:c r="Q11" s="35" t="str">
        <x:v>≥7</x:v>
      </x:c>
      <x:c r="R11" s="35" t="str">
        <x:v>&lt;7 al cierre de Q3</x:v>
      </x:c>
      <x:c r="S11" s="35" t="str">
        <x:v>&lt;7 al cierre de 2026</x:v>
      </x:c>
      <x:c r="T11" s="54" t="n">
        <x:f>IF(OR(P11="",P11=0,O11=""),"",IF(K11="↑",(O11-P11)/ABS(P11),IF(K11="↓",(P11-O11)/ABS(P11),IF(K11="↔",(ABS(P11)-ABS(O11))/ABS(P11),""))))</x:f>
        <x:v>0.4</x:v>
      </x:c>
      <x:c r="U11" s="35" t="str">
        <x:f>IF(T11="","",IF(T11&gt;=0.1,"Strong improvement",IF(T11&gt;=0,"Improving",IF(T11&gt;=-0.1,"Attention","Deteriorating"))))</x:f>
        <x:v>Strong improvement</x:v>
      </x:c>
      <x:c r="V11" s="35" t="str">
        <x:v>Administración</x:v>
      </x:c>
      <x:c r="W11" s="35" t="str">
        <x:v>Mensual</x:v>
      </x:c>
      <x:c r="X11" s="35" t="str">
        <x:v>Registros del área / evidencia del proceso</x:v>
      </x:c>
      <x:c r="Y11" s="35" t="str">
        <x:v>Registro fuente, reporte del sistema y evidencia documental de respaldo.</x:v>
      </x:c>
      <x:c r="Z11" s="35" t="str">
        <x:v>Leading/Lagging</x:v>
      </x:c>
      <x:c r="AA11" s="35" t="str">
        <x:v>Manual / por definir</x:v>
      </x:c>
      <x:c r="AB11" s="35" t="str">
        <x:v>Revisar desviación y definir acción correctiva cuando no se alcance la meta.</x:v>
      </x:c>
      <x:c r="AC11" s="35" t="str">
        <x:v>Contar sólo prestadores con alta formal y fecha de inicio.</x:v>
      </x:c>
      <x:c r="AD11" s="35" t="str">
        <x:v>ADM-014_VAL</x:v>
      </x:c>
      <x:c r="AE11" s="35" t="str">
        <x:v>Número de prestadores que formalizan ingreso durante 2026 = 7 #</x:v>
      </x:c>
      <x:c r="AF11" s="35" t="str">
        <x:v>LEG-006 | REC-L04 | FND-016 | MKT-008 | ADM-004 | ADM-012 | ADM-013 | MKT-011</x:v>
      </x:c>
      <x:c r="AG11" s="35" t="str">
        <x:v>Top-8 heuristic: same strategic objective &gt; strategic-map adjacency &gt; same department &gt; same BSC perspective.</x:v>
      </x:c>
      <x:c r="AH11" s="35" t="str">
        <x:v>YES</x:v>
      </x:c>
      <x:c r="AI11" s="35" t="str">
        <x:v>PROTOTYPE ONLY — human review required</x:v>
      </x:c>
    </x:row>
    <x:row r="12">
      <x:c r="A12" s="35" t="str">
        <x:v>ADM-015</x:v>
      </x:c>
      <x:c r="B12" s="35" t="str">
        <x:v>Reportes financieros mensuales entregados en tiempo</x:v>
      </x:c>
      <x:c r="C12" s="35" t="str">
        <x:v>Administración</x:v>
      </x:c>
      <x:c r="D12" s="35" t="str">
        <x:v>Sostenibilidad financiera</x:v>
      </x:c>
      <x:c r="E12" s="35" t="str">
        <x:v>F4. Mejorar eficiencia y control presupuestal</x:v>
      </x:c>
      <x:c r="F12" s="35" t="str">
        <x:v>OPERATIVO / DEPARTAMENTAL</x:v>
      </x:c>
      <x:c r="G12" s="35" t="str">
        <x:v>Asegurar disponibilidad oportuna de información financiera; no contar simplemente 5 reportes.</x:v>
      </x:c>
      <x:c r="H12" s="35" t="str">
        <x:v>Reportes financieros entregados dentro de la ventana comprometida ÷ reportes programados en el periodo × 100</x:v>
      </x:c>
      <x:c r="I12" s="35" t="str">
        <x:v>RATIO_PCT</x:v>
      </x:c>
      <x:c r="J12" s="35" t="str">
        <x:v>%</x:v>
      </x:c>
      <x:c r="K12" s="35" t="str">
        <x:v>↑</x:v>
      </x:c>
      <x:c r="L12" s="35" t="n">
        <x:v>84</x:v>
      </x:c>
      <x:c r="M12" s="35" t="n">
        <x:v>88.88888888888889</x:v>
      </x:c>
      <x:c r="N12" s="35" t="n">
        <x:v>93.96551724137932</x:v>
      </x:c>
      <x:c r="O12" s="35" t="n">
        <x:v>100</x:v>
      </x:c>
      <x:c r="P12" s="35" t="n">
        <x:v>88.9514687100894</x:v>
      </x:c>
      <x:c r="Q12" s="35" t="str">
        <x:v>100%</x:v>
      </x:c>
      <x:c r="R12" s="35" t="str">
        <x:v>&lt;100% y ≥95%</x:v>
      </x:c>
      <x:c r="S12" s="35" t="str">
        <x:v>&lt;95%</x:v>
      </x:c>
      <x:c r="T12" s="54" t="n">
        <x:f>IF(OR(P12="",P12=0,O12=""),"",IF(K12="↑",(O12-P12)/ABS(P12),IF(K12="↓",(P12-O12)/ABS(P12),IF(K12="↔",(ABS(P12)-ABS(O12))/ABS(P12),""))))</x:f>
        <x:v>0.12420853135005526</x:v>
      </x:c>
      <x:c r="U12" s="35" t="str">
        <x:f>IF(T12="","",IF(T12&gt;=0.1,"Strong improvement",IF(T12&gt;=0,"Improving",IF(T12&gt;=-0.1,"Attention","Deteriorating"))))</x:f>
        <x:v>Strong improvement</x:v>
      </x:c>
      <x:c r="V12" s="35" t="str">
        <x:v>Administración</x:v>
      </x:c>
      <x:c r="W12" s="35" t="str">
        <x:v>Mensual</x:v>
      </x:c>
      <x:c r="X12" s="35" t="str">
        <x:v>Registros del área / evidencia del proceso</x:v>
      </x:c>
      <x:c r="Y12" s="35" t="str">
        <x:v>Reporte final + sello/acuse o registro de entrega.</x:v>
      </x:c>
      <x:c r="Z12" s="35" t="str">
        <x:v>Lagging</x:v>
      </x:c>
      <x:c r="AA12" s="35" t="str">
        <x:v>Manual / por definir</x:v>
      </x:c>
      <x:c r="AB12" s="35" t="str">
        <x:v>Revisar desviación y definir acción correctiva cuando no se alcance la meta.</x:v>
      </x:c>
      <x:c r="AC12" s="35" t="str">
        <x:v>Registrar fecha real de cierre y entrega; no cambiar retroactivamente la fecha comprometida.</x:v>
      </x:c>
      <x:c r="AD12" s="35" t="str">
        <x:v>ADM-015_NUM | ADM-015_DEN</x:v>
      </x:c>
      <x:c r="AE12" s="35" t="str">
        <x:v>Reportes financieros entregados dentro de la ventana comprometida = 125 # / base; reportes programados en el periodo = 125 # / base</x:v>
      </x:c>
      <x:c r="AF12" s="35" t="str">
        <x:v>LEG-005 | REC-F05 | REC-F06 | ADM-001 | ADM-002 | ADM-003 | ADM-016 | FND-001</x:v>
      </x:c>
      <x:c r="AG12" s="35" t="str">
        <x:v>Top-8 heuristic: same strategic objective &gt; strategic-map adjacency &gt; same department &gt; same BSC perspective.</x:v>
      </x:c>
      <x:c r="AH12" s="35" t="str">
        <x:v>YES</x:v>
      </x:c>
      <x:c r="AI12" s="35" t="str">
        <x:v>PROTOTYPE ONLY — human review required</x:v>
      </x:c>
    </x:row>
    <x:row r="13">
      <x:c r="A13" s="35" t="str">
        <x:v>ADM-016</x:v>
      </x:c>
      <x:c r="B13" s="35" t="str">
        <x:v>Viajes gestionados dentro de una semana</x:v>
      </x:c>
      <x:c r="C13" s="35" t="str">
        <x:v>Administración</x:v>
      </x:c>
      <x:c r="D13" s="35" t="str">
        <x:v>Procesos internos</x:v>
      </x:c>
      <x:c r="E13" s="35" t="str">
        <x:v>P4. Simplificar y digitalizar procesos</x:v>
      </x:c>
      <x:c r="F13" s="35" t="str">
        <x:v>OPERATIVO / DEPARTAMENTAL</x:v>
      </x:c>
      <x:c r="G13" s="35" t="str">
        <x:v>Medir oportunidad, no sólo gestión eventual.</x:v>
      </x:c>
      <x:c r="H13" s="35" t="str">
        <x:v>Viajes gestionados dentro de 7 días desde solicitud completa ÷ viajes solicitados × 100</x:v>
      </x:c>
      <x:c r="I13" s="35" t="str">
        <x:v>RATIO_PCT</x:v>
      </x:c>
      <x:c r="J13" s="35" t="str">
        <x:v>%</x:v>
      </x:c>
      <x:c r="K13" s="35" t="str">
        <x:v>↑</x:v>
      </x:c>
      <x:c r="L13" s="35" t="n">
        <x:v>84</x:v>
      </x:c>
      <x:c r="M13" s="35" t="n">
        <x:v>88.88888888888889</x:v>
      </x:c>
      <x:c r="N13" s="35" t="n">
        <x:v>93.96551724137932</x:v>
      </x:c>
      <x:c r="O13" s="35" t="n">
        <x:v>100</x:v>
      </x:c>
      <x:c r="P13" s="35" t="n">
        <x:v>88.9514687100894</x:v>
      </x:c>
      <x:c r="Q13" s="35" t="str">
        <x:v>100%</x:v>
      </x:c>
      <x:c r="R13" s="35" t="str">
        <x:v>&lt;100% y ≥95%</x:v>
      </x:c>
      <x:c r="S13" s="35" t="str">
        <x:v>&lt;95%</x:v>
      </x:c>
      <x:c r="T13" s="54" t="n">
        <x:f>IF(OR(P13="",P13=0,O13=""),"",IF(K13="↑",(O13-P13)/ABS(P13),IF(K13="↓",(P13-O13)/ABS(P13),IF(K13="↔",(ABS(P13)-ABS(O13))/ABS(P13),""))))</x:f>
        <x:v>0.12420853135005526</x:v>
      </x:c>
      <x:c r="U13" s="35" t="str">
        <x:f>IF(T13="","",IF(T13&gt;=0.1,"Strong improvement",IF(T13&gt;=0,"Improving",IF(T13&gt;=-0.1,"Attention","Deteriorating"))))</x:f>
        <x:v>Strong improvement</x:v>
      </x:c>
      <x:c r="V13" s="35" t="str">
        <x:v>Administración</x:v>
      </x:c>
      <x:c r="W13" s="35" t="str">
        <x:v>Mensual</x:v>
      </x:c>
      <x:c r="X13" s="35" t="str">
        <x:v>Registros del área / evidencia del proceso</x:v>
      </x:c>
      <x:c r="Y13" s="35" t="str">
        <x:v>Registro fuente, reporte del sistema y evidencia documental de respaldo.</x:v>
      </x:c>
      <x:c r="Z13" s="35" t="str">
        <x:v>Leading/Lagging</x:v>
      </x:c>
      <x:c r="AA13" s="35" t="str">
        <x:v>Manual / por definir</x:v>
      </x:c>
      <x:c r="AB13" s="35" t="str">
        <x:v>Revisar desviación y definir acción correctiva cuando no se alcance la meta.</x:v>
      </x:c>
      <x:c r="AC13" s="35" t="str">
        <x:v>El SLA inicia con solicitud completa; urgencias fuera de política se reportan aparte.</x:v>
      </x:c>
      <x:c r="AD13" s="35" t="str">
        <x:v>ADM-016_NUM | ADM-016_DEN</x:v>
      </x:c>
      <x:c r="AE13" s="35" t="str">
        <x:v>Viajes gestionados dentro de 7 días desde solicitud completa = 125.0 días; viajes solicitados = 125 # / base</x:v>
      </x:c>
      <x:c r="AF13" s="35" t="str">
        <x:v>ADM-001 | ADM-002 | ADM-003 | ADM-004 | ADM-006 | ADM-017 | REC-P04 | LEG-001</x:v>
      </x:c>
      <x:c r="AG13" s="35" t="str">
        <x:v>Top-8 heuristic: same strategic objective &gt; strategic-map adjacency &gt; same department &gt; same BSC perspective.</x:v>
      </x:c>
      <x:c r="AH13" s="35" t="str">
        <x:v>YES</x:v>
      </x:c>
      <x:c r="AI13" s="35" t="str">
        <x:v>PROTOTYPE ONLY — human review required</x:v>
      </x:c>
    </x:row>
    <x:row r="14">
      <x:c r="A14" s="35" t="str">
        <x:v>ADM-017</x:v>
      </x:c>
      <x:c r="B14" s="35" t="str">
        <x:v>Viáticos comprobados dentro de 30 días</x:v>
      </x:c>
      <x:c r="C14" s="35" t="str">
        <x:v>Administración</x:v>
      </x:c>
      <x:c r="D14" s="35" t="str">
        <x:v>Procesos internos</x:v>
      </x:c>
      <x:c r="E14" s="35" t="str">
        <x:v>P4. Simplificar y digitalizar procesos</x:v>
      </x:c>
      <x:c r="F14" s="35" t="str">
        <x:v>OPERATIVO / DEPARTAMENTAL</x:v>
      </x:c>
      <x:c r="G14" s="35" t="str">
        <x:v>Reducir rezagos de comprobación y riesgo de control interno.</x:v>
      </x:c>
      <x:c r="H14" s="35" t="str">
        <x:v>Viajes comprobados dentro de 30 días posteriores al regreso ÷ viajes concluidos que requieren comprobación × 100</x:v>
      </x:c>
      <x:c r="I14" s="35" t="str">
        <x:v>RATIO_PCT</x:v>
      </x:c>
      <x:c r="J14" s="35" t="str">
        <x:v>%</x:v>
      </x:c>
      <x:c r="K14" s="35" t="str">
        <x:v>↑</x:v>
      </x:c>
      <x:c r="L14" s="35" t="n">
        <x:v>84</x:v>
      </x:c>
      <x:c r="M14" s="35" t="n">
        <x:v>88.88888888888889</x:v>
      </x:c>
      <x:c r="N14" s="35" t="n">
        <x:v>93.96551724137932</x:v>
      </x:c>
      <x:c r="O14" s="35" t="n">
        <x:v>100</x:v>
      </x:c>
      <x:c r="P14" s="35" t="n">
        <x:v>88.9514687100894</x:v>
      </x:c>
      <x:c r="Q14" s="35" t="str">
        <x:v>100%</x:v>
      </x:c>
      <x:c r="R14" s="35" t="str">
        <x:v>&lt;100% y ≥95%</x:v>
      </x:c>
      <x:c r="S14" s="35" t="str">
        <x:v>&lt;95%</x:v>
      </x:c>
      <x:c r="T14" s="54" t="n">
        <x:f>IF(OR(P14="",P14=0,O14=""),"",IF(K14="↑",(O14-P14)/ABS(P14),IF(K14="↓",(P14-O14)/ABS(P14),IF(K14="↔",(ABS(P14)-ABS(O14))/ABS(P14),""))))</x:f>
        <x:v>0.12420853135005526</x:v>
      </x:c>
      <x:c r="U14" s="35" t="str">
        <x:f>IF(T14="","",IF(T14&gt;=0.1,"Strong improvement",IF(T14&gt;=0,"Improving",IF(T14&gt;=-0.1,"Attention","Deteriorating"))))</x:f>
        <x:v>Strong improvement</x:v>
      </x:c>
      <x:c r="V14" s="35" t="str">
        <x:v>Administración</x:v>
      </x:c>
      <x:c r="W14" s="35" t="str">
        <x:v>Mensual</x:v>
      </x:c>
      <x:c r="X14" s="35" t="str">
        <x:v>Registros del área / evidencia del proceso</x:v>
      </x:c>
      <x:c r="Y14" s="35" t="str">
        <x:v>Registro fuente, reporte del sistema y evidencia documental de respaldo.</x:v>
      </x:c>
      <x:c r="Z14" s="35" t="str">
        <x:v>Leading/Lagging</x:v>
      </x:c>
      <x:c r="AA14" s="35" t="str">
        <x:v>Manual / por definir</x:v>
      </x:c>
      <x:c r="AB14" s="35" t="str">
        <x:v>Revisar desviación y definir acción correctiva cuando no se alcance la meta.</x:v>
      </x:c>
      <x:c r="AC14" s="35" t="str">
        <x:v>Usar fecha de regreso y fecha de comprobación aceptada, no fecha de envío preliminar.</x:v>
      </x:c>
      <x:c r="AD14" s="35" t="str">
        <x:v>ADM-017_NUM | ADM-017_DEN</x:v>
      </x:c>
      <x:c r="AE14" s="35" t="str">
        <x:v>Viajes comprobados dentro de 30 días posteriores al regreso = 125.0 días; viajes concluidos que requieren comprobación = 125 # / base</x:v>
      </x:c>
      <x:c r="AF14" s="35" t="str">
        <x:v>ADM-001 | ADM-002 | ADM-003 | ADM-004 | ADM-006 | ADM-016 | REC-P04 | LEG-001</x:v>
      </x:c>
      <x:c r="AG14" s="35" t="str">
        <x:v>Top-8 heuristic: same strategic objective &gt; strategic-map adjacency &gt; same department &gt; same BSC perspective.</x:v>
      </x:c>
      <x:c r="AH14" s="35" t="str">
        <x:v>YES</x:v>
      </x:c>
      <x:c r="AI14" s="35" t="str">
        <x:v>PROTOTYPE ONLY — human review required</x:v>
      </x:c>
    </x:row>
    <x:row r="15">
      <x:c r="A15" s="35" t="str">
        <x:v>OPS-001</x:v>
      </x:c>
      <x:c r="B15" s="35" t="str">
        <x:v>Países con operación programática activa según modelo definido</x:v>
      </x:c>
      <x:c r="C15" s="35" t="str">
        <x:v>Operaciones</x:v>
      </x:c>
      <x:c r="D15" s="35" t="str">
        <x:v>Resultados estratégicos</x:v>
      </x:c>
      <x:c r="E15" s="35" t="str">
        <x:v>S2. Ampliar alcance geográfico y poblacional</x:v>
      </x:c>
      <x:c r="F15" s="35" t="str">
        <x:v>OPERATIVO / DEPARTAMENTAL</x:v>
      </x:c>
      <x:c r="G15" s="35" t="str">
        <x:v>Medir expansión real y activa, no sólo presencia legal.</x:v>
      </x:c>
      <x:c r="H15" s="35" t="str">
        <x:v>Número de países con al menos un programa activo y esquema operativo documentado</x:v>
      </x:c>
      <x:c r="I15" s="35" t="str">
        <x:v>VALUE</x:v>
      </x:c>
      <x:c r="J15" s="35" t="str">
        <x:v># países</x:v>
      </x:c>
      <x:c r="K15" s="35" t="str">
        <x:v>↑</x:v>
      </x:c>
      <x:c r="L15" s="35" t="n">
        <x:v>2</x:v>
      </x:c>
      <x:c r="M15" s="35" t="n">
        <x:v>3</x:v>
      </x:c>
      <x:c r="N15" s="35" t="n">
        <x:v>3</x:v>
      </x:c>
      <x:c r="O15" s="35" t="n">
        <x:v>4</x:v>
      </x:c>
      <x:c r="P15" s="35" t="n">
        <x:v>2.6666666666666665</x:v>
      </x:c>
      <x:c r="Q15" s="35" t="str">
        <x:v>4 (3 directos + 1 directo o en alianza)</x:v>
      </x:c>
      <x:c r="R15" s="35" t="str">
        <x:v>&lt;4 al Q4</x:v>
      </x:c>
      <x:c r="S15" s="35" t="str">
        <x:v>&lt;3 al Q4</x:v>
      </x:c>
      <x:c r="T15" s="54" t="n">
        <x:f>IF(OR(P15="",P15=0,O15=""),"",IF(K15="↑",(O15-P15)/ABS(P15),IF(K15="↓",(P15-O15)/ABS(P15),IF(K15="↔",(ABS(P15)-ABS(O15))/ABS(P15),""))))</x:f>
        <x:v>0.5000000000000001</x:v>
      </x:c>
      <x:c r="U15" s="35" t="str">
        <x:f>IF(T15="","",IF(T15&gt;=0.1,"Strong improvement",IF(T15&gt;=0,"Improving",IF(T15&gt;=-0.1,"Attention","Deteriorating"))))</x:f>
        <x:v>Strong improvement</x:v>
      </x:c>
      <x:c r="V15" s="35" t="str">
        <x:v>Operaciones</x:v>
      </x:c>
      <x:c r="W15" s="35" t="str">
        <x:v>Trimestral</x:v>
      </x:c>
      <x:c r="X15" s="35" t="str">
        <x:v>Registros del área / evidencia del proceso</x:v>
      </x:c>
      <x:c r="Y15" s="35" t="str">
        <x:v>Registro fuente, reporte del sistema y evidencia documental de respaldo.</x:v>
      </x:c>
      <x:c r="Z15" s="35" t="str">
        <x:v>Lagging</x:v>
      </x:c>
      <x:c r="AA15" s="35" t="str">
        <x:v>Manual / por definir</x:v>
      </x:c>
      <x:c r="AB15" s="35" t="str">
        <x:v>Revisar desviación y definir acción correctiva cuando no se alcance la meta.</x:v>
      </x:c>
      <x:c r="AC15" s="35" t="str">
        <x:v>País activo requiere beneficiarios atendidos, responsable operativo y evidencia de ejecución.</x:v>
      </x:c>
      <x:c r="AD15" s="35" t="str">
        <x:v>OPS-001_VAL</x:v>
      </x:c>
      <x:c r="AE15" s="35" t="str">
        <x:v>Número de países con al menos un programa activo y esquema operativo documentado = 4 #</x:v>
      </x:c>
      <x:c r="AF15" s="35" t="str">
        <x:v>REC-S02 | OPS-002 | OPS-008 | OPS-012 | OPS-013 | OPS-003 | OPS-014 | OPS-015</x:v>
      </x:c>
      <x:c r="AG15" s="35" t="str">
        <x:v>Top-8 heuristic: same strategic objective &gt; strategic-map adjacency &gt; same department &gt; same BSC perspective.</x:v>
      </x:c>
      <x:c r="AH15" s="35" t="str">
        <x:v>YES</x:v>
      </x:c>
      <x:c r="AI15" s="35" t="str">
        <x:v>PROTOTYPE ONLY — human review required</x:v>
      </x:c>
    </x:row>
    <x:row r="16">
      <x:c r="A16" s="35" t="str">
        <x:v>OPS-002</x:v>
      </x:c>
      <x:c r="B16" s="35" t="str">
        <x:v>Asistencia regular de beneficiarios</x:v>
      </x:c>
      <x:c r="C16" s="35" t="str">
        <x:v>Operaciones</x:v>
      </x:c>
      <x:c r="D16" s="35" t="str">
        <x:v>Beneficiarios y grupos de interés</x:v>
      </x:c>
      <x:c r="E16" s="35" t="str">
        <x:v>C1. Incrementar alcance y acceso</x:v>
      </x:c>
      <x:c r="F16" s="35" t="str">
        <x:v>OPERATIVO / DEPARTAMENTAL</x:v>
      </x:c>
      <x:c r="G16" s="35" t="str">
        <x:v>Monitorear adherencia y continuidad de participación.</x:v>
      </x:c>
      <x:c r="H16" s="35" t="str">
        <x:v>Beneficiarios que cumplen criterio de asistencia regular ÷ beneficiarios inscritos activos × 100</x:v>
      </x:c>
      <x:c r="I16" s="35" t="str">
        <x:v>RATIO_PCT</x:v>
      </x:c>
      <x:c r="J16" s="35" t="str">
        <x:v>%</x:v>
      </x:c>
      <x:c r="K16" s="35" t="str">
        <x:v>↑</x:v>
      </x:c>
      <x:c r="L16" s="35" t="n">
        <x:v>66</x:v>
      </x:c>
      <x:c r="M16" s="35" t="n">
        <x:v>70.98765432098766</x:v>
      </x:c>
      <x:c r="N16" s="35" t="n">
        <x:v>75.95785440613027</x:v>
      </x:c>
      <x:c r="O16" s="35" t="n">
        <x:v>81.95555555555556</x:v>
      </x:c>
      <x:c r="P16" s="35" t="n">
        <x:v>70.98183624237264</x:v>
      </x:c>
      <x:c r="Q16" s="35" t="str">
        <x:v>≥80%</x:v>
      </x:c>
      <x:c r="R16" s="35" t="str">
        <x:v>70–79.9%</x:v>
      </x:c>
      <x:c r="S16" s="35" t="str">
        <x:v>&lt;70%</x:v>
      </x:c>
      <x:c r="T16" s="54" t="n">
        <x:f>IF(OR(P16="",P16=0,O16=""),"",IF(K16="↑",(O16-P16)/ABS(P16),IF(K16="↓",(P16-O16)/ABS(P16),IF(K16="↔",(ABS(P16)-ABS(O16))/ABS(P16),""))))</x:f>
        <x:v>0.15459897762735192</x:v>
      </x:c>
      <x:c r="U16" s="35" t="str">
        <x:f>IF(T16="","",IF(T16&gt;=0.1,"Strong improvement",IF(T16&gt;=0,"Improving",IF(T16&gt;=-0.1,"Attention","Deteriorating"))))</x:f>
        <x:v>Strong improvement</x:v>
      </x:c>
      <x:c r="V16" s="35" t="str">
        <x:v>Operaciones</x:v>
      </x:c>
      <x:c r="W16" s="35" t="str">
        <x:v>Mensual</x:v>
      </x:c>
      <x:c r="X16" s="35" t="str">
        <x:v>Registros del área / evidencia del proceso</x:v>
      </x:c>
      <x:c r="Y16" s="35" t="str">
        <x:v>Registro fuente, reporte del sistema y evidencia documental de respaldo.</x:v>
      </x:c>
      <x:c r="Z16" s="35" t="str">
        <x:v>Leading/Lagging</x:v>
      </x:c>
      <x:c r="AA16" s="35" t="str">
        <x:v>Manual / por definir</x:v>
      </x:c>
      <x:c r="AB16" s="35" t="str">
        <x:v>Revisar desviación y definir acción correctiva cuando no se alcance la meta.</x:v>
      </x:c>
      <x:c r="AC16" s="35" t="str">
        <x:v>Definir previamente 'asistencia regular' y no excluir abandonos del denominador sin causa documentada.</x:v>
      </x:c>
      <x:c r="AD16" s="35" t="str">
        <x:v>OPS-002_NUM | OPS-002_DEN</x:v>
      </x:c>
      <x:c r="AE16" s="35" t="str">
        <x:v>Beneficiarios que cumplen criterio de asistencia regular = 922 # / base; beneficiarios inscritos activos = 1,125 # / base</x:v>
      </x:c>
      <x:c r="AF16" s="35" t="str">
        <x:v>OPS-008 | OPS-013 | OPS-014 | OPS-012 | OPS-001 | OPS-015 | REC-C01 | OPS-006</x:v>
      </x:c>
      <x:c r="AG16" s="35" t="str">
        <x:v>Top-8 heuristic: same strategic objective &gt; strategic-map adjacency &gt; same department &gt; same BSC perspective.</x:v>
      </x:c>
      <x:c r="AH16" s="35" t="str">
        <x:v>YES</x:v>
      </x:c>
      <x:c r="AI16" s="35" t="str">
        <x:v>PROTOTYPE ONLY — human review required</x:v>
      </x:c>
    </x:row>
    <x:row r="17">
      <x:c r="A17" s="35" t="str">
        <x:v>OPS-003</x:v>
      </x:c>
      <x:c r="B17" s="35" t="str">
        <x:v>Mejora de habilidades psicosociales</x:v>
      </x:c>
      <x:c r="C17" s="35" t="str">
        <x:v>Operaciones</x:v>
      </x:c>
      <x:c r="D17" s="35" t="str">
        <x:v>Resultados estratégicos</x:v>
      </x:c>
      <x:c r="E17" s="35" t="str">
        <x:v>S1. Generar impacto integral y medible</x:v>
      </x:c>
      <x:c r="F17" s="35" t="str">
        <x:v>OPERATIVO / DEPARTAMENTAL</x:v>
      </x:c>
      <x:c r="G17" s="35" t="str">
        <x:v>Medir outcome psicosocial real.</x:v>
      </x:c>
      <x:c r="H17" s="35" t="str">
        <x:v>Cambio porcentual promedio pre–post en instrumento psicosocial validado</x:v>
      </x:c>
      <x:c r="I17" s="35" t="str">
        <x:v>VALUE</x:v>
      </x:c>
      <x:c r="J17" s="35" t="str">
        <x:v>%</x:v>
      </x:c>
      <x:c r="K17" s="35" t="str">
        <x:v>↑</x:v>
      </x:c>
      <x:c r="L17" s="35" t="n">
        <x:v>19.5</x:v>
      </x:c>
      <x:c r="M17" s="35" t="n">
        <x:v>23.4</x:v>
      </x:c>
      <x:c r="N17" s="35" t="n">
        <x:v>27</x:v>
      </x:c>
      <x:c r="O17" s="35" t="n">
        <x:v>30.6</x:v>
      </x:c>
      <x:c r="P17" s="35" t="n">
        <x:v>23.3</x:v>
      </x:c>
      <x:c r="Q17" s="35" t="str">
        <x:v>≥30%</x:v>
      </x:c>
      <x:c r="R17" s="35" t="str">
        <x:v>20–29.9%</x:v>
      </x:c>
      <x:c r="S17" s="35" t="str">
        <x:v>&lt;20%</x:v>
      </x:c>
      <x:c r="T17" s="54" t="n">
        <x:f>IF(OR(P17="",P17=0,O17=""),"",IF(K17="↑",(O17-P17)/ABS(P17),IF(K17="↓",(P17-O17)/ABS(P17),IF(K17="↔",(ABS(P17)-ABS(O17))/ABS(P17),""))))</x:f>
        <x:v>0.3133047210300429</x:v>
      </x:c>
      <x:c r="U17" s="35" t="str">
        <x:f>IF(T17="","",IF(T17&gt;=0.1,"Strong improvement",IF(T17&gt;=0,"Improving",IF(T17&gt;=-0.1,"Attention","Deteriorating"))))</x:f>
        <x:v>Strong improvement</x:v>
      </x:c>
      <x:c r="V17" s="35" t="str">
        <x:v>Operaciones</x:v>
      </x:c>
      <x:c r="W17" s="35" t="str">
        <x:v>Por cohorte / cierre de programa</x:v>
      </x:c>
      <x:c r="X17" s="35" t="str">
        <x:v>Registros del área / evidencia del proceso</x:v>
      </x:c>
      <x:c r="Y17" s="35" t="str">
        <x:v>Registro fuente, reporte del sistema y evidencia documental de respaldo.</x:v>
      </x:c>
      <x:c r="Z17" s="35" t="str">
        <x:v>Lagging</x:v>
      </x:c>
      <x:c r="AA17" s="35" t="str">
        <x:v>Manual / por definir</x:v>
      </x:c>
      <x:c r="AB17" s="35" t="str">
        <x:v>Revisar desviación y definir acción correctiva cuando no se alcance la meta.</x:v>
      </x:c>
      <x:c r="AC17" s="35" t="str">
        <x:v>Mismo instrumento y ventana pre/post; reportar tamaño de muestra y pérdida de seguimiento.</x:v>
      </x:c>
      <x:c r="AD17" s="35" t="str">
        <x:v>OPS-003_VAL</x:v>
      </x:c>
      <x:c r="AE17" s="35" t="str">
        <x:v>Cambio porcentual promedio pre–post en instrumento psicosocial validado = 30.6%</x:v>
      </x:c>
      <x:c r="AF17" s="35" t="str">
        <x:v>OPS-004 | OPS-005 | OPS-010 | REC-C02 | OPS-002 | OPS-010B | OPS-006 | REC-S01</x:v>
      </x:c>
      <x:c r="AG17" s="35" t="str">
        <x:v>Top-8 heuristic: same strategic objective &gt; strategic-map adjacency &gt; same department &gt; same BSC perspective.</x:v>
      </x:c>
      <x:c r="AH17" s="35" t="str">
        <x:v>YES</x:v>
      </x:c>
      <x:c r="AI17" s="35" t="str">
        <x:v>PROTOTYPE ONLY — human review required</x:v>
      </x:c>
    </x:row>
    <x:row r="18">
      <x:c r="A18" s="35" t="str">
        <x:v>OPS-004</x:v>
      </x:c>
      <x:c r="B18" s="35" t="str">
        <x:v>Mejora de habilidades deportivas</x:v>
      </x:c>
      <x:c r="C18" s="35" t="str">
        <x:v>Operaciones</x:v>
      </x:c>
      <x:c r="D18" s="35" t="str">
        <x:v>Resultados estratégicos</x:v>
      </x:c>
      <x:c r="E18" s="35" t="str">
        <x:v>S1. Generar impacto integral y medible</x:v>
      </x:c>
      <x:c r="F18" s="35" t="str">
        <x:v>OPERATIVO / DEPARTAMENTAL</x:v>
      </x:c>
      <x:c r="G18" s="35" t="str">
        <x:v>Medir desarrollo deportivo real.</x:v>
      </x:c>
      <x:c r="H18" s="35" t="str">
        <x:v>Cambio porcentual promedio pre–post en evaluación deportiva estandarizada</x:v>
      </x:c>
      <x:c r="I18" s="35" t="str">
        <x:v>VALUE</x:v>
      </x:c>
      <x:c r="J18" s="35" t="str">
        <x:v>%</x:v>
      </x:c>
      <x:c r="K18" s="35" t="str">
        <x:v>↑</x:v>
      </x:c>
      <x:c r="L18" s="35" t="n">
        <x:v>19.5</x:v>
      </x:c>
      <x:c r="M18" s="35" t="n">
        <x:v>23.4</x:v>
      </x:c>
      <x:c r="N18" s="35" t="n">
        <x:v>27</x:v>
      </x:c>
      <x:c r="O18" s="35" t="n">
        <x:v>30.6</x:v>
      </x:c>
      <x:c r="P18" s="35" t="n">
        <x:v>23.3</x:v>
      </x:c>
      <x:c r="Q18" s="35" t="str">
        <x:v>≥30%</x:v>
      </x:c>
      <x:c r="R18" s="35" t="str">
        <x:v>20–29.9%</x:v>
      </x:c>
      <x:c r="S18" s="35" t="str">
        <x:v>&lt;20%</x:v>
      </x:c>
      <x:c r="T18" s="54" t="n">
        <x:f>IF(OR(P18="",P18=0,O18=""),"",IF(K18="↑",(O18-P18)/ABS(P18),IF(K18="↓",(P18-O18)/ABS(P18),IF(K18="↔",(ABS(P18)-ABS(O18))/ABS(P18),""))))</x:f>
        <x:v>0.3133047210300429</x:v>
      </x:c>
      <x:c r="U18" s="35" t="str">
        <x:f>IF(T18="","",IF(T18&gt;=0.1,"Strong improvement",IF(T18&gt;=0,"Improving",IF(T18&gt;=-0.1,"Attention","Deteriorating"))))</x:f>
        <x:v>Strong improvement</x:v>
      </x:c>
      <x:c r="V18" s="35" t="str">
        <x:v>Operaciones</x:v>
      </x:c>
      <x:c r="W18" s="35" t="str">
        <x:v>Por cohorte / cierre de programa</x:v>
      </x:c>
      <x:c r="X18" s="35" t="str">
        <x:v>Registros del área / evidencia del proceso</x:v>
      </x:c>
      <x:c r="Y18" s="35" t="str">
        <x:v>Registro fuente, reporte del sistema y evidencia documental de respaldo.</x:v>
      </x:c>
      <x:c r="Z18" s="35" t="str">
        <x:v>Lagging</x:v>
      </x:c>
      <x:c r="AA18" s="35" t="str">
        <x:v>Manual / por definir</x:v>
      </x:c>
      <x:c r="AB18" s="35" t="str">
        <x:v>Revisar desviación y definir acción correctiva cuando no se alcance la meta.</x:v>
      </x:c>
      <x:c r="AC18" s="35" t="str">
        <x:v>Evaluadores capacitados, rúbrica estable y registro de datos faltantes.</x:v>
      </x:c>
      <x:c r="AD18" s="35" t="str">
        <x:v>OPS-004_VAL</x:v>
      </x:c>
      <x:c r="AE18" s="35" t="str">
        <x:v>Cambio porcentual promedio pre–post en evaluación deportiva estandarizada = 30.6%</x:v>
      </x:c>
      <x:c r="AF18" s="35" t="str">
        <x:v>OPS-003 | OPS-005 | OPS-010 | REC-C02 | OPS-002 | OPS-010B | OPS-006 | REC-S01</x:v>
      </x:c>
      <x:c r="AG18" s="35" t="str">
        <x:v>Top-8 heuristic: same strategic objective &gt; strategic-map adjacency &gt; same department &gt; same BSC perspective.</x:v>
      </x:c>
      <x:c r="AH18" s="35" t="str">
        <x:v>YES</x:v>
      </x:c>
      <x:c r="AI18" s="35" t="str">
        <x:v>PROTOTYPE ONLY — human review required</x:v>
      </x:c>
    </x:row>
    <x:row r="19">
      <x:c r="A19" s="35" t="str">
        <x:v>OPS-005</x:v>
      </x:c>
      <x:c r="B19" s="35" t="str">
        <x:v>Incremento del tiempo de actividad física de beneficiarios</x:v>
      </x:c>
      <x:c r="C19" s="35" t="str">
        <x:v>Operaciones</x:v>
      </x:c>
      <x:c r="D19" s="35" t="str">
        <x:v>Resultados estratégicos</x:v>
      </x:c>
      <x:c r="E19" s="35" t="str">
        <x:v>S1. Generar impacto integral y medible</x:v>
      </x:c>
      <x:c r="F19" s="35" t="str">
        <x:v>OPERATIVO / DEPARTAMENTAL</x:v>
      </x:c>
      <x:c r="G19" s="35" t="str">
        <x:v>Medir cambio conductual, no duración programada de las sesiones.</x:v>
      </x:c>
      <x:c r="H19" s="35" t="str">
        <x:v>(Minutos promedio post − minutos promedio baseline) ÷ minutos promedio baseline × 100</x:v>
      </x:c>
      <x:c r="I19" s="35" t="str">
        <x:v>CHANGE_PCT</x:v>
      </x:c>
      <x:c r="J19" s="35" t="str">
        <x:v>%</x:v>
      </x:c>
      <x:c r="K19" s="35" t="str">
        <x:v>↑</x:v>
      </x:c>
      <x:c r="L19" s="35" t="n">
        <x:v>19.5</x:v>
      </x:c>
      <x:c r="M19" s="35" t="n">
        <x:v>23.398058252427177</x:v>
      </x:c>
      <x:c r="N19" s="35" t="n">
        <x:v>27</x:v>
      </x:c>
      <x:c r="O19" s="35" t="n">
        <x:v>30.596330275229356</x:v>
      </x:c>
      <x:c r="P19" s="35" t="n">
        <x:v>23.29935275080906</x:v>
      </x:c>
      <x:c r="Q19" s="35" t="str">
        <x:v>≥30%</x:v>
      </x:c>
      <x:c r="R19" s="35" t="str">
        <x:v>20–29.9%</x:v>
      </x:c>
      <x:c r="S19" s="35" t="str">
        <x:v>&lt;20%</x:v>
      </x:c>
      <x:c r="T19" s="54" t="n">
        <x:f>IF(OR(P19="",P19=0,O19=""),"",IF(K19="↑",(O19-P19)/ABS(P19),IF(K19="↓",(P19-O19)/ABS(P19),IF(K19="↔",(ABS(P19)-ABS(O19))/ABS(P19),""))))</x:f>
        <x:v>0.31318370095782644</x:v>
      </x:c>
      <x:c r="U19" s="35" t="str">
        <x:f>IF(T19="","",IF(T19&gt;=0.1,"Strong improvement",IF(T19&gt;=0,"Improving",IF(T19&gt;=-0.1,"Attention","Deteriorating"))))</x:f>
        <x:v>Strong improvement</x:v>
      </x:c>
      <x:c r="V19" s="35" t="str">
        <x:v>Operaciones</x:v>
      </x:c>
      <x:c r="W19" s="35" t="str">
        <x:v>Por cohorte</x:v>
      </x:c>
      <x:c r="X19" s="35" t="str">
        <x:v>Registros del área / evidencia del proceso</x:v>
      </x:c>
      <x:c r="Y19" s="35" t="str">
        <x:v>Registro fuente, reporte del sistema y evidencia documental de respaldo.</x:v>
      </x:c>
      <x:c r="Z19" s="35" t="str">
        <x:v>Lagging</x:v>
      </x:c>
      <x:c r="AA19" s="35" t="str">
        <x:v>Manual / por definir</x:v>
      </x:c>
      <x:c r="AB19" s="35" t="str">
        <x:v>Revisar desviación y definir acción correctiva cuando no se alcance la meta.</x:v>
      </x:c>
      <x:c r="AC19" s="35" t="str">
        <x:v>Usar método de medición consistente y distinguir actividad en sesión vs actividad total semanal.</x:v>
      </x:c>
      <x:c r="AD19" s="35" t="str">
        <x:v>OPS-005_A | OPS-005_B</x:v>
      </x:c>
      <x:c r="AE19" s="35" t="str">
        <x:v>Minutos promedio post = 142.35 minutos; minutos promedio baseline = 109.00 minutos</x:v>
      </x:c>
      <x:c r="AF19" s="35" t="str">
        <x:v>OPS-003 | OPS-004 | OPS-010 | REC-C02 | OPS-002 | OPS-010B | OPS-006 | REC-S01</x:v>
      </x:c>
      <x:c r="AG19" s="35" t="str">
        <x:v>Top-8 heuristic: same strategic objective &gt; strategic-map adjacency &gt; same department &gt; same BSC perspective.</x:v>
      </x:c>
      <x:c r="AH19" s="35" t="str">
        <x:v>YES</x:v>
      </x:c>
      <x:c r="AI19" s="35" t="str">
        <x:v>PROTOTYPE ONLY — human review required</x:v>
      </x:c>
    </x:row>
    <x:row r="20">
      <x:c r="A20" s="35" t="str">
        <x:v>OPS-006</x:v>
      </x:c>
      <x:c r="B20" s="35" t="str">
        <x:v>Beneficiarios que alcanzan competencia deportiva inicial</x:v>
      </x:c>
      <x:c r="C20" s="35" t="str">
        <x:v>Operaciones</x:v>
      </x:c>
      <x:c r="D20" s="35" t="str">
        <x:v>Beneficiarios y grupos de interés</x:v>
      </x:c>
      <x:c r="E20" s="35" t="str">
        <x:v>C2. Mejorar resultados obtenidos</x:v>
      </x:c>
      <x:c r="F20" s="35" t="str">
        <x:v>OPERATIVO / DEPARTAMENTAL</x:v>
      </x:c>
      <x:c r="G20" s="35" t="str">
        <x:v>Convertir el '70% de habilidad' en una proporción interpretable.</x:v>
      </x:c>
      <x:c r="H20" s="35" t="str">
        <x:v>Beneficiarios que alcanzan el umbral de competencia inicial ÷ beneficiarios evaluados × 100</x:v>
      </x:c>
      <x:c r="I20" s="35" t="str">
        <x:v>RATIO_PCT</x:v>
      </x:c>
      <x:c r="J20" s="35" t="str">
        <x:v>%</x:v>
      </x:c>
      <x:c r="K20" s="35" t="str">
        <x:v>↑</x:v>
      </x:c>
      <x:c r="L20" s="35" t="n">
        <x:v>56.00000000000001</x:v>
      </x:c>
      <x:c r="M20" s="35" t="n">
        <x:v>61.008230452674894</x:v>
      </x:c>
      <x:c r="N20" s="35" t="n">
        <x:v>65.99616858237547</x:v>
      </x:c>
      <x:c r="O20" s="35" t="n">
        <x:v>72</x:v>
      </x:c>
      <x:c r="P20" s="35" t="n">
        <x:v>61.00146634501679</x:v>
      </x:c>
      <x:c r="Q20" s="35" t="str">
        <x:v>≥70%</x:v>
      </x:c>
      <x:c r="R20" s="35" t="str">
        <x:v>60–69.9%</x:v>
      </x:c>
      <x:c r="S20" s="35" t="str">
        <x:v>&lt;60%</x:v>
      </x:c>
      <x:c r="T20" s="54" t="n">
        <x:f>IF(OR(P20="",P20=0,O20=""),"",IF(K20="↑",(O20-P20)/ABS(P20),IF(K20="↓",(P20-O20)/ABS(P20),IF(K20="↔",(ABS(P20)-ABS(O20))/ABS(P20),""))))</x:f>
        <x:v>0.18029949629041472</x:v>
      </x:c>
      <x:c r="U20" s="35" t="str">
        <x:f>IF(T20="","",IF(T20&gt;=0.1,"Strong improvement",IF(T20&gt;=0,"Improving",IF(T20&gt;=-0.1,"Attention","Deteriorating"))))</x:f>
        <x:v>Strong improvement</x:v>
      </x:c>
      <x:c r="V20" s="35" t="str">
        <x:v>Operaciones</x:v>
      </x:c>
      <x:c r="W20" s="35" t="str">
        <x:v>Por cohorte</x:v>
      </x:c>
      <x:c r="X20" s="35" t="str">
        <x:v>Registros del área / evidencia del proceso</x:v>
      </x:c>
      <x:c r="Y20" s="35" t="str">
        <x:v>Registro fuente, reporte del sistema y evidencia documental de respaldo.</x:v>
      </x:c>
      <x:c r="Z20" s="35" t="str">
        <x:v>Leading/Lagging</x:v>
      </x:c>
      <x:c r="AA20" s="35" t="str">
        <x:v>Manual / por definir</x:v>
      </x:c>
      <x:c r="AB20" s="35" t="str">
        <x:v>Revisar desviación y definir acción correctiva cuando no se alcance la meta.</x:v>
      </x:c>
      <x:c r="AC20" s="35" t="str">
        <x:v>Definir umbral antes del programa y mantener rúbrica común.</x:v>
      </x:c>
      <x:c r="AD20" s="35" t="str">
        <x:v>OPS-006_NUM | OPS-006_DEN</x:v>
      </x:c>
      <x:c r="AE20" s="35" t="str">
        <x:v>Beneficiarios que alcanzan el umbral de competencia inicial = 810 # / base; beneficiarios evaluados = 1,125 # / base</x:v>
      </x:c>
      <x:c r="AF20" s="35" t="str">
        <x:v>REC-C02 | OPS-009 | OPS-012 | OPS-019 | OPS-003 | OPS-002 | OPS-004 | OPS-005</x:v>
      </x:c>
      <x:c r="AG20" s="35" t="str">
        <x:v>Top-8 heuristic: same strategic objective &gt; strategic-map adjacency &gt; same department &gt; same BSC perspective.</x:v>
      </x:c>
      <x:c r="AH20" s="35" t="str">
        <x:v>YES</x:v>
      </x:c>
      <x:c r="AI20" s="35" t="str">
        <x:v>PROTOTYPE ONLY — human review required</x:v>
      </x:c>
    </x:row>
    <x:row r="21">
      <x:c r="A21" s="35" t="str">
        <x:v>OPS-008</x:v>
      </x:c>
      <x:c r="B21" s="35" t="str">
        <x:v>Cobertura del piloto de nutrición infantil</x:v>
      </x:c>
      <x:c r="C21" s="35" t="str">
        <x:v>Operaciones</x:v>
      </x:c>
      <x:c r="D21" s="35" t="str">
        <x:v>Beneficiarios y grupos de interés</x:v>
      </x:c>
      <x:c r="E21" s="35" t="str">
        <x:v>C1. Incrementar alcance y acceso</x:v>
      </x:c>
      <x:c r="F21" s="35" t="str">
        <x:v>ESTRATÉGICO / DEPARTAMENTAL</x:v>
      </x:c>
      <x:c r="G21" s="35" t="str">
        <x:v>Medir cobertura del piloto; la comunidad es un hito, no un KPI.</x:v>
      </x:c>
      <x:c r="H21" s="35" t="str">
        <x:v>NNA incorporados al piloto ÷ meta de participantes × 100</x:v>
      </x:c>
      <x:c r="I21" s="35" t="str">
        <x:v>RATIO_PCT</x:v>
      </x:c>
      <x:c r="J21" s="35" t="str">
        <x:v>%</x:v>
      </x:c>
      <x:c r="K21" s="35" t="str">
        <x:v>↑</x:v>
      </x:c>
      <x:c r="L21" s="35" t="n">
        <x:v>84</x:v>
      </x:c>
      <x:c r="M21" s="35" t="n">
        <x:v>88.88888888888889</x:v>
      </x:c>
      <x:c r="N21" s="35" t="n">
        <x:v>93.96551724137932</x:v>
      </x:c>
      <x:c r="O21" s="35" t="n">
        <x:v>100</x:v>
      </x:c>
      <x:c r="P21" s="35" t="n">
        <x:v>88.9514687100894</x:v>
      </x:c>
      <x:c r="Q21" s="35" t="str">
        <x:v>100%</x:v>
      </x:c>
      <x:c r="R21" s="35" t="str">
        <x:v>90–99%</x:v>
      </x:c>
      <x:c r="S21" s="35" t="str">
        <x:v>&lt;90%</x:v>
      </x:c>
      <x:c r="T21" s="54" t="n">
        <x:f>IF(OR(P21="",P21=0,O21=""),"",IF(K21="↑",(O21-P21)/ABS(P21),IF(K21="↓",(P21-O21)/ABS(P21),IF(K21="↔",(ABS(P21)-ABS(O21))/ABS(P21),""))))</x:f>
        <x:v>0.12420853135005526</x:v>
      </x:c>
      <x:c r="U21" s="35" t="str">
        <x:f>IF(T21="","",IF(T21&gt;=0.1,"Strong improvement",IF(T21&gt;=0,"Improving",IF(T21&gt;=-0.1,"Attention","Deteriorating"))))</x:f>
        <x:v>Strong improvement</x:v>
      </x:c>
      <x:c r="V21" s="35" t="str">
        <x:v>Operaciones</x:v>
      </x:c>
      <x:c r="W21" s="35" t="str">
        <x:v>Mensual durante implementación</x:v>
      </x:c>
      <x:c r="X21" s="35" t="str">
        <x:v>Registros del área / evidencia del proceso</x:v>
      </x:c>
      <x:c r="Y21" s="35" t="str">
        <x:v>Documento firmado/aprobado, acuse o evidencia de cierre.</x:v>
      </x:c>
      <x:c r="Z21" s="35" t="str">
        <x:v>Leading/Lagging</x:v>
      </x:c>
      <x:c r="AA21" s="35" t="str">
        <x:v>Manual / por definir</x:v>
      </x:c>
      <x:c r="AB21" s="35" t="str">
        <x:v>Revisar desviación y definir acción correctiva cuando no se alcance la meta.</x:v>
      </x:c>
      <x:c r="AC21" s="35" t="str">
        <x:v>Contar sólo participantes con alta y medición basal.</x:v>
      </x:c>
      <x:c r="AD21" s="35" t="str">
        <x:v>OPS-008_NUM | OPS-008_DEN</x:v>
      </x:c>
      <x:c r="AE21" s="35" t="str">
        <x:v>NNA incorporados al piloto = 125 # / base; meta de participantes = 125 # / base</x:v>
      </x:c>
      <x:c r="AF21" s="35" t="str">
        <x:v>OPS-002 | OPS-013 | OPS-014 | OPS-012 | OPS-001 | OPS-015 | REC-C01 | OPS-006</x:v>
      </x:c>
      <x:c r="AG21" s="35" t="str">
        <x:v>Top-8 heuristic: same strategic objective &gt; strategic-map adjacency &gt; same department &gt; same BSC perspective.</x:v>
      </x:c>
      <x:c r="AH21" s="35" t="str">
        <x:v>YES</x:v>
      </x:c>
      <x:c r="AI21" s="35" t="str">
        <x:v>PROTOTYPE ONLY — human review required</x:v>
      </x:c>
    </x:row>
    <x:row r="22">
      <x:c r="A22" s="35" t="str">
        <x:v>OPS-009</x:v>
      </x:c>
      <x:c r="B22" s="35" t="str">
        <x:v>Cobertura de seguimiento nutricional con registros completos</x:v>
      </x:c>
      <x:c r="C22" s="35" t="str">
        <x:v>Operaciones</x:v>
      </x:c>
      <x:c r="D22" s="35" t="str">
        <x:v>Procesos internos</x:v>
      </x:c>
      <x:c r="E22" s="35" t="str">
        <x:v>P2. Fortalecer medición de impacto</x:v>
      </x:c>
      <x:c r="F22" s="35" t="str">
        <x:v>ESTRATÉGICO / DEPARTAMENTAL</x:v>
      </x:c>
      <x:c r="G22" s="35" t="str">
        <x:v>Asegurar calidad del dato para evaluar impacto del piloto.</x:v>
      </x:c>
      <x:c r="H22" s="35" t="str">
        <x:v>Participantes con mediciones periódicas completas ÷ participantes activos elegibles × 100</x:v>
      </x:c>
      <x:c r="I22" s="35" t="str">
        <x:v>RATIO_PCT</x:v>
      </x:c>
      <x:c r="J22" s="35" t="str">
        <x:v>%</x:v>
      </x:c>
      <x:c r="K22" s="35" t="str">
        <x:v>↑</x:v>
      </x:c>
      <x:c r="L22" s="35" t="n">
        <x:v>79</x:v>
      </x:c>
      <x:c r="M22" s="35" t="n">
        <x:v>84.25925925925925</x:v>
      </x:c>
      <x:c r="N22" s="35" t="n">
        <x:v>88.79310344827587</x:v>
      </x:c>
      <x:c r="O22" s="35" t="n">
        <x:v>96</x:v>
      </x:c>
      <x:c r="P22" s="35" t="n">
        <x:v>84.01745423584504</x:v>
      </x:c>
      <x:c r="Q22" s="35" t="str">
        <x:v>≥95%</x:v>
      </x:c>
      <x:c r="R22" s="35" t="str">
        <x:v>90–94.9%</x:v>
      </x:c>
      <x:c r="S22" s="35" t="str">
        <x:v>&lt;90%</x:v>
      </x:c>
      <x:c r="T22" s="54" t="n">
        <x:f>IF(OR(P22="",P22=0,O22=""),"",IF(K22="↑",(O22-P22)/ABS(P22),IF(K22="↓",(P22-O22)/ABS(P22),IF(K22="↔",(ABS(P22)-ABS(O22))/ABS(P22),""))))</x:f>
        <x:v>0.14261971959444059</x:v>
      </x:c>
      <x:c r="U22" s="35" t="str">
        <x:f>IF(T22="","",IF(T22&gt;=0.1,"Strong improvement",IF(T22&gt;=0,"Improving",IF(T22&gt;=-0.1,"Attention","Deteriorating"))))</x:f>
        <x:v>Strong improvement</x:v>
      </x:c>
      <x:c r="V22" s="35" t="str">
        <x:v>Operaciones</x:v>
      </x:c>
      <x:c r="W22" s="35" t="str">
        <x:v>Mensual</x:v>
      </x:c>
      <x:c r="X22" s="35" t="str">
        <x:v>Registros del área / evidencia del proceso</x:v>
      </x:c>
      <x:c r="Y22" s="35" t="str">
        <x:v>Documento firmado/aprobado, acuse o evidencia de cierre.</x:v>
      </x:c>
      <x:c r="Z22" s="35" t="str">
        <x:v>Leading/Lagging</x:v>
      </x:c>
      <x:c r="AA22" s="35" t="str">
        <x:v>Manual / por definir</x:v>
      </x:c>
      <x:c r="AB22" s="35" t="str">
        <x:v>Revisar desviación y definir acción correctiva cuando no se alcance la meta.</x:v>
      </x:c>
      <x:c r="AC22" s="35" t="str">
        <x:v>Definir campos obligatorios y no considerar 'completo' un registro con mediciones críticas faltantes.</x:v>
      </x:c>
      <x:c r="AD22" s="35" t="str">
        <x:v>OPS-009_NUM | OPS-009_DEN</x:v>
      </x:c>
      <x:c r="AE22" s="35" t="str">
        <x:v>Participantes con mediciones periódicas completas = 120 # / base; participantes activos elegibles = 125 # / base</x:v>
      </x:c>
      <x:c r="AF22" s="35" t="str">
        <x:v>OPS-019 | REC-P02 | MKT-002 | OPS-006 | OPS-003 | OPS-004 | OPS-005 | OPS-012</x:v>
      </x:c>
      <x:c r="AG22" s="35" t="str">
        <x:v>Top-8 heuristic: same strategic objective &gt; strategic-map adjacency &gt; same department &gt; same BSC perspective.</x:v>
      </x:c>
      <x:c r="AH22" s="35" t="str">
        <x:v>YES</x:v>
      </x:c>
      <x:c r="AI22" s="35" t="str">
        <x:v>PROTOTYPE ONLY — human review required</x:v>
      </x:c>
    </x:row>
    <x:row r="23">
      <x:c r="A23" s="35" t="str">
        <x:v>OPS-010</x:v>
      </x:c>
      <x:c r="B23" s="35" t="str">
        <x:v>Incremento de actividad física — programa de nutrición</x:v>
      </x:c>
      <x:c r="C23" s="35" t="str">
        <x:v>Operaciones</x:v>
      </x:c>
      <x:c r="D23" s="35" t="str">
        <x:v>Resultados estratégicos</x:v>
      </x:c>
      <x:c r="E23" s="35" t="str">
        <x:v>S1. Generar impacto integral y medible</x:v>
      </x:c>
      <x:c r="F23" s="35" t="str">
        <x:v>OPERATIVO / DEPARTAMENTAL</x:v>
      </x:c>
      <x:c r="G23" s="35" t="str">
        <x:v>Separar el outcome de actividad física del acceso a suplemento.</x:v>
      </x:c>
      <x:c r="H23" s="35" t="str">
        <x:v>(Actividad física post − baseline) ÷ baseline × 100</x:v>
      </x:c>
      <x:c r="I23" s="35" t="str">
        <x:v>CHANGE_PCT</x:v>
      </x:c>
      <x:c r="J23" s="35" t="str">
        <x:v>%</x:v>
      </x:c>
      <x:c r="K23" s="35" t="str">
        <x:v>↑</x:v>
      </x:c>
      <x:c r="L23" s="35" t="n">
        <x:v>46</x:v>
      </x:c>
      <x:c r="M23" s="35" t="n">
        <x:v>51</x:v>
      </x:c>
      <x:c r="N23" s="35" t="n">
        <x:v>56.000000000000014</x:v>
      </x:c>
      <x:c r="O23" s="35" t="n">
        <x:v>62.000000000000014</x:v>
      </x:c>
      <x:c r="P23" s="35" t="n">
        <x:v>51</x:v>
      </x:c>
      <x:c r="Q23" s="35" t="str">
        <x:v>≥60%</x:v>
      </x:c>
      <x:c r="R23" s="35" t="str">
        <x:v>40–59.9%</x:v>
      </x:c>
      <x:c r="S23" s="35" t="str">
        <x:v>&lt;40%</x:v>
      </x:c>
      <x:c r="T23" s="54" t="n">
        <x:f>IF(OR(P23="",P23=0,O23=""),"",IF(K23="↑",(O23-P23)/ABS(P23),IF(K23="↓",(P23-O23)/ABS(P23),IF(K23="↔",(ABS(P23)-ABS(O23))/ABS(P23),""))))</x:f>
        <x:v>0.2156862745098042</x:v>
      </x:c>
      <x:c r="U23" s="35" t="str">
        <x:f>IF(T23="","",IF(T23&gt;=0.1,"Strong improvement",IF(T23&gt;=0,"Improving",IF(T23&gt;=-0.1,"Attention","Deteriorating"))))</x:f>
        <x:v>Strong improvement</x:v>
      </x:c>
      <x:c r="V23" s="35" t="str">
        <x:v>Operaciones</x:v>
      </x:c>
      <x:c r="W23" s="35" t="str">
        <x:v>Por cohorte</x:v>
      </x:c>
      <x:c r="X23" s="35" t="str">
        <x:v>Registros del área / evidencia del proceso</x:v>
      </x:c>
      <x:c r="Y23" s="35" t="str">
        <x:v>Registro fuente, reporte del sistema y evidencia documental de respaldo.</x:v>
      </x:c>
      <x:c r="Z23" s="35" t="str">
        <x:v>Lagging</x:v>
      </x:c>
      <x:c r="AA23" s="35" t="str">
        <x:v>Manual / por definir</x:v>
      </x:c>
      <x:c r="AB23" s="35" t="str">
        <x:v>Revisar desviación y definir acción correctiva cuando no se alcance la meta.</x:v>
      </x:c>
      <x:c r="AC23" s="35" t="str">
        <x:v>Misma métrica pre/post; reportar adherencia y pérdidas.</x:v>
      </x:c>
      <x:c r="AD23" s="35" t="str">
        <x:v>OPS-010_A | OPS-010_B</x:v>
      </x:c>
      <x:c r="AE23" s="35" t="str">
        <x:v>Actividad física post = 177 # / base; baseline = 109 # / base</x:v>
      </x:c>
      <x:c r="AF23" s="35" t="str">
        <x:v>OPS-003 | OPS-004 | OPS-005 | REC-C02 | OPS-002 | OPS-010B | OPS-006 | REC-S01</x:v>
      </x:c>
      <x:c r="AG23" s="35" t="str">
        <x:v>Top-8 heuristic: same strategic objective &gt; strategic-map adjacency &gt; same department &gt; same BSC perspective.</x:v>
      </x:c>
      <x:c r="AH23" s="35" t="str">
        <x:v>YES</x:v>
      </x:c>
      <x:c r="AI23" s="35" t="str">
        <x:v>PROTOTYPE ONLY — human review required</x:v>
      </x:c>
    </x:row>
    <x:row r="24">
      <x:c r="A24" s="35" t="str">
        <x:v>OPS-012</x:v>
      </x:c>
      <x:c r="B24" s="35" t="str">
        <x:v>Países con plan de escalamiento de nutrición listo para 2027</x:v>
      </x:c>
      <x:c r="C24" s="35" t="str">
        <x:v>Operaciones</x:v>
      </x:c>
      <x:c r="D24" s="35" t="str">
        <x:v>Procesos internos</x:v>
      </x:c>
      <x:c r="E24" s="35" t="str">
        <x:v>P1. Estandarizar y escalar programas</x:v>
      </x:c>
      <x:c r="F24" s="35" t="str">
        <x:v>OPERATIVO / DEPARTAMENTAL</x:v>
      </x:c>
      <x:c r="G24" s="35" t="str">
        <x:v>Medir readiness de expansión, no sólo producir documentos.</x:v>
      </x:c>
      <x:c r="H24" s="35" t="str">
        <x:v>Países objetivo con plan operativo aprobado y listo para ejecución ÷ países objetivo × 100</x:v>
      </x:c>
      <x:c r="I24" s="35" t="str">
        <x:v>RATIO_PCT</x:v>
      </x:c>
      <x:c r="J24" s="35" t="str">
        <x:v>%</x:v>
      </x:c>
      <x:c r="K24" s="35" t="str">
        <x:v>↑</x:v>
      </x:c>
      <x:c r="L24" s="35" t="n">
        <x:v>75</x:v>
      </x:c>
      <x:c r="M24" s="35" t="n">
        <x:v>100</x:v>
      </x:c>
      <x:c r="N24" s="35" t="n">
        <x:v>100</x:v>
      </x:c>
      <x:c r="O24" s="35" t="n">
        <x:v>100</x:v>
      </x:c>
      <x:c r="P24" s="35" t="n">
        <x:v>91.66666666666667</x:v>
      </x:c>
      <x:c r="Q24" s="35" t="str">
        <x:v>100% (2 de 2)</x:v>
      </x:c>
      <x:c r="R24" s="35" t="str">
        <x:v>&lt;100% al Q4</x:v>
      </x:c>
      <x:c r="S24" s="35" t="str">
        <x:v>&lt;50% al Q4</x:v>
      </x:c>
      <x:c r="T24" s="54" t="n">
        <x:f>IF(OR(P24="",P24=0,O24=""),"",IF(K24="↑",(O24-P24)/ABS(P24),IF(K24="↓",(P24-O24)/ABS(P24),IF(K24="↔",(ABS(P24)-ABS(O24))/ABS(P24),""))))</x:f>
        <x:v>0.09090909090909086</x:v>
      </x:c>
      <x:c r="U24" s="35" t="str">
        <x:f>IF(T24="","",IF(T24&gt;=0.1,"Strong improvement",IF(T24&gt;=0,"Improving",IF(T24&gt;=-0.1,"Attention","Deteriorating"))))</x:f>
        <x:v>Improving</x:v>
      </x:c>
      <x:c r="V24" s="35" t="str">
        <x:v>Operaciones</x:v>
      </x:c>
      <x:c r="W24" s="35" t="str">
        <x:v>Trimestral</x:v>
      </x:c>
      <x:c r="X24" s="35" t="str">
        <x:v>Registros del área / evidencia del proceso</x:v>
      </x:c>
      <x:c r="Y24" s="35" t="str">
        <x:v>Documento firmado/aprobado, acuse o evidencia de cierre.</x:v>
      </x:c>
      <x:c r="Z24" s="35" t="str">
        <x:v>Leading/Lagging</x:v>
      </x:c>
      <x:c r="AA24" s="35" t="str">
        <x:v>Manual / por definir</x:v>
      </x:c>
      <x:c r="AB24" s="35" t="str">
        <x:v>Revisar desviación y definir acción correctiva cuando no se alcance la meta.</x:v>
      </x:c>
      <x:c r="AC24" s="35" t="str">
        <x:v>Plan 'listo' exige presupuesto preliminar, aliados/requisitos y responsable identificado.</x:v>
      </x:c>
      <x:c r="AD24" s="35" t="str">
        <x:v>OPS-012_NUM | OPS-012_DEN</x:v>
      </x:c>
      <x:c r="AE24" s="35" t="str">
        <x:v>Países objetivo con plan operativo aprobado y listo para ejecución = 4 # / base; países objetivo = 4 # / base</x:v>
      </x:c>
      <x:c r="AF24" s="35" t="str">
        <x:v>REC-P01 | OPS-002 | OPS-006 | OPS-008 | OPS-013 | OPS-009 | OPS-014 | OPS-015</x:v>
      </x:c>
      <x:c r="AG24" s="35" t="str">
        <x:v>Top-8 heuristic: same strategic objective &gt; strategic-map adjacency &gt; same department &gt; same BSC perspective.</x:v>
      </x:c>
      <x:c r="AH24" s="35" t="str">
        <x:v>YES</x:v>
      </x:c>
      <x:c r="AI24" s="35" t="str">
        <x:v>PROTOTYPE ONLY — human review required</x:v>
      </x:c>
    </x:row>
    <x:row r="25">
      <x:c r="A25" s="35" t="str">
        <x:v>OPS-013</x:v>
      </x:c>
      <x:c r="B25" s="35" t="str">
        <x:v>Cumplimiento de cobertura — Sueña Chivas Estadio</x:v>
      </x:c>
      <x:c r="C25" s="35" t="str">
        <x:v>Operaciones</x:v>
      </x:c>
      <x:c r="D25" s="35" t="str">
        <x:v>Beneficiarios y grupos de interés</x:v>
      </x:c>
      <x:c r="E25" s="35" t="str">
        <x:v>C1. Incrementar alcance y acceso</x:v>
      </x:c>
      <x:c r="F25" s="35" t="str">
        <x:v>ESTRATÉGICO / DEPARTAMENTAL</x:v>
      </x:c>
      <x:c r="G25" s="35" t="str">
        <x:v>Medir cobertura real; eventos son driver operativo.</x:v>
      </x:c>
      <x:c r="H25" s="35" t="str">
        <x:v>Participantes atendidos ÷ meta anual de participantes × 100</x:v>
      </x:c>
      <x:c r="I25" s="35" t="str">
        <x:v>RATIO_PCT</x:v>
      </x:c>
      <x:c r="J25" s="35" t="str">
        <x:v>%</x:v>
      </x:c>
      <x:c r="K25" s="35" t="str">
        <x:v>↑</x:v>
      </x:c>
      <x:c r="L25" s="35" t="n">
        <x:v>84</x:v>
      </x:c>
      <x:c r="M25" s="35" t="n">
        <x:v>88.88888888888889</x:v>
      </x:c>
      <x:c r="N25" s="35" t="n">
        <x:v>93.96551724137932</x:v>
      </x:c>
      <x:c r="O25" s="35" t="n">
        <x:v>100</x:v>
      </x:c>
      <x:c r="P25" s="35" t="n">
        <x:v>88.9514687100894</x:v>
      </x:c>
      <x:c r="Q25" s="35" t="str">
        <x:v>100% (3,200; 32 eventos)</x:v>
      </x:c>
      <x:c r="R25" s="35" t="str">
        <x:v>90–99%</x:v>
      </x:c>
      <x:c r="S25" s="35" t="str">
        <x:v>&lt;90%</x:v>
      </x:c>
      <x:c r="T25" s="54" t="n">
        <x:f>IF(OR(P25="",P25=0,O25=""),"",IF(K25="↑",(O25-P25)/ABS(P25),IF(K25="↓",(P25-O25)/ABS(P25),IF(K25="↔",(ABS(P25)-ABS(O25))/ABS(P25),""))))</x:f>
        <x:v>0.12420853135005526</x:v>
      </x:c>
      <x:c r="U25" s="35" t="str">
        <x:f>IF(T25="","",IF(T25&gt;=0.1,"Strong improvement",IF(T25&gt;=0,"Improving",IF(T25&gt;=-0.1,"Attention","Deteriorating"))))</x:f>
        <x:v>Strong improvement</x:v>
      </x:c>
      <x:c r="V25" s="35" t="str">
        <x:v>Operaciones</x:v>
      </x:c>
      <x:c r="W25" s="35" t="str">
        <x:v>Mensual / acumulado</x:v>
      </x:c>
      <x:c r="X25" s="35" t="str">
        <x:v>Registros del área / evidencia del proceso</x:v>
      </x:c>
      <x:c r="Y25" s="35" t="str">
        <x:v>Registro fuente, reporte del sistema y evidencia documental de respaldo.</x:v>
      </x:c>
      <x:c r="Z25" s="35" t="str">
        <x:v>Leading/Lagging</x:v>
      </x:c>
      <x:c r="AA25" s="35" t="str">
        <x:v>Manual / por definir</x:v>
      </x:c>
      <x:c r="AB25" s="35" t="str">
        <x:v>Revisar desviación y definir acción correctiva cuando no se alcance la meta.</x:v>
      </x:c>
      <x:c r="AC25" s="35" t="str">
        <x:v>Evitar doble conteo de personas cuando la intención sea alcance único; reportar ambos si aplica.</x:v>
      </x:c>
      <x:c r="AD25" s="35" t="str">
        <x:v>OPS-013_NUM | OPS-013_DEN</x:v>
      </x:c>
      <x:c r="AE25" s="35" t="str">
        <x:v>Participantes atendidos = 125 # / base; meta anual de participantes = 125 # / base</x:v>
      </x:c>
      <x:c r="AF25" s="35" t="str">
        <x:v>OPS-002 | OPS-008 | OPS-014 | OPS-012 | OPS-001 | OPS-015 | REC-C01 | OPS-006</x:v>
      </x:c>
      <x:c r="AG25" s="35" t="str">
        <x:v>Top-8 heuristic: same strategic objective &gt; strategic-map adjacency &gt; same department &gt; same BSC perspective.</x:v>
      </x:c>
      <x:c r="AH25" s="35" t="str">
        <x:v>YES</x:v>
      </x:c>
      <x:c r="AI25" s="35" t="str">
        <x:v>PROTOTYPE ONLY — human review required</x:v>
      </x:c>
    </x:row>
    <x:row r="26">
      <x:c r="A26" s="35" t="str">
        <x:v>OPS-014</x:v>
      </x:c>
      <x:c r="B26" s="35" t="str">
        <x:v>Cumplimiento de cobertura — Sueña Chivas Tour</x:v>
      </x:c>
      <x:c r="C26" s="35" t="str">
        <x:v>Operaciones</x:v>
      </x:c>
      <x:c r="D26" s="35" t="str">
        <x:v>Beneficiarios y grupos de interés</x:v>
      </x:c>
      <x:c r="E26" s="35" t="str">
        <x:v>C1. Incrementar alcance y acceso</x:v>
      </x:c>
      <x:c r="F26" s="35" t="str">
        <x:v>ESTRATÉGICO / DEPARTAMENTAL</x:v>
      </x:c>
      <x:c r="G26" s="35" t="str">
        <x:v>Medir cobertura real del Tour.</x:v>
      </x:c>
      <x:c r="H26" s="35" t="str">
        <x:v>Participantes atendidos ÷ meta anual de participantes × 100</x:v>
      </x:c>
      <x:c r="I26" s="35" t="str">
        <x:v>RATIO_PCT</x:v>
      </x:c>
      <x:c r="J26" s="35" t="str">
        <x:v>%</x:v>
      </x:c>
      <x:c r="K26" s="35" t="str">
        <x:v>↑</x:v>
      </x:c>
      <x:c r="L26" s="35" t="n">
        <x:v>84</x:v>
      </x:c>
      <x:c r="M26" s="35" t="n">
        <x:v>88.88888888888889</x:v>
      </x:c>
      <x:c r="N26" s="35" t="n">
        <x:v>93.96551724137932</x:v>
      </x:c>
      <x:c r="O26" s="35" t="n">
        <x:v>100</x:v>
      </x:c>
      <x:c r="P26" s="35" t="n">
        <x:v>88.9514687100894</x:v>
      </x:c>
      <x:c r="Q26" s="35" t="str">
        <x:v>100% (1,080; indicador fuente menciona 32 eventos)</x:v>
      </x:c>
      <x:c r="R26" s="35" t="str">
        <x:v>90–99%</x:v>
      </x:c>
      <x:c r="S26" s="35" t="str">
        <x:v>&lt;90%</x:v>
      </x:c>
      <x:c r="T26" s="54" t="n">
        <x:f>IF(OR(P26="",P26=0,O26=""),"",IF(K26="↑",(O26-P26)/ABS(P26),IF(K26="↓",(P26-O26)/ABS(P26),IF(K26="↔",(ABS(P26)-ABS(O26))/ABS(P26),""))))</x:f>
        <x:v>0.12420853135005526</x:v>
      </x:c>
      <x:c r="U26" s="35" t="str">
        <x:f>IF(T26="","",IF(T26&gt;=0.1,"Strong improvement",IF(T26&gt;=0,"Improving",IF(T26&gt;=-0.1,"Attention","Deteriorating"))))</x:f>
        <x:v>Strong improvement</x:v>
      </x:c>
      <x:c r="V26" s="35" t="str">
        <x:v>Operaciones</x:v>
      </x:c>
      <x:c r="W26" s="35" t="str">
        <x:v>Mensual / acumulado</x:v>
      </x:c>
      <x:c r="X26" s="35" t="str">
        <x:v>Registros del área / evidencia del proceso</x:v>
      </x:c>
      <x:c r="Y26" s="35" t="str">
        <x:v>Registro fuente, reporte del sistema y evidencia documental de respaldo.</x:v>
      </x:c>
      <x:c r="Z26" s="35" t="str">
        <x:v>Leading/Lagging</x:v>
      </x:c>
      <x:c r="AA26" s="35" t="str">
        <x:v>Manual / por definir</x:v>
      </x:c>
      <x:c r="AB26" s="35" t="str">
        <x:v>Revisar desviación y definir acción correctiva cuando no se alcance la meta.</x:v>
      </x:c>
      <x:c r="AC26" s="35" t="str">
        <x:v>Mantener registro de participantes y comunidades para evitar duplicidades.</x:v>
      </x:c>
      <x:c r="AD26" s="35" t="str">
        <x:v>OPS-014_NUM | OPS-014_DEN</x:v>
      </x:c>
      <x:c r="AE26" s="35" t="str">
        <x:v>Participantes atendidos = 125 # / base; meta anual de participantes = 125 # / base</x:v>
      </x:c>
      <x:c r="AF26" s="35" t="str">
        <x:v>OPS-002 | OPS-008 | OPS-013 | OPS-012 | OPS-001 | OPS-015 | REC-C01 | OPS-006</x:v>
      </x:c>
      <x:c r="AG26" s="35" t="str">
        <x:v>Top-8 heuristic: same strategic objective &gt; strategic-map adjacency &gt; same department &gt; same BSC perspective.</x:v>
      </x:c>
      <x:c r="AH26" s="35" t="str">
        <x:v>YES</x:v>
      </x:c>
      <x:c r="AI26" s="35" t="str">
        <x:v>PROTOTYPE ONLY — human review required</x:v>
      </x:c>
    </x:row>
    <x:row r="27">
      <x:c r="A27" s="35" t="str">
        <x:v>OPS-015</x:v>
      </x:c>
      <x:c r="B27" s="35" t="str">
        <x:v>Sueña Chivas Individuales completados</x:v>
      </x:c>
      <x:c r="C27" s="35" t="str">
        <x:v>Operaciones</x:v>
      </x:c>
      <x:c r="D27" s="35" t="str">
        <x:v>Beneficiarios y grupos de interés</x:v>
      </x:c>
      <x:c r="E27" s="35" t="str">
        <x:v>C1. Incrementar alcance y acceso</x:v>
      </x:c>
      <x:c r="F27" s="35" t="str">
        <x:v>OPERATIVO / DEPARTAMENTAL</x:v>
      </x:c>
      <x:c r="G27" s="35" t="str">
        <x:v>Medir cumplimiento del objetivo anual de experiencias individuales.</x:v>
      </x:c>
      <x:c r="H27" s="35" t="str">
        <x:v>Número de experiencias individuales completadas conforme a protocolo</x:v>
      </x:c>
      <x:c r="I27" s="35" t="str">
        <x:v>VALUE</x:v>
      </x:c>
      <x:c r="J27" s="35" t="str">
        <x:v>#</x:v>
      </x:c>
      <x:c r="K27" s="35" t="str">
        <x:v>↑</x:v>
      </x:c>
      <x:c r="L27" s="35" t="n">
        <x:v>8</x:v>
      </x:c>
      <x:c r="M27" s="35" t="n">
        <x:v>9</x:v>
      </x:c>
      <x:c r="N27" s="35" t="n">
        <x:v>11</x:v>
      </x:c>
      <x:c r="O27" s="35" t="n">
        <x:v>12</x:v>
      </x:c>
      <x:c r="P27" s="35" t="n">
        <x:v>9.333333333333334</x:v>
      </x:c>
      <x:c r="Q27" s="35" t="str">
        <x:v>≥12</x:v>
      </x:c>
      <x:c r="R27" s="35" t="str">
        <x:v>&lt;12 al Q4</x:v>
      </x:c>
      <x:c r="S27" s="35" t="str">
        <x:v>&lt;10 al Q4</x:v>
      </x:c>
      <x:c r="T27" s="54" t="n">
        <x:f>IF(OR(P27="",P27=0,O27=""),"",IF(K27="↑",(O27-P27)/ABS(P27),IF(K27="↓",(P27-O27)/ABS(P27),IF(K27="↔",(ABS(P27)-ABS(O27))/ABS(P27),""))))</x:f>
        <x:v>0.28571428571428564</x:v>
      </x:c>
      <x:c r="U27" s="35" t="str">
        <x:f>IF(T27="","",IF(T27&gt;=0.1,"Strong improvement",IF(T27&gt;=0,"Improving",IF(T27&gt;=-0.1,"Attention","Deteriorating"))))</x:f>
        <x:v>Strong improvement</x:v>
      </x:c>
      <x:c r="V27" s="35" t="str">
        <x:v>Operaciones</x:v>
      </x:c>
      <x:c r="W27" s="35" t="str">
        <x:v>Mensual / acumulado</x:v>
      </x:c>
      <x:c r="X27" s="35" t="str">
        <x:v>Registros del área / evidencia del proceso</x:v>
      </x:c>
      <x:c r="Y27" s="35" t="str">
        <x:v>Registro fuente, reporte del sistema y evidencia documental de respaldo.</x:v>
      </x:c>
      <x:c r="Z27" s="35" t="str">
        <x:v>Leading/Lagging</x:v>
      </x:c>
      <x:c r="AA27" s="35" t="str">
        <x:v>Manual / por definir</x:v>
      </x:c>
      <x:c r="AB27" s="35" t="str">
        <x:v>Revisar desviación y definir acción correctiva cuando no se alcance la meta.</x:v>
      </x:c>
      <x:c r="AC27" s="35" t="str">
        <x:v>Contar sólo experiencias completadas y documentadas; reportar cancelaciones por separado.</x:v>
      </x:c>
      <x:c r="AD27" s="35" t="str">
        <x:v>OPS-015_VAL</x:v>
      </x:c>
      <x:c r="AE27" s="35" t="str">
        <x:v>Número de experiencias individuales completadas conforme a protocolo = 12 #</x:v>
      </x:c>
      <x:c r="AF27" s="35" t="str">
        <x:v>OPS-002 | OPS-008 | OPS-013 | OPS-012 | OPS-001 | OPS-014 | REC-C01 | OPS-006</x:v>
      </x:c>
      <x:c r="AG27" s="35" t="str">
        <x:v>Top-8 heuristic: same strategic objective &gt; strategic-map adjacency &gt; same department &gt; same BSC perspective.</x:v>
      </x:c>
      <x:c r="AH27" s="35" t="str">
        <x:v>YES</x:v>
      </x:c>
      <x:c r="AI27" s="35" t="str">
        <x:v>PROTOTYPE ONLY — human review required</x:v>
      </x:c>
    </x:row>
    <x:row r="28">
      <x:c r="A28" s="35" t="str">
        <x:v>OPS-016</x:v>
      </x:c>
      <x:c r="B28" s="35" t="str">
        <x:v>Proyectos OSC financiados conforme a reglas de operación</x:v>
      </x:c>
      <x:c r="C28" s="35" t="str">
        <x:v>Operaciones</x:v>
      </x:c>
      <x:c r="D28" s="35" t="str">
        <x:v>Procesos internos</x:v>
      </x:c>
      <x:c r="E28" s="35" t="str">
        <x:v>P6. Construir ecosistema de alianzas</x:v>
      </x:c>
      <x:c r="F28" s="35" t="str">
        <x:v>OPERATIVO / DEPARTAMENTAL</x:v>
      </x:c>
      <x:c r="G28" s="35" t="str">
        <x:v>Medir resultado del proceso de convocatoria, no existencia del documento base.</x:v>
      </x:c>
      <x:c r="H28" s="35" t="str">
        <x:v>Número de proyectos OSC aprobados, formalizados y financiados conforme a reglas</x:v>
      </x:c>
      <x:c r="I28" s="35" t="str">
        <x:v>VALUE</x:v>
      </x:c>
      <x:c r="J28" s="35" t="str">
        <x:v># proyectos</x:v>
      </x:c>
      <x:c r="K28" s="35" t="str">
        <x:v>↑</x:v>
      </x:c>
      <x:c r="L28" s="35" t="n">
        <x:v>2</x:v>
      </x:c>
      <x:c r="M28" s="35" t="n">
        <x:v>3</x:v>
      </x:c>
      <x:c r="N28" s="35" t="n">
        <x:v>3</x:v>
      </x:c>
      <x:c r="O28" s="35" t="n">
        <x:v>4</x:v>
      </x:c>
      <x:c r="P28" s="35" t="n">
        <x:v>2.6666666666666665</x:v>
      </x:c>
      <x:c r="Q28" s="35" t="str">
        <x:v>4</x:v>
      </x:c>
      <x:c r="R28" s="35" t="str">
        <x:v>&lt;4 al Q4</x:v>
      </x:c>
      <x:c r="S28" s="35" t="str">
        <x:v>&lt;3 al Q4</x:v>
      </x:c>
      <x:c r="T28" s="54" t="n">
        <x:f>IF(OR(P28="",P28=0,O28=""),"",IF(K28="↑",(O28-P28)/ABS(P28),IF(K28="↓",(P28-O28)/ABS(P28),IF(K28="↔",(ABS(P28)-ABS(O28))/ABS(P28),""))))</x:f>
        <x:v>0.5000000000000001</x:v>
      </x:c>
      <x:c r="U28" s="35" t="str">
        <x:f>IF(T28="","",IF(T28&gt;=0.1,"Strong improvement",IF(T28&gt;=0,"Improving",IF(T28&gt;=-0.1,"Attention","Deteriorating"))))</x:f>
        <x:v>Strong improvement</x:v>
      </x:c>
      <x:c r="V28" s="35" t="str">
        <x:v>Operaciones</x:v>
      </x:c>
      <x:c r="W28" s="35" t="str">
        <x:v>Trimestral</x:v>
      </x:c>
      <x:c r="X28" s="35" t="str">
        <x:v>Registros del área / evidencia del proceso</x:v>
      </x:c>
      <x:c r="Y28" s="35" t="str">
        <x:v>Documento firmado/aprobado, acuse o evidencia de cierre.</x:v>
      </x:c>
      <x:c r="Z28" s="35" t="str">
        <x:v>Leading/Lagging</x:v>
      </x:c>
      <x:c r="AA28" s="35" t="str">
        <x:v>Manual / por definir</x:v>
      </x:c>
      <x:c r="AB28" s="35" t="str">
        <x:v>Revisar desviación y definir acción correctiva cuando no se alcance la meta.</x:v>
      </x:c>
      <x:c r="AC28" s="35" t="str">
        <x:v>Contar sólo proyectos con dictamen, convenio y desembolso/evidencia de apoyo.</x:v>
      </x:c>
      <x:c r="AD28" s="35" t="str">
        <x:v>OPS-016_VAL</x:v>
      </x:c>
      <x:c r="AE28" s="35" t="str">
        <x:v>Número de proyectos OSC aprobados, formalizados y financiados conforme a reglas = 4 #</x:v>
      </x:c>
      <x:c r="AF28" s="35" t="str">
        <x:v>OPS-020 | FND-016 | REC-P07 | ADM-004 | ADM-012 | OPS-009 | OPS-012 | OPS-019</x:v>
      </x:c>
      <x:c r="AG28" s="35" t="str">
        <x:v>Top-8 heuristic: same strategic objective &gt; strategic-map adjacency &gt; same department &gt; same BSC perspective.</x:v>
      </x:c>
      <x:c r="AH28" s="35" t="str">
        <x:v>YES</x:v>
      </x:c>
      <x:c r="AI28" s="35" t="str">
        <x:v>PROTOTYPE ONLY — human review required</x:v>
      </x:c>
    </x:row>
    <x:row r="29">
      <x:c r="A29" s="35" t="str">
        <x:v>OPS-019</x:v>
      </x:c>
      <x:c r="B29" s="35" t="str">
        <x:v>Proyectos OSC con seguimiento y reporte de resultados aprobado</x:v>
      </x:c>
      <x:c r="C29" s="35" t="str">
        <x:v>Operaciones</x:v>
      </x:c>
      <x:c r="D29" s="35" t="str">
        <x:v>Procesos internos</x:v>
      </x:c>
      <x:c r="E29" s="35" t="str">
        <x:v>P2. Fortalecer medición de impacto</x:v>
      </x:c>
      <x:c r="F29" s="35" t="str">
        <x:v>OPERATIVO / DEPARTAMENTAL</x:v>
      </x:c>
      <x:c r="G29" s="35" t="str">
        <x:v>Medir rendición de cuentas y cierre efectivo.</x:v>
      </x:c>
      <x:c r="H29" s="35" t="str">
        <x:v>Proyectos apoyados con informe de aplicación y resultados aprobado ÷ proyectos apoyados × 100</x:v>
      </x:c>
      <x:c r="I29" s="35" t="str">
        <x:v>RATIO_PCT</x:v>
      </x:c>
      <x:c r="J29" s="35" t="str">
        <x:v>%</x:v>
      </x:c>
      <x:c r="K29" s="35" t="str">
        <x:v>↑</x:v>
      </x:c>
      <x:c r="L29" s="35" t="n">
        <x:v>84</x:v>
      </x:c>
      <x:c r="M29" s="35" t="n">
        <x:v>88.88888888888889</x:v>
      </x:c>
      <x:c r="N29" s="35" t="n">
        <x:v>93.96551724137932</x:v>
      </x:c>
      <x:c r="O29" s="35" t="n">
        <x:v>100</x:v>
      </x:c>
      <x:c r="P29" s="35" t="n">
        <x:v>88.9514687100894</x:v>
      </x:c>
      <x:c r="Q29" s="35" t="str">
        <x:v>100% (4 de 4)</x:v>
      </x:c>
      <x:c r="R29" s="35" t="str">
        <x:v>&lt;100%</x:v>
      </x:c>
      <x:c r="S29" s="35" t="str">
        <x:v>&lt;75%</x:v>
      </x:c>
      <x:c r="T29" s="54" t="n">
        <x:f>IF(OR(P29="",P29=0,O29=""),"",IF(K29="↑",(O29-P29)/ABS(P29),IF(K29="↓",(P29-O29)/ABS(P29),IF(K29="↔",(ABS(P29)-ABS(O29))/ABS(P29),""))))</x:f>
        <x:v>0.12420853135005526</x:v>
      </x:c>
      <x:c r="U29" s="35" t="str">
        <x:f>IF(T29="","",IF(T29&gt;=0.1,"Strong improvement",IF(T29&gt;=0,"Improving",IF(T29&gt;=-0.1,"Attention","Deteriorating"))))</x:f>
        <x:v>Strong improvement</x:v>
      </x:c>
      <x:c r="V29" s="35" t="str">
        <x:v>Operaciones</x:v>
      </x:c>
      <x:c r="W29" s="35" t="str">
        <x:v>Trimestral / cierre de proyecto</x:v>
      </x:c>
      <x:c r="X29" s="35" t="str">
        <x:v>Registros del área / evidencia del proceso</x:v>
      </x:c>
      <x:c r="Y29" s="35" t="str">
        <x:v>Documento firmado/aprobado, acuse o evidencia de cierre.</x:v>
      </x:c>
      <x:c r="Z29" s="35" t="str">
        <x:v>Leading/Lagging</x:v>
      </x:c>
      <x:c r="AA29" s="35" t="str">
        <x:v>Manual / por definir</x:v>
      </x:c>
      <x:c r="AB29" s="35" t="str">
        <x:v>Revisar desviación y definir acción correctiva cuando no se alcance la meta.</x:v>
      </x:c>
      <x:c r="AC29" s="35" t="str">
        <x:v>Informe debe contener evidencia financiera y resultados; no sólo recepción del archivo.</x:v>
      </x:c>
      <x:c r="AD29" s="35" t="str">
        <x:v>OPS-019_NUM | OPS-019_DEN</x:v>
      </x:c>
      <x:c r="AE29" s="35" t="str">
        <x:v>Proyectos apoyados con informe de aplicación y resultados aprobado = 125 # / base; proyectos apoyados = 125 # / base</x:v>
      </x:c>
      <x:c r="AF29" s="35" t="str">
        <x:v>OPS-009 | REC-P02 | MKT-002 | OPS-006 | OPS-003 | OPS-004 | OPS-005 | OPS-012</x:v>
      </x:c>
      <x:c r="AG29" s="35" t="str">
        <x:v>Top-8 heuristic: same strategic objective &gt; strategic-map adjacency &gt; same department &gt; same BSC perspective.</x:v>
      </x:c>
      <x:c r="AH29" s="35" t="str">
        <x:v>YES</x:v>
      </x:c>
      <x:c r="AI29" s="35" t="str">
        <x:v>PROTOTYPE ONLY — human review required</x:v>
      </x:c>
    </x:row>
    <x:row r="30">
      <x:c r="A30" s="35" t="str">
        <x:v>OPS-020</x:v>
      </x:c>
      <x:c r="B30" s="35" t="str">
        <x:v>Donativos en especie asignados a organizaciones elegibles</x:v>
      </x:c>
      <x:c r="C30" s="35" t="str">
        <x:v>Operaciones</x:v>
      </x:c>
      <x:c r="D30" s="35" t="str">
        <x:v>Procesos internos</x:v>
      </x:c>
      <x:c r="E30" s="35" t="str">
        <x:v>P6. Construir ecosistema de alianzas</x:v>
      </x:c>
      <x:c r="F30" s="35" t="str">
        <x:v>OPERATIVO / DEPARTAMENTAL</x:v>
      </x:c>
      <x:c r="G30" s="35" t="str">
        <x:v>Evitar inventario o donativos ociosos y asegurar trazabilidad.</x:v>
      </x:c>
      <x:c r="H30" s="35" t="str">
        <x:v>Valor o unidades de donativos en especie asignados ÷ total recibido/designado para colocación × 100</x:v>
      </x:c>
      <x:c r="I30" s="35" t="str">
        <x:v>RATIO_PCT</x:v>
      </x:c>
      <x:c r="J30" s="35" t="str">
        <x:v>%</x:v>
      </x:c>
      <x:c r="K30" s="35" t="str">
        <x:v>↑</x:v>
      </x:c>
      <x:c r="L30" s="35" t="n">
        <x:v>84</x:v>
      </x:c>
      <x:c r="M30" s="35" t="n">
        <x:v>88.88888888888889</x:v>
      </x:c>
      <x:c r="N30" s="35" t="n">
        <x:v>93.96551724137932</x:v>
      </x:c>
      <x:c r="O30" s="35" t="n">
        <x:v>100</x:v>
      </x:c>
      <x:c r="P30" s="35" t="n">
        <x:v>88.9514687100894</x:v>
      </x:c>
      <x:c r="Q30" s="35" t="str">
        <x:v>100%</x:v>
      </x:c>
      <x:c r="R30" s="35" t="str">
        <x:v>95–99.9%</x:v>
      </x:c>
      <x:c r="S30" s="35" t="str">
        <x:v>&lt;95%</x:v>
      </x:c>
      <x:c r="T30" s="54" t="n">
        <x:f>IF(OR(P30="",P30=0,O30=""),"",IF(K30="↑",(O30-P30)/ABS(P30),IF(K30="↓",(P30-O30)/ABS(P30),IF(K30="↔",(ABS(P30)-ABS(O30))/ABS(P30),""))))</x:f>
        <x:v>0.12420853135005526</x:v>
      </x:c>
      <x:c r="U30" s="35" t="str">
        <x:f>IF(T30="","",IF(T30&gt;=0.1,"Strong improvement",IF(T30&gt;=0,"Improving",IF(T30&gt;=-0.1,"Attention","Deteriorating"))))</x:f>
        <x:v>Strong improvement</x:v>
      </x:c>
      <x:c r="V30" s="35" t="str">
        <x:v>Operaciones</x:v>
      </x:c>
      <x:c r="W30" s="35" t="str">
        <x:v>Mensual</x:v>
      </x:c>
      <x:c r="X30" s="35" t="str">
        <x:v>Registros del área / evidencia del proceso</x:v>
      </x:c>
      <x:c r="Y30" s="35" t="str">
        <x:v>Registro fuente, reporte del sistema y evidencia documental de respaldo.</x:v>
      </x:c>
      <x:c r="Z30" s="35" t="str">
        <x:v>Leading/Lagging</x:v>
      </x:c>
      <x:c r="AA30" s="35" t="str">
        <x:v>Manual / por definir</x:v>
      </x:c>
      <x:c r="AB30" s="35" t="str">
        <x:v>Revisar desviación y definir acción correctiva cuando no se alcance la meta.</x:v>
      </x:c>
      <x:c r="AC30" s="35" t="str">
        <x:v>Medir también tiempo de asignación y aceptación por la organización receptora.</x:v>
      </x:c>
      <x:c r="AD30" s="35" t="str">
        <x:v>OPS-020_NUM | OPS-020_DEN</x:v>
      </x:c>
      <x:c r="AE30" s="35" t="str">
        <x:v>Valor o unidades de donativos en especie asignados = 125.00 Moneda; total recibido/designado para colocación = 125 # / base</x:v>
      </x:c>
      <x:c r="AF30" s="35" t="str">
        <x:v>OPS-016 | FND-016 | REC-P07 | ADM-004 | ADM-012 | OPS-009 | OPS-012 | OPS-019</x:v>
      </x:c>
      <x:c r="AG30" s="35" t="str">
        <x:v>Top-8 heuristic: same strategic objective &gt; strategic-map adjacency &gt; same department &gt; same BSC perspective.</x:v>
      </x:c>
      <x:c r="AH30" s="35" t="str">
        <x:v>YES</x:v>
      </x:c>
      <x:c r="AI30" s="35" t="str">
        <x:v>PROTOTYPE ONLY — human review required</x:v>
      </x:c>
    </x:row>
    <x:row r="31">
      <x:c r="A31" s="35" t="str">
        <x:v>LEG-001</x:v>
      </x:c>
      <x:c r="B31" s="35" t="str">
        <x:v>Tiempo de ciclo para liberación contractual</x:v>
      </x:c>
      <x:c r="C31" s="35" t="str">
        <x:v>Jurídico</x:v>
      </x:c>
      <x:c r="D31" s="35" t="str">
        <x:v>Procesos internos</x:v>
      </x:c>
      <x:c r="E31" s="35" t="str">
        <x:v>P4. Simplificar y digitalizar procesos</x:v>
      </x:c>
      <x:c r="F31" s="35" t="str">
        <x:v>OPERATIVO / DEPARTAMENTAL</x:v>
      </x:c>
      <x:c r="G31" s="35" t="str">
        <x:v>Medir directamente la velocidad del proceso contractual.</x:v>
      </x:c>
      <x:c r="H31" s="35" t="str">
        <x:v>Mediana de días hábiles desde solicitud completa hasta liberación de contrato/convenio</x:v>
      </x:c>
      <x:c r="I31" s="35" t="str">
        <x:v>VALUE</x:v>
      </x:c>
      <x:c r="J31" s="35" t="str">
        <x:v>Días hábiles</x:v>
      </x:c>
      <x:c r="K31" s="35" t="str">
        <x:v>↓</x:v>
      </x:c>
      <x:c r="L31" s="35" t="n">
        <x:v>5.8</x:v>
      </x:c>
      <x:c r="M31" s="35" t="n">
        <x:v>4.9</x:v>
      </x:c>
      <x:c r="N31" s="35" t="n">
        <x:v>4</x:v>
      </x:c>
      <x:c r="O31" s="35" t="n">
        <x:v>3.1</x:v>
      </x:c>
      <x:c r="P31" s="35" t="n">
        <x:v>4.8999999999999995</x:v>
      </x:c>
      <x:c r="Q31" s="35" t="str">
        <x:v>≤3 días y ≥40% de reducción vs baseline</x:v>
      </x:c>
      <x:c r="R31" s="35" t="str">
        <x:v>&gt;3 y ≤5 días</x:v>
      </x:c>
      <x:c r="S31" s="35" t="str">
        <x:v>&gt;5 días</x:v>
      </x:c>
      <x:c r="T31" s="54" t="n">
        <x:f>IF(OR(P31="",P31=0,O31=""),"",IF(K31="↑",(O31-P31)/ABS(P31),IF(K31="↓",(P31-O31)/ABS(P31),IF(K31="↔",(ABS(P31)-ABS(O31))/ABS(P31),""))))</x:f>
        <x:v>0.3673469387755101</x:v>
      </x:c>
      <x:c r="U31" s="35" t="str">
        <x:f>IF(T31="","",IF(T31&gt;=0.1,"Strong improvement",IF(T31&gt;=0,"Improving",IF(T31&gt;=-0.1,"Attention","Deteriorating"))))</x:f>
        <x:v>Strong improvement</x:v>
      </x:c>
      <x:c r="V31" s="35" t="str">
        <x:v>Jurídico</x:v>
      </x:c>
      <x:c r="W31" s="35" t="str">
        <x:v>Mensual</x:v>
      </x:c>
      <x:c r="X31" s="35" t="str">
        <x:v>Registros del área / evidencia del proceso</x:v>
      </x:c>
      <x:c r="Y31" s="35" t="str">
        <x:v>Registro fuente, reporte del sistema y evidencia documental de respaldo.</x:v>
      </x:c>
      <x:c r="Z31" s="35" t="str">
        <x:v>Leading/Lagging</x:v>
      </x:c>
      <x:c r="AA31" s="35" t="str">
        <x:v>Manual / por definir</x:v>
      </x:c>
      <x:c r="AB31" s="35" t="str">
        <x:v>Revisar desviación y definir acción correctiva cuando no se alcance la meta.</x:v>
      </x:c>
      <x:c r="AC31" s="35" t="str">
        <x:v>El inicio es la recepción completa; documentar pausas por información faltante o contraparte.</x:v>
      </x:c>
      <x:c r="AD31" s="35" t="str">
        <x:v>LEG-001_VAL</x:v>
      </x:c>
      <x:c r="AE31" s="35" t="str">
        <x:v>Mediana de días hábiles desde solicitud completa hasta liberación de contrato/convenio = 3.1 días</x:v>
      </x:c>
      <x:c r="AF31" s="35" t="str">
        <x:v>LEG-004 | ADM-001 | ADM-002 | LEG-003 | LEG-015 | LEG-016 | LEG-017 | REC-P06</x:v>
      </x:c>
      <x:c r="AG31" s="35" t="str">
        <x:v>Top-8 heuristic: same strategic objective &gt; strategic-map adjacency &gt; same department &gt; same BSC perspective.</x:v>
      </x:c>
      <x:c r="AH31" s="35" t="str">
        <x:v>YES</x:v>
      </x:c>
      <x:c r="AI31" s="35" t="str">
        <x:v>PROTOTYPE ONLY — human review required</x:v>
      </x:c>
    </x:row>
    <x:row r="32">
      <x:c r="A32" s="35" t="str">
        <x:v>LEG-002</x:v>
      </x:c>
      <x:c r="B32" s="35" t="str">
        <x:v>Expedientes jurídicos completos en repositorio digital</x:v>
      </x:c>
      <x:c r="C32" s="35" t="str">
        <x:v>Jurídico</x:v>
      </x:c>
      <x:c r="D32" s="35" t="str">
        <x:v>Capacidades y tecnología</x:v>
      </x:c>
      <x:c r="E32" s="35" t="str">
        <x:v>L2. Integrar información en una sola plataforma</x:v>
      </x:c>
      <x:c r="F32" s="35" t="str">
        <x:v>OPERATIVO / DEPARTAMENTAL</x:v>
      </x:c>
      <x:c r="G32" s="35" t="str">
        <x:v>Medir uso y calidad de la base digital, no sólo su existencia.</x:v>
      </x:c>
      <x:c r="H32" s="35" t="str">
        <x:v>Expedientes activos con documentación, responsable y fechas límite completas ÷ expedientes activos × 100</x:v>
      </x:c>
      <x:c r="I32" s="35" t="str">
        <x:v>RATIO_PCT</x:v>
      </x:c>
      <x:c r="J32" s="35" t="str">
        <x:v>%</x:v>
      </x:c>
      <x:c r="K32" s="35" t="str">
        <x:v>↑</x:v>
      </x:c>
      <x:c r="L32" s="35" t="n">
        <x:v>84.44444444444444</x:v>
      </x:c>
      <x:c r="M32" s="35" t="n">
        <x:v>88.65979381443299</x:v>
      </x:c>
      <x:c r="N32" s="35" t="n">
        <x:v>94.23076923076923</x:v>
      </x:c>
      <x:c r="O32" s="35" t="n">
        <x:v>100</x:v>
      </x:c>
      <x:c r="P32" s="35" t="n">
        <x:v>89.11166916321555</x:v>
      </x:c>
      <x:c r="Q32" s="35" t="str">
        <x:v>100%</x:v>
      </x:c>
      <x:c r="R32" s="35" t="str">
        <x:v>95–99.9%</x:v>
      </x:c>
      <x:c r="S32" s="35" t="str">
        <x:v>&lt;95%</x:v>
      </x:c>
      <x:c r="T32" s="54" t="n">
        <x:f>IF(OR(P32="",P32=0,O32=""),"",IF(K32="↑",(O32-P32)/ABS(P32),IF(K32="↓",(P32-O32)/ABS(P32),IF(K32="↔",(ABS(P32)-ABS(O32))/ABS(P32),""))))</x:f>
        <x:v>0.12218748609502028</x:v>
      </x:c>
      <x:c r="U32" s="35" t="str">
        <x:f>IF(T32="","",IF(T32&gt;=0.1,"Strong improvement",IF(T32&gt;=0,"Improving",IF(T32&gt;=-0.1,"Attention","Deteriorating"))))</x:f>
        <x:v>Strong improvement</x:v>
      </x:c>
      <x:c r="V32" s="35" t="str">
        <x:v>Jurídico</x:v>
      </x:c>
      <x:c r="W32" s="35" t="str">
        <x:v>Mensual</x:v>
      </x:c>
      <x:c r="X32" s="35" t="str">
        <x:v>Registros del área / evidencia del proceso</x:v>
      </x:c>
      <x:c r="Y32" s="35" t="str">
        <x:v>Documento firmado/aprobado, acuse o evidencia de cierre.</x:v>
      </x:c>
      <x:c r="Z32" s="35" t="str">
        <x:v>Leading/Lagging</x:v>
      </x:c>
      <x:c r="AA32" s="35" t="str">
        <x:v>Manual / por definir</x:v>
      </x:c>
      <x:c r="AB32" s="35" t="str">
        <x:v>Revisar desviación y definir acción correctiva cuando no se alcance la meta.</x:v>
      </x:c>
      <x:c r="AC32" s="35" t="str">
        <x:v>Auditoría aleatoria de expedientes; 'completo' requiere campos y documentos obligatorios.</x:v>
      </x:c>
      <x:c r="AD32" s="35" t="str">
        <x:v>LEG-002_NUM | LEG-002_DEN</x:v>
      </x:c>
      <x:c r="AE32" s="35" t="str">
        <x:v>Expedientes activos con documentación, responsable y fechas límite completas = 112.0 días; expedientes activos = 112 # / base</x:v>
      </x:c>
      <x:c r="AF32" s="35" t="str">
        <x:v>LEG-008 | LEG-009 | REC-L02 | LEG-001 | LEG-003 | LEG-004 | LEG-015 | REC-L03</x:v>
      </x:c>
      <x:c r="AG32" s="35" t="str">
        <x:v>Top-8 heuristic: same strategic objective &gt; strategic-map adjacency &gt; same department &gt; same BSC perspective.</x:v>
      </x:c>
      <x:c r="AH32" s="35" t="str">
        <x:v>YES</x:v>
      </x:c>
      <x:c r="AI32" s="35" t="str">
        <x:v>PROTOTYPE ONLY — human review required</x:v>
      </x:c>
    </x:row>
    <x:row r="33">
      <x:c r="A33" s="35" t="str">
        <x:v>LEG-003</x:v>
      </x:c>
      <x:c r="B33" s="35" t="str">
        <x:v>Reducción de cargas regulatorias duplicadas con cumplimiento íntegro</x:v>
      </x:c>
      <x:c r="C33" s="35" t="str">
        <x:v>Jurídico</x:v>
      </x:c>
      <x:c r="D33" s="35" t="str">
        <x:v>Procesos internos</x:v>
      </x:c>
      <x:c r="E33" s="35" t="str">
        <x:v>P5. Fortalecer cumplimiento, transparencia y gobierno</x:v>
      </x:c>
      <x:c r="F33" s="35" t="str">
        <x:v>OPERATIVO / DEPARTAMENTAL</x:v>
      </x:c>
      <x:c r="G33" s="35" t="str">
        <x:v>Simplificar estructura sin crear riesgo de incumplimiento.</x:v>
      </x:c>
      <x:c r="H33" s="35" t="str">
        <x:v>(Número baseline de reportes/obligaciones duplicadas − número actual) ÷ baseline × 100</x:v>
      </x:c>
      <x:c r="I33" s="35" t="str">
        <x:v>REDUCTION_PCT</x:v>
      </x:c>
      <x:c r="J33" s="35" t="str">
        <x:v>%</x:v>
      </x:c>
      <x:c r="K33" s="35" t="str">
        <x:v>↑</x:v>
      </x:c>
      <x:c r="L33" s="35" t="n">
        <x:v>36</x:v>
      </x:c>
      <x:c r="M33" s="35" t="n">
        <x:v>41</x:v>
      </x:c>
      <x:c r="N33" s="35" t="n">
        <x:v>46</x:v>
      </x:c>
      <x:c r="O33" s="35" t="n">
        <x:v>52</x:v>
      </x:c>
      <x:c r="P33" s="35" t="n">
        <x:v>41</x:v>
      </x:c>
      <x:c r="Q33" s="35" t="str">
        <x:v>≥50% de reducción y 100% de obligaciones vigentes cumplidas</x:v>
      </x:c>
      <x:c r="R33" s="35" t="str">
        <x:v>&lt;50% de reducción</x:v>
      </x:c>
      <x:c r="S33" s="35" t="str">
        <x:v>Alguna obligación incumplida</x:v>
      </x:c>
      <x:c r="T33" s="54" t="n">
        <x:f>IF(OR(P33="",P33=0,O33=""),"",IF(K33="↑",(O33-P33)/ABS(P33),IF(K33="↓",(P33-O33)/ABS(P33),IF(K33="↔",(ABS(P33)-ABS(O33))/ABS(P33),""))))</x:f>
        <x:v>0.2682926829268293</x:v>
      </x:c>
      <x:c r="U33" s="35" t="str">
        <x:f>IF(T33="","",IF(T33&gt;=0.1,"Strong improvement",IF(T33&gt;=0,"Improving",IF(T33&gt;=-0.1,"Attention","Deteriorating"))))</x:f>
        <x:v>Strong improvement</x:v>
      </x:c>
      <x:c r="V33" s="35" t="str">
        <x:v>Jurídico</x:v>
      </x:c>
      <x:c r="W33" s="35" t="str">
        <x:v>Trimestral</x:v>
      </x:c>
      <x:c r="X33" s="35" t="str">
        <x:v>Registros del área / evidencia del proceso</x:v>
      </x:c>
      <x:c r="Y33" s="35" t="str">
        <x:v>Registro fuente, reporte del sistema y evidencia documental de respaldo.</x:v>
      </x:c>
      <x:c r="Z33" s="35" t="str">
        <x:v>Leading/Lagging</x:v>
      </x:c>
      <x:c r="AA33" s="35" t="str">
        <x:v>Manual / por definir</x:v>
      </x:c>
      <x:c r="AB33" s="35" t="str">
        <x:v>Revisar desviación y definir acción correctiva cuando no se alcance la meta.</x:v>
      </x:c>
      <x:c r="AC33" s="35" t="str">
        <x:v>No considerar 'reducción' si deriva de omitir una obligación; validar con matriz legal vigente.</x:v>
      </x:c>
      <x:c r="AD33" s="35" t="str">
        <x:v>LEG-003_BASE | LEG-003_CUR</x:v>
      </x:c>
      <x:c r="AE33" s="35" t="str">
        <x:v>Número baseline de reportes/obligaciones duplicadas = 100 # / base; número actual = 48 # / base</x:v>
      </x:c>
      <x:c r="AF33" s="35" t="str">
        <x:v>LEG-015 | LEG-016 | LEG-017 | LEG-001 | LEG-004 | REC-P06 | LEG-002 | ADM-001</x:v>
      </x:c>
      <x:c r="AG33" s="35" t="str">
        <x:v>Top-8 heuristic: same strategic objective &gt; strategic-map adjacency &gt; same department &gt; same BSC perspective.</x:v>
      </x:c>
      <x:c r="AH33" s="35" t="str">
        <x:v>YES</x:v>
      </x:c>
      <x:c r="AI33" s="35" t="str">
        <x:v>PROTOTYPE ONLY — human review required</x:v>
      </x:c>
    </x:row>
    <x:row r="34">
      <x:c r="A34" s="35" t="str">
        <x:v>LEG-004</x:v>
      </x:c>
      <x:c r="B34" s="35" t="str">
        <x:v>Reducción de procesos administrativos duplicados por estructura societaria</x:v>
      </x:c>
      <x:c r="C34" s="35" t="str">
        <x:v>Jurídico</x:v>
      </x:c>
      <x:c r="D34" s="35" t="str">
        <x:v>Procesos internos</x:v>
      </x:c>
      <x:c r="E34" s="35" t="str">
        <x:v>P4. Simplificar y digitalizar procesos</x:v>
      </x:c>
      <x:c r="F34" s="35" t="str">
        <x:v>OPERATIVO / DEPARTAMENTAL</x:v>
      </x:c>
      <x:c r="G34" s="35" t="str">
        <x:v>Medir la simplificación real de presupuesto, facturación y contabilidad asociada a la reestructura.</x:v>
      </x:c>
      <x:c r="H34" s="35" t="str">
        <x:v>(Procesos/transacciones duplicadas baseline − actuales) ÷ baseline × 100</x:v>
      </x:c>
      <x:c r="I34" s="35" t="str">
        <x:v>REDUCTION_PCT</x:v>
      </x:c>
      <x:c r="J34" s="35" t="str">
        <x:v>%</x:v>
      </x:c>
      <x:c r="K34" s="35" t="str">
        <x:v>↑</x:v>
      </x:c>
      <x:c r="L34" s="35" t="n">
        <x:v>36</x:v>
      </x:c>
      <x:c r="M34" s="35" t="n">
        <x:v>41</x:v>
      </x:c>
      <x:c r="N34" s="35" t="n">
        <x:v>46</x:v>
      </x:c>
      <x:c r="O34" s="35" t="n">
        <x:v>52</x:v>
      </x:c>
      <x:c r="P34" s="35" t="n">
        <x:v>41</x:v>
      </x:c>
      <x:c r="Q34" s="35" t="str">
        <x:v>≥50% de reducción</x:v>
      </x:c>
      <x:c r="R34" s="35" t="str">
        <x:v>30–49.9%</x:v>
      </x:c>
      <x:c r="S34" s="35" t="str">
        <x:v>&lt;30%</x:v>
      </x:c>
      <x:c r="T34" s="54" t="n">
        <x:f>IF(OR(P34="",P34=0,O34=""),"",IF(K34="↑",(O34-P34)/ABS(P34),IF(K34="↓",(P34-O34)/ABS(P34),IF(K34="↔",(ABS(P34)-ABS(O34))/ABS(P34),""))))</x:f>
        <x:v>0.2682926829268293</x:v>
      </x:c>
      <x:c r="U34" s="35" t="str">
        <x:f>IF(T34="","",IF(T34&gt;=0.1,"Strong improvement",IF(T34&gt;=0,"Improving",IF(T34&gt;=-0.1,"Attention","Deteriorating"))))</x:f>
        <x:v>Strong improvement</x:v>
      </x:c>
      <x:c r="V34" s="35" t="str">
        <x:v>Jurídico + Administración</x:v>
      </x:c>
      <x:c r="W34" s="35" t="str">
        <x:v>Trimestral</x:v>
      </x:c>
      <x:c r="X34" s="35" t="str">
        <x:v>Registros del área / evidencia del proceso</x:v>
      </x:c>
      <x:c r="Y34" s="35" t="str">
        <x:v>Registro fuente, reporte del sistema y evidencia documental de respaldo.</x:v>
      </x:c>
      <x:c r="Z34" s="35" t="str">
        <x:v>Leading/Lagging</x:v>
      </x:c>
      <x:c r="AA34" s="35" t="str">
        <x:v>Manual / por definir</x:v>
      </x:c>
      <x:c r="AB34" s="35" t="str">
        <x:v>Revisar desviación y definir acción correctiva cuando no se alcance la meta.</x:v>
      </x:c>
      <x:c r="AC34" s="35" t="str">
        <x:v>Definir universo baseline antes de la reestructura y mantener niveles de servicio.</x:v>
      </x:c>
      <x:c r="AD34" s="35" t="str">
        <x:v>LEG-004_BASE | LEG-004_CUR</x:v>
      </x:c>
      <x:c r="AE34" s="35" t="str">
        <x:v>Procesos/transacciones duplicadas baseline = 100 # / base; actuales = 48 # / base</x:v>
      </x:c>
      <x:c r="AF34" s="35" t="str">
        <x:v>LEG-001 | ADM-001 | ADM-002 | LEG-003 | LEG-015 | LEG-016 | LEG-017 | REC-P06</x:v>
      </x:c>
      <x:c r="AG34" s="35" t="str">
        <x:v>Top-8 heuristic: same strategic objective &gt; strategic-map adjacency &gt; same department &gt; same BSC perspective.</x:v>
      </x:c>
      <x:c r="AH34" s="35" t="str">
        <x:v>YES</x:v>
      </x:c>
      <x:c r="AI34" s="35" t="str">
        <x:v>PROTOTYPE ONLY — human review required</x:v>
      </x:c>
    </x:row>
    <x:row r="35">
      <x:c r="A35" s="35" t="str">
        <x:v>LEG-005</x:v>
      </x:c>
      <x:c r="B35" s="35" t="str">
        <x:v>Ahorro en costos internos derivados de la simplificación</x:v>
      </x:c>
      <x:c r="C35" s="35" t="str">
        <x:v>Jurídico</x:v>
      </x:c>
      <x:c r="D35" s="35" t="str">
        <x:v>Sostenibilidad financiera</x:v>
      </x:c>
      <x:c r="E35" s="35" t="str">
        <x:v>F4. Mejorar eficiencia y control presupuestal</x:v>
      </x:c>
      <x:c r="F35" s="35" t="str">
        <x:v>OPERATIVO / DEPARTAMENTAL</x:v>
      </x:c>
      <x:c r="G35" s="35" t="str">
        <x:v>Confirmar que la simplificación genera valor económico.</x:v>
      </x:c>
      <x:c r="H35" s="35" t="str">
        <x:v>(Costo baseline comparable − costo actual comparable) ÷ costo baseline comparable × 100</x:v>
      </x:c>
      <x:c r="I35" s="35" t="str">
        <x:v>REDUCTION_PCT</x:v>
      </x:c>
      <x:c r="J35" s="35" t="str">
        <x:v>%</x:v>
      </x:c>
      <x:c r="K35" s="35" t="str">
        <x:v>↑</x:v>
      </x:c>
      <x:c r="L35" s="35" t="n">
        <x:v>13</x:v>
      </x:c>
      <x:c r="M35" s="35" t="n">
        <x:v>15.6</x:v>
      </x:c>
      <x:c r="N35" s="35" t="n">
        <x:v>18</x:v>
      </x:c>
      <x:c r="O35" s="35" t="n">
        <x:v>20.4</x:v>
      </x:c>
      <x:c r="P35" s="35" t="n">
        <x:v>15.533333333333333</x:v>
      </x:c>
      <x:c r="Q35" s="35" t="str">
        <x:v>≥20%</x:v>
      </x:c>
      <x:c r="R35" s="35" t="str">
        <x:v>10–19.9%</x:v>
      </x:c>
      <x:c r="S35" s="35" t="str">
        <x:v>&lt;10%</x:v>
      </x:c>
      <x:c r="T35" s="54" t="n">
        <x:f>IF(OR(P35="",P35=0,O35=""),"",IF(K35="↑",(O35-P35)/ABS(P35),IF(K35="↓",(P35-O35)/ABS(P35),IF(K35="↔",(ABS(P35)-ABS(O35))/ABS(P35),""))))</x:f>
        <x:v>0.3133047210300428</x:v>
      </x:c>
      <x:c r="U35" s="35" t="str">
        <x:f>IF(T35="","",IF(T35&gt;=0.1,"Strong improvement",IF(T35&gt;=0,"Improving",IF(T35&gt;=-0.1,"Attention","Deteriorating"))))</x:f>
        <x:v>Strong improvement</x:v>
      </x:c>
      <x:c r="V35" s="35" t="str">
        <x:v>Jurídico + Administración</x:v>
      </x:c>
      <x:c r="W35" s="35" t="str">
        <x:v>Mensual / trimestral acumulado</x:v>
      </x:c>
      <x:c r="X35" s="35" t="str">
        <x:v>Registros del área / evidencia del proceso</x:v>
      </x:c>
      <x:c r="Y35" s="35" t="str">
        <x:v>Registro fuente, reporte del sistema y evidencia documental de respaldo.</x:v>
      </x:c>
      <x:c r="Z35" s="35" t="str">
        <x:v>Lagging</x:v>
      </x:c>
      <x:c r="AA35" s="35" t="str">
        <x:v>Manual / por definir</x:v>
      </x:c>
      <x:c r="AB35" s="35" t="str">
        <x:v>Revisar desviación y definir acción correctiva cuando no se alcance la meta.</x:v>
      </x:c>
      <x:c r="AC35" s="35" t="str">
        <x:v>Comparar servicios equivalentes y excluir reducciones de costo que deterioren SLA/calidad.</x:v>
      </x:c>
      <x:c r="AD35" s="35" t="str">
        <x:v>LEG-005_BASE | LEG-005_CUR</x:v>
      </x:c>
      <x:c r="AE35" s="35" t="str">
        <x:v>Costo baseline comparable = 1,344,000.00 Moneda; costo actual comparable = 1,069,824.00 Moneda</x:v>
      </x:c>
      <x:c r="AF35" s="35" t="str">
        <x:v>ADM-015 | REC-F05 | REC-F06 | LEG-001 | LEG-003 | LEG-004 | LEG-015 | FND-001</x:v>
      </x:c>
      <x:c r="AG35" s="35" t="str">
        <x:v>Top-8 heuristic: same strategic objective &gt; strategic-map adjacency &gt; same department &gt; same BSC perspective.</x:v>
      </x:c>
      <x:c r="AH35" s="35" t="str">
        <x:v>YES</x:v>
      </x:c>
      <x:c r="AI35" s="35" t="str">
        <x:v>PROTOTYPE ONLY — human review required</x:v>
      </x:c>
    </x:row>
    <x:row r="36">
      <x:c r="A36" s="35" t="str">
        <x:v>LEG-006</x:v>
      </x:c>
      <x:c r="B36" s="35" t="str">
        <x:v>Cobertura de certificación antilavado del equipo Jurídico</x:v>
      </x:c>
      <x:c r="C36" s="35" t="str">
        <x:v>Jurídico</x:v>
      </x:c>
      <x:c r="D36" s="35" t="str">
        <x:v>Capacidades y tecnología</x:v>
      </x:c>
      <x:c r="E36" s="35" t="str">
        <x:v>L3. Fortalecer capacidades del equipo</x:v>
      </x:c>
      <x:c r="F36" s="35" t="str">
        <x:v>OPERATIVO / DEPARTAMENTAL</x:v>
      </x:c>
      <x:c r="G36" s="35" t="str">
        <x:v>Medir capacidad de cumplimiento del equipo, no contar certificados sueltos.</x:v>
      </x:c>
      <x:c r="H36" s="35" t="str">
        <x:v>Miembros del equipo Jurídico con certificación vigente ÷ miembros que requieren certificación × 100</x:v>
      </x:c>
      <x:c r="I36" s="35" t="str">
        <x:v>RATIO_PCT</x:v>
      </x:c>
      <x:c r="J36" s="35" t="str">
        <x:v>%</x:v>
      </x:c>
      <x:c r="K36" s="35" t="str">
        <x:v>↑</x:v>
      </x:c>
      <x:c r="L36" s="35" t="n">
        <x:v>82.85714285714286</x:v>
      </x:c>
      <x:c r="M36" s="35" t="n">
        <x:v>89.47368421052632</x:v>
      </x:c>
      <x:c r="N36" s="35" t="n">
        <x:v>95.1219512195122</x:v>
      </x:c>
      <x:c r="O36" s="35" t="n">
        <x:v>100</x:v>
      </x:c>
      <x:c r="P36" s="35" t="n">
        <x:v>89.15092609572713</x:v>
      </x:c>
      <x:c r="Q36" s="35" t="str">
        <x:v>100%</x:v>
      </x:c>
      <x:c r="R36" s="35" t="str">
        <x:v>&lt;100% con certificaciones pendientes</x:v>
      </x:c>
      <x:c r="S36" s="35" t="str">
        <x:v>Algún rol crítico no certificado al vencimiento</x:v>
      </x:c>
      <x:c r="T36" s="54" t="n">
        <x:f>IF(OR(P36="",P36=0,O36=""),"",IF(K36="↑",(O36-P36)/ABS(P36),IF(K36="↓",(P36-O36)/ABS(P36),IF(K36="↔",(ABS(P36)-ABS(O36))/ABS(P36),""))))</x:f>
        <x:v>0.12169333936726037</x:v>
      </x:c>
      <x:c r="U36" s="35" t="str">
        <x:f>IF(T36="","",IF(T36&gt;=0.1,"Strong improvement",IF(T36&gt;=0,"Improving",IF(T36&gt;=-0.1,"Attention","Deteriorating"))))</x:f>
        <x:v>Strong improvement</x:v>
      </x:c>
      <x:c r="V36" s="35" t="str">
        <x:v>Jurídico</x:v>
      </x:c>
      <x:c r="W36" s="35" t="str">
        <x:v>Mensual durante implementación / anual</x:v>
      </x:c>
      <x:c r="X36" s="35" t="str">
        <x:v>Registros del área / evidencia del proceso</x:v>
      </x:c>
      <x:c r="Y36" s="35" t="str">
        <x:v>Registro fuente, reporte del sistema y evidencia documental de respaldo.</x:v>
      </x:c>
      <x:c r="Z36" s="35" t="str">
        <x:v>Leading/Lagging</x:v>
      </x:c>
      <x:c r="AA36" s="35" t="str">
        <x:v>Manual / por definir</x:v>
      </x:c>
      <x:c r="AB36" s="35" t="str">
        <x:v>Revisar desviación y definir acción correctiva cuando no se alcance la meta.</x:v>
      </x:c>
      <x:c r="AC36" s="35" t="str">
        <x:v>Certificación debe ser vigente y pertinente a la función.</x:v>
      </x:c>
      <x:c r="AD36" s="35" t="str">
        <x:v>LEG-006_NUM | LEG-006_DEN</x:v>
      </x:c>
      <x:c r="AE36" s="35" t="str">
        <x:v>Miembros del equipo Jurídico con certificación vigente = 44 # / base; miembros que requieren certificación = 44 # / base</x:v>
      </x:c>
      <x:c r="AF36" s="35" t="str">
        <x:v>ADM-014 | REC-L04 | FND-016 | MKT-008 | LEG-002 | LEG-008 | LEG-009 | MKT-011</x:v>
      </x:c>
      <x:c r="AG36" s="35" t="str">
        <x:v>Top-8 heuristic: same strategic objective &gt; strategic-map adjacency &gt; same department &gt; same BSC perspective.</x:v>
      </x:c>
      <x:c r="AH36" s="35" t="str">
        <x:v>YES</x:v>
      </x:c>
      <x:c r="AI36" s="35" t="str">
        <x:v>PROTOTYPE ONLY — human review required</x:v>
      </x:c>
    </x:row>
    <x:row r="37">
      <x:c r="A37" s="35" t="str">
        <x:v>LEG-008</x:v>
      </x:c>
      <x:c r="B37" s="35" t="str">
        <x:v>Adopción activa de WEBDOX por usuarios jurídicos</x:v>
      </x:c>
      <x:c r="C37" s="35" t="str">
        <x:v>Jurídico</x:v>
      </x:c>
      <x:c r="D37" s="35" t="str">
        <x:v>Capacidades y tecnología</x:v>
      </x:c>
      <x:c r="E37" s="35" t="str">
        <x:v>L2. Integrar información en una sola plataforma</x:v>
      </x:c>
      <x:c r="F37" s="35" t="str">
        <x:v>OPERATIVO / DEPARTAMENTAL</x:v>
      </x:c>
      <x:c r="G37" s="35" t="str">
        <x:v>Medir adopción efectiva del software, no asistencia a una capacitación.</x:v>
      </x:c>
      <x:c r="H37" s="35" t="str">
        <x:v>Usuarios objetivo que utilizan WEBDOX para los procesos definidos en el periodo ÷ usuarios objetivo × 100</x:v>
      </x:c>
      <x:c r="I37" s="35" t="str">
        <x:v>RATIO_PCT</x:v>
      </x:c>
      <x:c r="J37" s="35" t="str">
        <x:v>%</x:v>
      </x:c>
      <x:c r="K37" s="35" t="str">
        <x:v>↑</x:v>
      </x:c>
      <x:c r="L37" s="35" t="n">
        <x:v>77.14285714285715</x:v>
      </x:c>
      <x:c r="M37" s="35" t="n">
        <x:v>81.57894736842105</x:v>
      </x:c>
      <x:c r="N37" s="35" t="n">
        <x:v>85.36585365853658</x:v>
      </x:c>
      <x:c r="O37" s="35" t="n">
        <x:v>90.9090909090909</x:v>
      </x:c>
      <x:c r="P37" s="35" t="n">
        <x:v>81.3625527232716</x:v>
      </x:c>
      <x:c r="Q37" s="35" t="str">
        <x:v>≥90%</x:v>
      </x:c>
      <x:c r="R37" s="35" t="str">
        <x:v>75–89.9%</x:v>
      </x:c>
      <x:c r="S37" s="35" t="str">
        <x:v>&lt;75%</x:v>
      </x:c>
      <x:c r="T37" s="54" t="n">
        <x:f>IF(OR(P37="",P37=0,O37=""),"",IF(K37="↑",(O37-P37)/ABS(P37),IF(K37="↓",(P37-O37)/ABS(P37),IF(K37="↔",(ABS(P37)-ABS(O37))/ABS(P37),""))))</x:f>
        <x:v>0.11733331694113337</x:v>
      </x:c>
      <x:c r="U37" s="35" t="str">
        <x:f>IF(T37="","",IF(T37&gt;=0.1,"Strong improvement",IF(T37&gt;=0,"Improving",IF(T37&gt;=-0.1,"Attention","Deteriorating"))))</x:f>
        <x:v>Strong improvement</x:v>
      </x:c>
      <x:c r="V37" s="35" t="str">
        <x:v>Jurídico</x:v>
      </x:c>
      <x:c r="W37" s="35" t="str">
        <x:v>Mensual</x:v>
      </x:c>
      <x:c r="X37" s="35" t="str">
        <x:v>Registros del área / evidencia del proceso</x:v>
      </x:c>
      <x:c r="Y37" s="35" t="str">
        <x:v>Registro fuente, reporte del sistema y evidencia documental de respaldo.</x:v>
      </x:c>
      <x:c r="Z37" s="35" t="str">
        <x:v>Leading/Lagging</x:v>
      </x:c>
      <x:c r="AA37" s="35" t="str">
        <x:v>Manual / por definir</x:v>
      </x:c>
      <x:c r="AB37" s="35" t="str">
        <x:v>Revisar desviación y definir acción correctiva cuando no se alcance la meta.</x:v>
      </x:c>
      <x:c r="AC37" s="35" t="str">
        <x:v>Usuario activo requiere uso transaccional real, no sólo login.</x:v>
      </x:c>
      <x:c r="AD37" s="35" t="str">
        <x:v>LEG-008_NUM | LEG-008_DEN</x:v>
      </x:c>
      <x:c r="AE37" s="35" t="str">
        <x:v>Usuarios objetivo que utilizan WEBDOX para los procesos definidos en el periodo = 40 # / base; usuarios objetivo = 44 # / base</x:v>
      </x:c>
      <x:c r="AF37" s="35" t="str">
        <x:v>LEG-002 | LEG-009 | REC-L02 | LEG-001 | LEG-003 | LEG-004 | LEG-015 | REC-L03</x:v>
      </x:c>
      <x:c r="AG37" s="35" t="str">
        <x:v>Top-8 heuristic: same strategic objective &gt; strategic-map adjacency &gt; same department &gt; same BSC perspective.</x:v>
      </x:c>
      <x:c r="AH37" s="35" t="str">
        <x:v>YES</x:v>
      </x:c>
      <x:c r="AI37" s="35" t="str">
        <x:v>PROTOTYPE ONLY — human review required</x:v>
      </x:c>
    </x:row>
    <x:row r="38">
      <x:c r="A38" s="35" t="str">
        <x:v>LEG-009</x:v>
      </x:c>
      <x:c r="B38" s="35" t="str">
        <x:v>Convenios tramitados end-to-end en WEBDOX</x:v>
      </x:c>
      <x:c r="C38" s="35" t="str">
        <x:v>Jurídico</x:v>
      </x:c>
      <x:c r="D38" s="35" t="str">
        <x:v>Capacidades y tecnología</x:v>
      </x:c>
      <x:c r="E38" s="35" t="str">
        <x:v>L2. Integrar información en una sola plataforma</x:v>
      </x:c>
      <x:c r="F38" s="35" t="str">
        <x:v>OPERATIVO / DEPARTAMENTAL</x:v>
      </x:c>
      <x:c r="G38" s="35" t="str">
        <x:v>Medir digitalización efectiva del proceso contractual.</x:v>
      </x:c>
      <x:c r="H38" s="35" t="str">
        <x:v>Convenios elegibles gestionados completamente en WEBDOX ÷ convenios elegibles × 100</x:v>
      </x:c>
      <x:c r="I38" s="35" t="str">
        <x:v>RATIO_PCT</x:v>
      </x:c>
      <x:c r="J38" s="35" t="str">
        <x:v>%</x:v>
      </x:c>
      <x:c r="K38" s="35" t="str">
        <x:v>↑</x:v>
      </x:c>
      <x:c r="L38" s="35" t="n">
        <x:v>75.71428571428571</x:v>
      </x:c>
      <x:c r="M38" s="35" t="n">
        <x:v>81.57894736842105</x:v>
      </x:c>
      <x:c r="N38" s="35" t="n">
        <x:v>86.41975308641975</x:v>
      </x:c>
      <x:c r="O38" s="35" t="n">
        <x:v>92.04545454545455</x:v>
      </x:c>
      <x:c r="P38" s="35" t="n">
        <x:v>81.2376620563755</x:v>
      </x:c>
      <x:c r="Q38" s="35" t="str">
        <x:v>≥90%</x:v>
      </x:c>
      <x:c r="R38" s="35" t="str">
        <x:v>75–89.9%</x:v>
      </x:c>
      <x:c r="S38" s="35" t="str">
        <x:v>&lt;75%</x:v>
      </x:c>
      <x:c r="T38" s="54" t="n">
        <x:f>IF(OR(P38="",P38=0,O38=""),"",IF(K38="↑",(O38-P38)/ABS(P38),IF(K38="↓",(P38-O38)/ABS(P38),IF(K38="↔",(ABS(P38)-ABS(O38))/ABS(P38),""))))</x:f>
        <x:v>0.13303918669617668</x:v>
      </x:c>
      <x:c r="U38" s="35" t="str">
        <x:f>IF(T38="","",IF(T38&gt;=0.1,"Strong improvement",IF(T38&gt;=0,"Improving",IF(T38&gt;=-0.1,"Attention","Deteriorating"))))</x:f>
        <x:v>Strong improvement</x:v>
      </x:c>
      <x:c r="V38" s="35" t="str">
        <x:v>Jurídico</x:v>
      </x:c>
      <x:c r="W38" s="35" t="str">
        <x:v>Mensual</x:v>
      </x:c>
      <x:c r="X38" s="35" t="str">
        <x:v>Registros del área / evidencia del proceso</x:v>
      </x:c>
      <x:c r="Y38" s="35" t="str">
        <x:v>Documento firmado/aprobado, acuse o evidencia de cierre.</x:v>
      </x:c>
      <x:c r="Z38" s="35" t="str">
        <x:v>Leading/Lagging</x:v>
      </x:c>
      <x:c r="AA38" s="35" t="str">
        <x:v>Manual / por definir</x:v>
      </x:c>
      <x:c r="AB38" s="35" t="str">
        <x:v>Revisar desviación y definir acción correctiva cuando no se alcance la meta.</x:v>
      </x:c>
      <x:c r="AC38" s="35" t="str">
        <x:v>No permitir doble proceso paralelo fuera de WEBDOX salvo excepción documentada.</x:v>
      </x:c>
      <x:c r="AD38" s="35" t="str">
        <x:v>LEG-009_NUM | LEG-009_DEN</x:v>
      </x:c>
      <x:c r="AE38" s="35" t="str">
        <x:v>Convenios elegibles gestionados completamente en WEBDOX = 81 # / base; convenios elegibles = 88 # / base</x:v>
      </x:c>
      <x:c r="AF38" s="35" t="str">
        <x:v>LEG-002 | LEG-008 | REC-L02 | LEG-001 | LEG-003 | LEG-004 | LEG-015 | REC-L03</x:v>
      </x:c>
      <x:c r="AG38" s="35" t="str">
        <x:v>Top-8 heuristic: same strategic objective &gt; strategic-map adjacency &gt; same department &gt; same BSC perspective.</x:v>
      </x:c>
      <x:c r="AH38" s="35" t="str">
        <x:v>YES</x:v>
      </x:c>
      <x:c r="AI38" s="35" t="str">
        <x:v>PROTOTYPE ONLY — human review required</x:v>
      </x:c>
    </x:row>
    <x:row r="39">
      <x:c r="A39" s="35" t="str">
        <x:v>LEG-010</x:v>
      </x:c>
      <x:c r="B39" s="35" t="str">
        <x:v>Cumplimiento jurídico-fiscal de comunicaciones institucionales</x:v>
      </x:c>
      <x:c r="C39" s="35" t="str">
        <x:v>Jurídico</x:v>
      </x:c>
      <x:c r="D39" s="35" t="str">
        <x:v>Beneficiarios y grupos de interés</x:v>
      </x:c>
      <x:c r="E39" s="35" t="str">
        <x:v>C3. Fortalecer confianza y credibilidad institucional</x:v>
      </x:c>
      <x:c r="F39" s="35" t="str">
        <x:v>OPERATIVO / DEPARTAMENTAL</x:v>
      </x:c>
      <x:c r="G39" s="35" t="str">
        <x:v>Medir aplicación real de los lineamientos, no existencia del manual.</x:v>
      </x:c>
      <x:c r="H39" s="35" t="str">
        <x:v>Comunicaciones/campañas sujetas a revisión aprobadas sin incumplimiento material ÷ comunicaciones/campañas revisadas × 100</x:v>
      </x:c>
      <x:c r="I39" s="35" t="str">
        <x:v>RATIO_PCT</x:v>
      </x:c>
      <x:c r="J39" s="35" t="str">
        <x:v>%</x:v>
      </x:c>
      <x:c r="K39" s="35" t="str">
        <x:v>↑</x:v>
      </x:c>
      <x:c r="L39" s="35" t="n">
        <x:v>84.16666666666667</x:v>
      </x:c>
      <x:c r="M39" s="35" t="n">
        <x:v>89.23076923076924</x:v>
      </x:c>
      <x:c r="N39" s="35" t="n">
        <x:v>94.24460431654677</x:v>
      </x:c>
      <x:c r="O39" s="35" t="n">
        <x:v>100</x:v>
      </x:c>
      <x:c r="P39" s="35" t="n">
        <x:v>89.21401340466089</x:v>
      </x:c>
      <x:c r="Q39" s="35" t="str">
        <x:v>100%</x:v>
      </x:c>
      <x:c r="R39" s="35" t="str">
        <x:v>95–99.9%</x:v>
      </x:c>
      <x:c r="S39" s="35" t="str">
        <x:v>&lt;95% o incidente material</x:v>
      </x:c>
      <x:c r="T39" s="54" t="n">
        <x:f>IF(OR(P39="",P39=0,O39=""),"",IF(K39="↑",(O39-P39)/ABS(P39),IF(K39="↓",(P39-O39)/ABS(P39),IF(K39="↔",(ABS(P39)-ABS(O39))/ABS(P39),""))))</x:f>
        <x:v>0.12090013870820443</x:v>
      </x:c>
      <x:c r="U39" s="35" t="str">
        <x:f>IF(T39="","",IF(T39&gt;=0.1,"Strong improvement",IF(T39&gt;=0,"Improving",IF(T39&gt;=-0.1,"Attention","Deteriorating"))))</x:f>
        <x:v>Strong improvement</x:v>
      </x:c>
      <x:c r="V39" s="35" t="str">
        <x:v>Jurídico</x:v>
      </x:c>
      <x:c r="W39" s="35" t="str">
        <x:v>Mensual / por campaña</x:v>
      </x:c>
      <x:c r="X39" s="35" t="str">
        <x:v>Registros del área / evidencia del proceso</x:v>
      </x:c>
      <x:c r="Y39" s="35" t="str">
        <x:v>Documento firmado/aprobado, acuse o evidencia de cierre.</x:v>
      </x:c>
      <x:c r="Z39" s="35" t="str">
        <x:v>Leading/Lagging</x:v>
      </x:c>
      <x:c r="AA39" s="35" t="str">
        <x:v>Manual / por definir</x:v>
      </x:c>
      <x:c r="AB39" s="35" t="str">
        <x:v>Revisar desviación y definir acción correctiva cuando no se alcance la meta.</x:v>
      </x:c>
      <x:c r="AC39" s="35" t="str">
        <x:v>Definir qué piezas requieren revisión y registrar retrabajos/incidentes.</x:v>
      </x:c>
      <x:c r="AD39" s="35" t="str">
        <x:v>LEG-010_NUM | LEG-010_DEN</x:v>
      </x:c>
      <x:c r="AE39" s="35" t="str">
        <x:v>Comunicaciones/campañas sujetas a revisión aprobadas sin incumplimiento material = 150 # / base; comunicaciones/campañas revisadas = 150 # / base</x:v>
      </x:c>
      <x:c r="AF39" s="35" t="str">
        <x:v>LEG-012 | LEG-013 | LEG-014 | LEG-001 | LEG-003 | LEG-004 | LEG-015 | ADM-006</x:v>
      </x:c>
      <x:c r="AG39" s="35" t="str">
        <x:v>Top-8 heuristic: same strategic objective &gt; strategic-map adjacency &gt; same department &gt; same BSC perspective.</x:v>
      </x:c>
      <x:c r="AH39" s="35" t="str">
        <x:v>YES</x:v>
      </x:c>
      <x:c r="AI39" s="35" t="str">
        <x:v>PROTOTYPE ONLY — human review required</x:v>
      </x:c>
    </x:row>
    <x:row r="40">
      <x:c r="A40" s="35" t="str">
        <x:v>LEG-012</x:v>
      </x:c>
      <x:c r="B40" s="35" t="str">
        <x:v>Países objetivo con autorización fiscal para recibir donativos deducibles</x:v>
      </x:c>
      <x:c r="C40" s="35" t="str">
        <x:v>Jurídico</x:v>
      </x:c>
      <x:c r="D40" s="35" t="str">
        <x:v>Beneficiarios y grupos de interés</x:v>
      </x:c>
      <x:c r="E40" s="35" t="str">
        <x:v>C3. Fortalecer confianza y credibilidad institucional</x:v>
      </x:c>
      <x:c r="F40" s="35" t="str">
        <x:v>OPERATIVO / DEPARTAMENTAL</x:v>
      </x:c>
      <x:c r="G40" s="35" t="str">
        <x:v>Medir capacidad legal efectiva de procuración internacional.</x:v>
      </x:c>
      <x:c r="H40" s="35" t="str">
        <x:v>Países objetivo con autorización fiscal/donataria obtenida ÷ países objetivo × 100</x:v>
      </x:c>
      <x:c r="I40" s="35" t="str">
        <x:v>RATIO_PCT</x:v>
      </x:c>
      <x:c r="J40" s="35" t="str">
        <x:v>%</x:v>
      </x:c>
      <x:c r="K40" s="35" t="str">
        <x:v>↑</x:v>
      </x:c>
      <x:c r="L40" s="35" t="n">
        <x:v>75</x:v>
      </x:c>
      <x:c r="M40" s="35" t="n">
        <x:v>100</x:v>
      </x:c>
      <x:c r="N40" s="35" t="n">
        <x:v>100</x:v>
      </x:c>
      <x:c r="O40" s="35" t="n">
        <x:v>100</x:v>
      </x:c>
      <x:c r="P40" s="35" t="n">
        <x:v>91.66666666666667</x:v>
      </x:c>
      <x:c r="Q40" s="35" t="str">
        <x:v>100% (2 de 2)</x:v>
      </x:c>
      <x:c r="R40" s="35" t="str">
        <x:v>&lt;100% al Q4</x:v>
      </x:c>
      <x:c r="S40" s="35" t="str">
        <x:v>0 autorizaciones al Q4</x:v>
      </x:c>
      <x:c r="T40" s="54" t="n">
        <x:f>IF(OR(P40="",P40=0,O40=""),"",IF(K40="↑",(O40-P40)/ABS(P40),IF(K40="↓",(P40-O40)/ABS(P40),IF(K40="↔",(ABS(P40)-ABS(O40))/ABS(P40),""))))</x:f>
        <x:v>0.09090909090909086</x:v>
      </x:c>
      <x:c r="U40" s="35" t="str">
        <x:f>IF(T40="","",IF(T40&gt;=0.1,"Strong improvement",IF(T40&gt;=0,"Improving",IF(T40&gt;=-0.1,"Attention","Deteriorating"))))</x:f>
        <x:v>Improving</x:v>
      </x:c>
      <x:c r="V40" s="35" t="str">
        <x:v>Jurídico</x:v>
      </x:c>
      <x:c r="W40" s="35" t="str">
        <x:v>Trimestral</x:v>
      </x:c>
      <x:c r="X40" s="35" t="str">
        <x:v>Registros del área / evidencia del proceso</x:v>
      </x:c>
      <x:c r="Y40" s="35" t="str">
        <x:v>Documento firmado/aprobado, acuse o evidencia de cierre.</x:v>
      </x:c>
      <x:c r="Z40" s="35" t="str">
        <x:v>Leading/Lagging</x:v>
      </x:c>
      <x:c r="AA40" s="35" t="str">
        <x:v>Manual / por definir</x:v>
      </x:c>
      <x:c r="AB40" s="35" t="str">
        <x:v>Revisar desviación y definir acción correctiva cuando no se alcance la meta.</x:v>
      </x:c>
      <x:c r="AC40" s="35" t="str">
        <x:v>Contar sólo autorización oficial vigente.</x:v>
      </x:c>
      <x:c r="AD40" s="35" t="str">
        <x:v>LEG-012_NUM | LEG-012_DEN</x:v>
      </x:c>
      <x:c r="AE40" s="35" t="str">
        <x:v>Países objetivo con autorización fiscal/donataria obtenida = 4 # / base; países objetivo = 4 # / base</x:v>
      </x:c>
      <x:c r="AF40" s="35" t="str">
        <x:v>LEG-010 | LEG-013 | LEG-014 | LEG-001 | LEG-003 | LEG-004 | LEG-015 | ADM-006</x:v>
      </x:c>
      <x:c r="AG40" s="35" t="str">
        <x:v>Top-8 heuristic: same strategic objective &gt; strategic-map adjacency &gt; same department &gt; same BSC perspective.</x:v>
      </x:c>
      <x:c r="AH40" s="35" t="str">
        <x:v>YES</x:v>
      </x:c>
      <x:c r="AI40" s="35" t="str">
        <x:v>PROTOTYPE ONLY — human review required</x:v>
      </x:c>
    </x:row>
    <x:row r="41">
      <x:c r="A41" s="35" t="str">
        <x:v>LEG-013</x:v>
      </x:c>
      <x:c r="B41" s="35" t="str">
        <x:v>Cobertura de certificaciones de responsabilidad social en sedes internacionales objetivo</x:v>
      </x:c>
      <x:c r="C41" s="35" t="str">
        <x:v>Jurídico</x:v>
      </x:c>
      <x:c r="D41" s="35" t="str">
        <x:v>Beneficiarios y grupos de interés</x:v>
      </x:c>
      <x:c r="E41" s="35" t="str">
        <x:v>C3. Fortalecer confianza y credibilidad institucional</x:v>
      </x:c>
      <x:c r="F41" s="35" t="str">
        <x:v>OPERATIVO / DEPARTAMENTAL</x:v>
      </x:c>
      <x:c r="G41" s="35" t="str">
        <x:v>Medir avance de credibilidad institucional internacional.</x:v>
      </x:c>
      <x:c r="H41" s="35" t="str">
        <x:v>Sedes objetivo con certificación equivalente a ESR obtenida ÷ sedes objetivo × 100</x:v>
      </x:c>
      <x:c r="I41" s="35" t="str">
        <x:v>RATIO_PCT</x:v>
      </x:c>
      <x:c r="J41" s="35" t="str">
        <x:v>%</x:v>
      </x:c>
      <x:c r="K41" s="35" t="str">
        <x:v>↑</x:v>
      </x:c>
      <x:c r="L41" s="35" t="n">
        <x:v>75</x:v>
      </x:c>
      <x:c r="M41" s="35" t="n">
        <x:v>100</x:v>
      </x:c>
      <x:c r="N41" s="35" t="n">
        <x:v>100</x:v>
      </x:c>
      <x:c r="O41" s="35" t="n">
        <x:v>100</x:v>
      </x:c>
      <x:c r="P41" s="35" t="n">
        <x:v>91.66666666666667</x:v>
      </x:c>
      <x:c r="Q41" s="35" t="str">
        <x:v>100% (3 de 3, horizonte fuente 24 meses)</x:v>
      </x:c>
      <x:c r="R41" s="35" t="str">
        <x:v>Desviación contra plan de 24 meses</x:v>
      </x:c>
      <x:c r="S41" s="35" t="str">
        <x:v>Hito crítico vencido</x:v>
      </x:c>
      <x:c r="T41" s="54" t="n">
        <x:f>IF(OR(P41="",P41=0,O41=""),"",IF(K41="↑",(O41-P41)/ABS(P41),IF(K41="↓",(P41-O41)/ABS(P41),IF(K41="↔",(ABS(P41)-ABS(O41))/ABS(P41),""))))</x:f>
        <x:v>0.09090909090909086</x:v>
      </x:c>
      <x:c r="U41" s="35" t="str">
        <x:f>IF(T41="","",IF(T41&gt;=0.1,"Strong improvement",IF(T41&gt;=0,"Improving",IF(T41&gt;=-0.1,"Attention","Deteriorating"))))</x:f>
        <x:v>Improving</x:v>
      </x:c>
      <x:c r="V41" s="35" t="str">
        <x:v>Jurídico</x:v>
      </x:c>
      <x:c r="W41" s="35" t="str">
        <x:v>Trimestral</x:v>
      </x:c>
      <x:c r="X41" s="35" t="str">
        <x:v>Registros del área / evidencia del proceso</x:v>
      </x:c>
      <x:c r="Y41" s="35" t="str">
        <x:v>Documento firmado/aprobado, acuse o evidencia de cierre.</x:v>
      </x:c>
      <x:c r="Z41" s="35" t="str">
        <x:v>Leading/Lagging</x:v>
      </x:c>
      <x:c r="AA41" s="35" t="str">
        <x:v>Manual / por definir</x:v>
      </x:c>
      <x:c r="AB41" s="35" t="str">
        <x:v>Revisar desviación y definir acción correctiva cuando no se alcance la meta.</x:v>
      </x:c>
      <x:c r="AC41" s="35" t="str">
        <x:v>Contar sólo certificaciones emitidas por organismos previamente validados.</x:v>
      </x:c>
      <x:c r="AD41" s="35" t="str">
        <x:v>LEG-013_NUM | LEG-013_DEN</x:v>
      </x:c>
      <x:c r="AE41" s="35" t="str">
        <x:v>Sedes objetivo con certificación equivalente a ESR obtenida = 4 # / base; sedes objetivo = 4 # / base</x:v>
      </x:c>
      <x:c r="AF41" s="35" t="str">
        <x:v>LEG-010 | LEG-012 | LEG-014 | LEG-001 | LEG-003 | LEG-004 | LEG-015 | ADM-006</x:v>
      </x:c>
      <x:c r="AG41" s="35" t="str">
        <x:v>Top-8 heuristic: same strategic objective &gt; strategic-map adjacency &gt; same department &gt; same BSC perspective.</x:v>
      </x:c>
      <x:c r="AH41" s="35" t="str">
        <x:v>YES</x:v>
      </x:c>
      <x:c r="AI41" s="35" t="str">
        <x:v>PROTOTYPE ONLY — human review required</x:v>
      </x:c>
    </x:row>
    <x:row r="42">
      <x:c r="A42" s="35" t="str">
        <x:v>LEG-014</x:v>
      </x:c>
      <x:c r="B42" s="35" t="str">
        <x:v>Alianzas formalizadas con organismos certificadores internacionales</x:v>
      </x:c>
      <x:c r="C42" s="35" t="str">
        <x:v>Jurídico</x:v>
      </x:c>
      <x:c r="D42" s="35" t="str">
        <x:v>Beneficiarios y grupos de interés</x:v>
      </x:c>
      <x:c r="E42" s="35" t="str">
        <x:v>C3. Fortalecer confianza y credibilidad institucional</x:v>
      </x:c>
      <x:c r="F42" s="35" t="str">
        <x:v>OPERATIVO / DEPARTAMENTAL</x:v>
      </x:c>
      <x:c r="G42" s="35" t="str">
        <x:v>Medir construcción de red habilitadora para acreditaciones.</x:v>
      </x:c>
      <x:c r="H42" s="35" t="str">
        <x:v>Número de convenios de colaboración/acreditación formalizados con organismos elegibles</x:v>
      </x:c>
      <x:c r="I42" s="35" t="str">
        <x:v>VALUE</x:v>
      </x:c>
      <x:c r="J42" s="35" t="str">
        <x:v>#</x:v>
      </x:c>
      <x:c r="K42" s="35" t="str">
        <x:v>↑</x:v>
      </x:c>
      <x:c r="L42" s="35" t="n">
        <x:v>1</x:v>
      </x:c>
      <x:c r="M42" s="35" t="n">
        <x:v>1</x:v>
      </x:c>
      <x:c r="N42" s="35" t="n">
        <x:v>2</x:v>
      </x:c>
      <x:c r="O42" s="35" t="n">
        <x:v>2</x:v>
      </x:c>
      <x:c r="P42" s="35" t="n">
        <x:v>1.3333333333333333</x:v>
      </x:c>
      <x:c r="Q42" s="35" t="str">
        <x:v>≥2</x:v>
      </x:c>
      <x:c r="R42" s="35" t="str">
        <x:v>&lt;2 al horizonte comprometido</x:v>
      </x:c>
      <x:c r="S42" s="35" t="str">
        <x:v>0 al horizonte comprometido</x:v>
      </x:c>
      <x:c r="T42" s="54" t="n">
        <x:f>IF(OR(P42="",P42=0,O42=""),"",IF(K42="↑",(O42-P42)/ABS(P42),IF(K42="↓",(P42-O42)/ABS(P42),IF(K42="↔",(ABS(P42)-ABS(O42))/ABS(P42),""))))</x:f>
        <x:v>0.5000000000000001</x:v>
      </x:c>
      <x:c r="U42" s="35" t="str">
        <x:f>IF(T42="","",IF(T42&gt;=0.1,"Strong improvement",IF(T42&gt;=0,"Improving",IF(T42&gt;=-0.1,"Attention","Deteriorating"))))</x:f>
        <x:v>Strong improvement</x:v>
      </x:c>
      <x:c r="V42" s="35" t="str">
        <x:v>Jurídico</x:v>
      </x:c>
      <x:c r="W42" s="35" t="str">
        <x:v>Trimestral</x:v>
      </x:c>
      <x:c r="X42" s="35" t="str">
        <x:v>Registros del área / evidencia del proceso</x:v>
      </x:c>
      <x:c r="Y42" s="35" t="str">
        <x:v>Documento firmado/aprobado, acuse o evidencia de cierre.</x:v>
      </x:c>
      <x:c r="Z42" s="35" t="str">
        <x:v>Leading/Lagging</x:v>
      </x:c>
      <x:c r="AA42" s="35" t="str">
        <x:v>Manual / por definir</x:v>
      </x:c>
      <x:c r="AB42" s="35" t="str">
        <x:v>Revisar desviación y definir acción correctiva cuando no se alcance la meta.</x:v>
      </x:c>
      <x:c r="AC42" s="35" t="str">
        <x:v>Contar sólo convenios vigentes con alcance y contraprestaciones definidos.</x:v>
      </x:c>
      <x:c r="AD42" s="35" t="str">
        <x:v>LEG-014_VAL</x:v>
      </x:c>
      <x:c r="AE42" s="35" t="str">
        <x:v>Número de convenios de colaboración/acreditación formalizados con organismos elegibles = 2 #</x:v>
      </x:c>
      <x:c r="AF42" s="35" t="str">
        <x:v>LEG-010 | LEG-012 | LEG-013 | LEG-001 | LEG-003 | LEG-004 | LEG-015 | ADM-006</x:v>
      </x:c>
      <x:c r="AG42" s="35" t="str">
        <x:v>Top-8 heuristic: same strategic objective &gt; strategic-map adjacency &gt; same department &gt; same BSC perspective.</x:v>
      </x:c>
      <x:c r="AH42" s="35" t="str">
        <x:v>YES</x:v>
      </x:c>
      <x:c r="AI42" s="35" t="str">
        <x:v>PROTOTYPE ONLY — human review required</x:v>
      </x:c>
    </x:row>
    <x:row r="43">
      <x:c r="A43" s="35" t="str">
        <x:v>LEG-015</x:v>
      </x:c>
      <x:c r="B43" s="35" t="str">
        <x:v>Proyectos OSC con reglas de operación aplicables antes de aprobación</x:v>
      </x:c>
      <x:c r="C43" s="35" t="str">
        <x:v>Jurídico</x:v>
      </x:c>
      <x:c r="D43" s="35" t="str">
        <x:v>Procesos internos</x:v>
      </x:c>
      <x:c r="E43" s="35" t="str">
        <x:v>P5. Fortalecer cumplimiento, transparencia y gobierno</x:v>
      </x:c>
      <x:c r="F43" s="35" t="str">
        <x:v>OPERATIVO / DEPARTAMENTAL</x:v>
      </x:c>
      <x:c r="G43" s="35" t="str">
        <x:v>Medir aplicación del marco de control, no producir un documento.</x:v>
      </x:c>
      <x:c r="H43" s="35" t="str">
        <x:v>Proyectos OSC evaluados bajo reglas de operación vigentes ÷ proyectos OSC evaluados × 100</x:v>
      </x:c>
      <x:c r="I43" s="35" t="str">
        <x:v>RATIO_PCT</x:v>
      </x:c>
      <x:c r="J43" s="35" t="str">
        <x:v>%</x:v>
      </x:c>
      <x:c r="K43" s="35" t="str">
        <x:v>↑</x:v>
      </x:c>
      <x:c r="L43" s="35" t="n">
        <x:v>84</x:v>
      </x:c>
      <x:c r="M43" s="35" t="n">
        <x:v>88.88888888888889</x:v>
      </x:c>
      <x:c r="N43" s="35" t="n">
        <x:v>93.96551724137932</x:v>
      </x:c>
      <x:c r="O43" s="35" t="n">
        <x:v>100</x:v>
      </x:c>
      <x:c r="P43" s="35" t="n">
        <x:v>88.9514687100894</x:v>
      </x:c>
      <x:c r="Q43" s="35" t="str">
        <x:v>100%</x:v>
      </x:c>
      <x:c r="R43" s="35" t="str">
        <x:v>&lt;100%</x:v>
      </x:c>
      <x:c r="S43" s="35" t="str">
        <x:v>&lt;100% si hubo desembolso</x:v>
      </x:c>
      <x:c r="T43" s="54" t="n">
        <x:f>IF(OR(P43="",P43=0,O43=""),"",IF(K43="↑",(O43-P43)/ABS(P43),IF(K43="↓",(P43-O43)/ABS(P43),IF(K43="↔",(ABS(P43)-ABS(O43))/ABS(P43),""))))</x:f>
        <x:v>0.12420853135005526</x:v>
      </x:c>
      <x:c r="U43" s="35" t="str">
        <x:f>IF(T43="","",IF(T43&gt;=0.1,"Strong improvement",IF(T43&gt;=0,"Improving",IF(T43&gt;=-0.1,"Attention","Deteriorating"))))</x:f>
        <x:v>Strong improvement</x:v>
      </x:c>
      <x:c r="V43" s="35" t="str">
        <x:v>Jurídico</x:v>
      </x:c>
      <x:c r="W43" s="35" t="str">
        <x:v>Por convocatoria / trimestral</x:v>
      </x:c>
      <x:c r="X43" s="35" t="str">
        <x:v>Registros del área / evidencia del proceso</x:v>
      </x:c>
      <x:c r="Y43" s="35" t="str">
        <x:v>Documento firmado/aprobado, acuse o evidencia de cierre.</x:v>
      </x:c>
      <x:c r="Z43" s="35" t="str">
        <x:v>Leading/Lagging</x:v>
      </x:c>
      <x:c r="AA43" s="35" t="str">
        <x:v>Manual / por definir</x:v>
      </x:c>
      <x:c r="AB43" s="35" t="str">
        <x:v>Revisar desviación y definir acción correctiva cuando no se alcance la meta.</x:v>
      </x:c>
      <x:c r="AC43" s="35" t="str">
        <x:v>Las reglas deben estar aprobadas antes del dictamen y no modificarse retroactivamente.</x:v>
      </x:c>
      <x:c r="AD43" s="35" t="str">
        <x:v>LEG-015_NUM | LEG-015_DEN</x:v>
      </x:c>
      <x:c r="AE43" s="35" t="str">
        <x:v>Proyectos OSC evaluados bajo reglas de operación vigentes = 125 # / base; proyectos OSC evaluados = 125 # / base</x:v>
      </x:c>
      <x:c r="AF43" s="35" t="str">
        <x:v>LEG-003 | LEG-016 | LEG-017 | LEG-001 | LEG-004 | REC-P06 | LEG-002 | ADM-001</x:v>
      </x:c>
      <x:c r="AG43" s="35" t="str">
        <x:v>Top-8 heuristic: same strategic objective &gt; strategic-map adjacency &gt; same department &gt; same BSC perspective.</x:v>
      </x:c>
      <x:c r="AH43" s="35" t="str">
        <x:v>YES</x:v>
      </x:c>
      <x:c r="AI43" s="35" t="str">
        <x:v>PROTOTYPE ONLY — human review required</x:v>
      </x:c>
    </x:row>
    <x:row r="44">
      <x:c r="A44" s="35" t="str">
        <x:v>LEG-016</x:v>
      </x:c>
      <x:c r="B44" s="35" t="str">
        <x:v>Donativos a OSC con convenio formalizado previo al desembolso</x:v>
      </x:c>
      <x:c r="C44" s="35" t="str">
        <x:v>Jurídico</x:v>
      </x:c>
      <x:c r="D44" s="35" t="str">
        <x:v>Procesos internos</x:v>
      </x:c>
      <x:c r="E44" s="35" t="str">
        <x:v>P5. Fortalecer cumplimiento, transparencia y gobierno</x:v>
      </x:c>
      <x:c r="F44" s="35" t="str">
        <x:v>OPERATIVO / DEPARTAMENTAL</x:v>
      </x:c>
      <x:c r="G44" s="35" t="str">
        <x:v>Proteger jurídicamente los apoyos económicos.</x:v>
      </x:c>
      <x:c r="H44" s="35" t="str">
        <x:v>Donativos/proyectos con convenio firmado antes del desembolso ÷ donativos/proyectos aprobados × 100</x:v>
      </x:c>
      <x:c r="I44" s="35" t="str">
        <x:v>RATIO_PCT</x:v>
      </x:c>
      <x:c r="J44" s="35" t="str">
        <x:v>%</x:v>
      </x:c>
      <x:c r="K44" s="35" t="str">
        <x:v>↑</x:v>
      </x:c>
      <x:c r="L44" s="35" t="n">
        <x:v>84.28571428571429</x:v>
      </x:c>
      <x:c r="M44" s="35" t="n">
        <x:v>89.47368421052632</x:v>
      </x:c>
      <x:c r="N44" s="35" t="n">
        <x:v>93.82716049382715</x:v>
      </x:c>
      <x:c r="O44" s="35" t="n">
        <x:v>100</x:v>
      </x:c>
      <x:c r="P44" s="35" t="n">
        <x:v>89.19551966335592</x:v>
      </x:c>
      <x:c r="Q44" s="35" t="str">
        <x:v>100% (4 proyectos previstos)</x:v>
      </x:c>
      <x:c r="R44" s="35" t="str">
        <x:v>&lt;100%</x:v>
      </x:c>
      <x:c r="S44" s="35" t="str">
        <x:v>Cualquier desembolso sin convenio</x:v>
      </x:c>
      <x:c r="T44" s="54" t="n">
        <x:f>IF(OR(P44="",P44=0,O44=""),"",IF(K44="↑",(O44-P44)/ABS(P44),IF(K44="↓",(P44-O44)/ABS(P44),IF(K44="↔",(ABS(P44)-ABS(O44))/ABS(P44),""))))</x:f>
        <x:v>0.12113254541733295</x:v>
      </x:c>
      <x:c r="U44" s="35" t="str">
        <x:f>IF(T44="","",IF(T44&gt;=0.1,"Strong improvement",IF(T44&gt;=0,"Improving",IF(T44&gt;=-0.1,"Attention","Deteriorating"))))</x:f>
        <x:v>Strong improvement</x:v>
      </x:c>
      <x:c r="V44" s="35" t="str">
        <x:v>Jurídico</x:v>
      </x:c>
      <x:c r="W44" s="35" t="str">
        <x:v>Por operación / trimestral</x:v>
      </x:c>
      <x:c r="X44" s="35" t="str">
        <x:v>Registros del área / evidencia del proceso</x:v>
      </x:c>
      <x:c r="Y44" s="35" t="str">
        <x:v>Documento firmado/aprobado, acuse o evidencia de cierre.</x:v>
      </x:c>
      <x:c r="Z44" s="35" t="str">
        <x:v>Leading/Lagging</x:v>
      </x:c>
      <x:c r="AA44" s="35" t="str">
        <x:v>Manual / por definir</x:v>
      </x:c>
      <x:c r="AB44" s="35" t="str">
        <x:v>Revisar desviación y definir acción correctiva cuando no se alcance la meta.</x:v>
      </x:c>
      <x:c r="AC44" s="35" t="str">
        <x:v>La fecha de firma debe preceder la fecha de desembolso.</x:v>
      </x:c>
      <x:c r="AD44" s="35" t="str">
        <x:v>LEG-016_NUM | LEG-016_DEN</x:v>
      </x:c>
      <x:c r="AE44" s="35" t="str">
        <x:v>Donativos/proyectos con convenio firmado antes del desembolso = 88.00 Moneda; donativos/proyectos aprobados = 88.00 Moneda</x:v>
      </x:c>
      <x:c r="AF44" s="35" t="str">
        <x:v>LEG-003 | LEG-015 | LEG-017 | LEG-001 | LEG-004 | REC-P06 | LEG-002 | ADM-001</x:v>
      </x:c>
      <x:c r="AG44" s="35" t="str">
        <x:v>Top-8 heuristic: same strategic objective &gt; strategic-map adjacency &gt; same department &gt; same BSC perspective.</x:v>
      </x:c>
      <x:c r="AH44" s="35" t="str">
        <x:v>YES</x:v>
      </x:c>
      <x:c r="AI44" s="35" t="str">
        <x:v>PROTOTYPE ONLY — human review required</x:v>
      </x:c>
    </x:row>
    <x:row r="45">
      <x:c r="A45" s="35" t="str">
        <x:v>LEG-017</x:v>
      </x:c>
      <x:c r="B45" s="35" t="str">
        <x:v>Proyectos OSC con cierre operativo-financiero validado</x:v>
      </x:c>
      <x:c r="C45" s="35" t="str">
        <x:v>Jurídico</x:v>
      </x:c>
      <x:c r="D45" s="35" t="str">
        <x:v>Procesos internos</x:v>
      </x:c>
      <x:c r="E45" s="35" t="str">
        <x:v>P5. Fortalecer cumplimiento, transparencia y gobierno</x:v>
      </x:c>
      <x:c r="F45" s="35" t="str">
        <x:v>OPERATIVO / DEPARTAMENTAL</x:v>
      </x:c>
      <x:c r="G45" s="35" t="str">
        <x:v>Medir rendición de cuentas y protección del patrimonio.</x:v>
      </x:c>
      <x:c r="H45" s="35" t="str">
        <x:v>Proyectos apoyados con cierre operativo y financiero validado ÷ proyectos apoyados concluidos × 100</x:v>
      </x:c>
      <x:c r="I45" s="35" t="str">
        <x:v>RATIO_PCT</x:v>
      </x:c>
      <x:c r="J45" s="35" t="str">
        <x:v>%</x:v>
      </x:c>
      <x:c r="K45" s="35" t="str">
        <x:v>↑</x:v>
      </x:c>
      <x:c r="L45" s="35" t="n">
        <x:v>84</x:v>
      </x:c>
      <x:c r="M45" s="35" t="n">
        <x:v>88.88888888888889</x:v>
      </x:c>
      <x:c r="N45" s="35" t="n">
        <x:v>93.96551724137932</x:v>
      </x:c>
      <x:c r="O45" s="35" t="n">
        <x:v>100</x:v>
      </x:c>
      <x:c r="P45" s="35" t="n">
        <x:v>88.9514687100894</x:v>
      </x:c>
      <x:c r="Q45" s="35" t="str">
        <x:v>100%</x:v>
      </x:c>
      <x:c r="R45" s="35" t="str">
        <x:v>&lt;100%</x:v>
      </x:c>
      <x:c r="S45" s="35" t="str">
        <x:v>&lt;75% o recursos sin comprobar</x:v>
      </x:c>
      <x:c r="T45" s="54" t="n">
        <x:f>IF(OR(P45="",P45=0,O45=""),"",IF(K45="↑",(O45-P45)/ABS(P45),IF(K45="↓",(P45-O45)/ABS(P45),IF(K45="↔",(ABS(P45)-ABS(O45))/ABS(P45),""))))</x:f>
        <x:v>0.12420853135005526</x:v>
      </x:c>
      <x:c r="U45" s="35" t="str">
        <x:f>IF(T45="","",IF(T45&gt;=0.1,"Strong improvement",IF(T45&gt;=0,"Improving",IF(T45&gt;=-0.1,"Attention","Deteriorating"))))</x:f>
        <x:v>Strong improvement</x:v>
      </x:c>
      <x:c r="V45" s="35" t="str">
        <x:v>Jurídico + Operaciones</x:v>
      </x:c>
      <x:c r="W45" s="35" t="str">
        <x:v>Trimestral / cierre de proyecto</x:v>
      </x:c>
      <x:c r="X45" s="35" t="str">
        <x:v>Registros del área / evidencia del proceso</x:v>
      </x:c>
      <x:c r="Y45" s="35" t="str">
        <x:v>Documento firmado/aprobado, acuse o evidencia de cierre.</x:v>
      </x:c>
      <x:c r="Z45" s="35" t="str">
        <x:v>Leading/Lagging</x:v>
      </x:c>
      <x:c r="AA45" s="35" t="str">
        <x:v>Manual / por definir</x:v>
      </x:c>
      <x:c r="AB45" s="35" t="str">
        <x:v>Revisar desviación y definir acción correctiva cuando no se alcance la meta.</x:v>
      </x:c>
      <x:c r="AC45" s="35" t="str">
        <x:v>El cierre requiere evidencia operativa, financiera y conciliación de recursos.</x:v>
      </x:c>
      <x:c r="AD45" s="35" t="str">
        <x:v>LEG-017_NUM | LEG-017_DEN</x:v>
      </x:c>
      <x:c r="AE45" s="35" t="str">
        <x:v>Proyectos apoyados con cierre operativo y financiero validado = 125 # / base; proyectos apoyados concluidos = 125 # / base</x:v>
      </x:c>
      <x:c r="AF45" s="35" t="str">
        <x:v>LEG-003 | LEG-015 | LEG-016 | LEG-001 | LEG-004 | REC-P06 | LEG-002 | ADM-001</x:v>
      </x:c>
      <x:c r="AG45" s="35" t="str">
        <x:v>Top-8 heuristic: same strategic objective &gt; strategic-map adjacency &gt; same department &gt; same BSC perspective.</x:v>
      </x:c>
      <x:c r="AH45" s="35" t="str">
        <x:v>YES</x:v>
      </x:c>
      <x:c r="AI45" s="35" t="str">
        <x:v>PROTOTYPE ONLY — human review required</x:v>
      </x:c>
    </x:row>
    <x:row r="46">
      <x:c r="A46" s="35" t="str">
        <x:v>FND-001</x:v>
      </x:c>
      <x:c r="B46" s="35" t="str">
        <x:v>Fondos recaudados — Tu Donativo x2 (Chivas)</x:v>
      </x:c>
      <x:c r="C46" s="35" t="str">
        <x:v>Procuración de Fondos</x:v>
      </x:c>
      <x:c r="D46" s="35" t="str">
        <x:v>Sostenibilidad financiera</x:v>
      </x:c>
      <x:c r="E46" s="35" t="str">
        <x:v>F1. Diversificar y aumentar fuentes</x:v>
      </x:c>
      <x:c r="F46" s="35" t="str">
        <x:v>ESTRATÉGICO / DEPARTAMENTAL</x:v>
      </x:c>
      <x:c r="G46" s="35" t="str">
        <x:v>Usar una meta absoluta verificable y conservar comparativo 2025 como contexto.</x:v>
      </x:c>
      <x:c r="H46" s="35" t="str">
        <x:v>Suma de donativos efectivamente recibidos atribuibles a la campaña</x:v>
      </x:c>
      <x:c r="I46" s="35" t="str">
        <x:v>VALUE</x:v>
      </x:c>
      <x:c r="J46" s="35" t="str">
        <x:v>MXN</x:v>
      </x:c>
      <x:c r="K46" s="35" t="str">
        <x:v>↑</x:v>
      </x:c>
      <x:c r="L46" s="35" t="n">
        <x:v>27200</x:v>
      </x:c>
      <x:c r="M46" s="35" t="n">
        <x:v>31200</x:v>
      </x:c>
      <x:c r="N46" s="35" t="n">
        <x:v>35600</x:v>
      </x:c>
      <x:c r="O46" s="35" t="n">
        <x:v>40800</x:v>
      </x:c>
      <x:c r="P46" s="35" t="n">
        <x:v>31333.333333333332</x:v>
      </x:c>
      <x:c r="Q46" s="35" t="str">
        <x:v>≥$40,000 MXN y no menor a la media 2025</x:v>
      </x:c>
      <x:c r="R46" s="35" t="str">
        <x:v>&lt;100% de meta al cierre</x:v>
      </x:c>
      <x:c r="S46" s="35" t="str">
        <x:v>&lt;90% de meta al cierre</x:v>
      </x:c>
      <x:c r="T46" s="54" t="n">
        <x:f>IF(OR(P46="",P46=0,O46=""),"",IF(K46="↑",(O46-P46)/ABS(P46),IF(K46="↓",(P46-O46)/ABS(P46),IF(K46="↔",(ABS(P46)-ABS(O46))/ABS(P46),""))))</x:f>
        <x:v>0.30212765957446813</x:v>
      </x:c>
      <x:c r="U46" s="35" t="str">
        <x:f>IF(T46="","",IF(T46&gt;=0.1,"Strong improvement",IF(T46&gt;=0,"Improving",IF(T46&gt;=-0.1,"Attention","Deteriorating"))))</x:f>
        <x:v>Strong improvement</x:v>
      </x:c>
      <x:c r="V46" s="35" t="str">
        <x:v>Procuración de Fondos</x:v>
      </x:c>
      <x:c r="W46" s="35" t="str">
        <x:v>Durante campaña / cierre</x:v>
      </x:c>
      <x:c r="X46" s="35" t="str">
        <x:v>Registros del área / evidencia del proceso</x:v>
      </x:c>
      <x:c r="Y46" s="35" t="str">
        <x:v>Registro fuente, reporte del sistema y evidencia documental de respaldo.</x:v>
      </x:c>
      <x:c r="Z46" s="35" t="str">
        <x:v>Lagging</x:v>
      </x:c>
      <x:c r="AA46" s="35" t="str">
        <x:v>Manual / por definir</x:v>
      </x:c>
      <x:c r="AB46" s="35" t="str">
        <x:v>Revisar desviación y definir acción correctiva cuando no se alcance la meta.</x:v>
      </x:c>
      <x:c r="AC46" s="35" t="str">
        <x:v>Contar efectivo recibido, neto de devoluciones; no compromisos no cobrados.</x:v>
      </x:c>
      <x:c r="AD46" s="35" t="str">
        <x:v>FND-001_VAL</x:v>
      </x:c>
      <x:c r="AE46" s="35" t="str">
        <x:v>Suma de donativos efectivamente recibidos atribuibles a la campaña = 40,800 MXN</x:v>
      </x:c>
      <x:c r="AF46" s="35" t="str">
        <x:v>FND-002 | FND-003 | FND-004 | REC-P07 | FND-016 | FND-005 | FND-017 | REC-F01</x:v>
      </x:c>
      <x:c r="AG46" s="35" t="str">
        <x:v>Top-8 heuristic: same strategic objective &gt; strategic-map adjacency &gt; same department &gt; same BSC perspective.</x:v>
      </x:c>
      <x:c r="AH46" s="35" t="str">
        <x:v>YES</x:v>
      </x:c>
      <x:c r="AI46" s="35" t="str">
        <x:v>PROTOTYPE ONLY — human review required</x:v>
      </x:c>
    </x:row>
    <x:row r="47">
      <x:c r="A47" s="35" t="str">
        <x:v>FND-002</x:v>
      </x:c>
      <x:c r="B47" s="35" t="str">
        <x:v>Fondos recaudados — ¿Cuánto vale una sonrisa? México</x:v>
      </x:c>
      <x:c r="C47" s="35" t="str">
        <x:v>Procuración de Fondos</x:v>
      </x:c>
      <x:c r="D47" s="35" t="str">
        <x:v>Sostenibilidad financiera</x:v>
      </x:c>
      <x:c r="E47" s="35" t="str">
        <x:v>F1. Diversificar y aumentar fuentes</x:v>
      </x:c>
      <x:c r="F47" s="35" t="str">
        <x:v>ESTRATÉGICO / DEPARTAMENTAL</x:v>
      </x:c>
      <x:c r="G47" s="35" t="str">
        <x:v>Priorizar resultado financiero absoluto sobre crecimiento porcentual aislado.</x:v>
      </x:c>
      <x:c r="H47" s="35" t="str">
        <x:v>Suma de donativos efectivamente recibidos en la campaña México</x:v>
      </x:c>
      <x:c r="I47" s="35" t="str">
        <x:v>VALUE</x:v>
      </x:c>
      <x:c r="J47" s="35" t="str">
        <x:v>MXN</x:v>
      </x:c>
      <x:c r="K47" s="35" t="str">
        <x:v>↑</x:v>
      </x:c>
      <x:c r="L47" s="35" t="n">
        <x:v>359984</x:v>
      </x:c>
      <x:c r="M47" s="35" t="n">
        <x:v>359989</x:v>
      </x:c>
      <x:c r="N47" s="35" t="n">
        <x:v>359994</x:v>
      </x:c>
      <x:c r="O47" s="35" t="n">
        <x:v>100</x:v>
      </x:c>
      <x:c r="P47" s="35" t="n">
        <x:v>359989</x:v>
      </x:c>
      <x:c r="Q47" s="35" t="str">
        <x:v>≥$360,000 MXN y ≥20% vs 2025</x:v>
      </x:c>
      <x:c r="R47" s="35" t="str">
        <x:v>&lt;100% de meta</x:v>
      </x:c>
      <x:c r="S47" s="35" t="str">
        <x:v>&lt;90% de meta</x:v>
      </x:c>
      <x:c r="T47" s="54" t="n">
        <x:f>IF(OR(P47="",P47=0,O47=""),"",IF(K47="↑",(O47-P47)/ABS(P47),IF(K47="↓",(P47-O47)/ABS(P47),IF(K47="↔",(ABS(P47)-ABS(O47))/ABS(P47),""))))</x:f>
        <x:v>-0.9997222137343086</x:v>
      </x:c>
      <x:c r="U47" s="35" t="str">
        <x:f>IF(T47="","",IF(T47&gt;=0.1,"Strong improvement",IF(T47&gt;=0,"Improving",IF(T47&gt;=-0.1,"Attention","Deteriorating"))))</x:f>
        <x:v>Deteriorating</x:v>
      </x:c>
      <x:c r="V47" s="35" t="str">
        <x:v>Procuración de Fondos</x:v>
      </x:c>
      <x:c r="W47" s="35" t="str">
        <x:v>Mensual durante campaña</x:v>
      </x:c>
      <x:c r="X47" s="35" t="str">
        <x:v>Registros del área / evidencia del proceso</x:v>
      </x:c>
      <x:c r="Y47" s="35" t="str">
        <x:v>Registro fuente, reporte del sistema y evidencia documental de respaldo.</x:v>
      </x:c>
      <x:c r="Z47" s="35" t="str">
        <x:v>Lagging</x:v>
      </x:c>
      <x:c r="AA47" s="35" t="str">
        <x:v>Manual / por definir</x:v>
      </x:c>
      <x:c r="AB47" s="35" t="str">
        <x:v>Revisar desviación y definir acción correctiva cuando no se alcance la meta.</x:v>
      </x:c>
      <x:c r="AC47" s="35" t="str">
        <x:v>Separar aportaciones recurrentes y extraordinarias; contar efectivo recibido.</x:v>
      </x:c>
      <x:c r="AD47" s="35" t="str">
        <x:v>FND-002_VAL</x:v>
      </x:c>
      <x:c r="AE47" s="35" t="str">
        <x:v>Suma de donativos efectivamente recibidos en la campaña México = 100 MXN</x:v>
      </x:c>
      <x:c r="AF47" s="35" t="str">
        <x:v>FND-001 | FND-003 | FND-004 | REC-P07 | FND-016 | FND-005 | FND-017 | REC-F01</x:v>
      </x:c>
      <x:c r="AG47" s="35" t="str">
        <x:v>Top-8 heuristic: same strategic objective &gt; strategic-map adjacency &gt; same department &gt; same BSC perspective.</x:v>
      </x:c>
      <x:c r="AH47" s="35" t="str">
        <x:v>YES</x:v>
      </x:c>
      <x:c r="AI47" s="35" t="str">
        <x:v>PROTOTYPE ONLY — human review required</x:v>
      </x:c>
    </x:row>
    <x:row r="48">
      <x:c r="A48" s="35" t="str">
        <x:v>FND-003</x:v>
      </x:c>
      <x:c r="B48" s="35" t="str">
        <x:v>Fondos recaudados — ¿Cuánto vale una sonrisa? USA</x:v>
      </x:c>
      <x:c r="C48" s="35" t="str">
        <x:v>Procuración de Fondos</x:v>
      </x:c>
      <x:c r="D48" s="35" t="str">
        <x:v>Sostenibilidad financiera</x:v>
      </x:c>
      <x:c r="E48" s="35" t="str">
        <x:v>F1. Diversificar y aumentar fuentes</x:v>
      </x:c>
      <x:c r="F48" s="35" t="str">
        <x:v>ESTRATÉGICO / DEPARTAMENTAL</x:v>
      </x:c>
      <x:c r="G48" s="35" t="str">
        <x:v>Medir recaudación real en USA.</x:v>
      </x:c>
      <x:c r="H48" s="35" t="str">
        <x:v>Suma de donativos efectivamente recibidos en la campaña USA</x:v>
      </x:c>
      <x:c r="I48" s="35" t="str">
        <x:v>VALUE</x:v>
      </x:c>
      <x:c r="J48" s="35" t="str">
        <x:v>USD</x:v>
      </x:c>
      <x:c r="K48" s="35" t="str">
        <x:v>↑</x:v>
      </x:c>
      <x:c r="L48" s="35" t="n">
        <x:v>29984</x:v>
      </x:c>
      <x:c r="M48" s="35" t="n">
        <x:v>29989</x:v>
      </x:c>
      <x:c r="N48" s="35" t="n">
        <x:v>29994</x:v>
      </x:c>
      <x:c r="O48" s="35" t="n">
        <x:v>100</x:v>
      </x:c>
      <x:c r="P48" s="35" t="n">
        <x:v>29989</x:v>
      </x:c>
      <x:c r="Q48" s="35" t="str">
        <x:v>≥$30,000 USD y ≥20% vs 2025</x:v>
      </x:c>
      <x:c r="R48" s="35" t="str">
        <x:v>&lt;100% de meta</x:v>
      </x:c>
      <x:c r="S48" s="35" t="str">
        <x:v>&lt;90% de meta</x:v>
      </x:c>
      <x:c r="T48" s="54" t="n">
        <x:f>IF(OR(P48="",P48=0,O48=""),"",IF(K48="↑",(O48-P48)/ABS(P48),IF(K48="↓",(P48-O48)/ABS(P48),IF(K48="↔",(ABS(P48)-ABS(O48))/ABS(P48),""))))</x:f>
        <x:v>-0.9966654439961319</x:v>
      </x:c>
      <x:c r="U48" s="35" t="str">
        <x:f>IF(T48="","",IF(T48&gt;=0.1,"Strong improvement",IF(T48&gt;=0,"Improving",IF(T48&gt;=-0.1,"Attention","Deteriorating"))))</x:f>
        <x:v>Deteriorating</x:v>
      </x:c>
      <x:c r="V48" s="35" t="str">
        <x:v>Procuración de Fondos</x:v>
      </x:c>
      <x:c r="W48" s="35" t="str">
        <x:v>Mensual durante campaña</x:v>
      </x:c>
      <x:c r="X48" s="35" t="str">
        <x:v>Registros del área / evidencia del proceso</x:v>
      </x:c>
      <x:c r="Y48" s="35" t="str">
        <x:v>Registro fuente, reporte del sistema y evidencia documental de respaldo.</x:v>
      </x:c>
      <x:c r="Z48" s="35" t="str">
        <x:v>Lagging</x:v>
      </x:c>
      <x:c r="AA48" s="35" t="str">
        <x:v>Manual / por definir</x:v>
      </x:c>
      <x:c r="AB48" s="35" t="str">
        <x:v>Revisar desviación y definir acción correctiva cuando no se alcance la meta.</x:v>
      </x:c>
      <x:c r="AC48" s="35" t="str">
        <x:v>Mantener moneda original y reportar tipo de cambio sólo para consolidación.</x:v>
      </x:c>
      <x:c r="AD48" s="35" t="str">
        <x:v>FND-003_VAL</x:v>
      </x:c>
      <x:c r="AE48" s="35" t="str">
        <x:v>Suma de donativos efectivamente recibidos en la campaña USA = 100 USD</x:v>
      </x:c>
      <x:c r="AF48" s="35" t="str">
        <x:v>FND-001 | FND-002 | FND-004 | REC-P07 | FND-016 | FND-005 | FND-017 | REC-F01</x:v>
      </x:c>
      <x:c r="AG48" s="35" t="str">
        <x:v>Top-8 heuristic: same strategic objective &gt; strategic-map adjacency &gt; same department &gt; same BSC perspective.</x:v>
      </x:c>
      <x:c r="AH48" s="35" t="str">
        <x:v>YES</x:v>
      </x:c>
      <x:c r="AI48" s="35" t="str">
        <x:v>PROTOTYPE ONLY — human review required</x:v>
      </x:c>
    </x:row>
    <x:row r="49">
      <x:c r="A49" s="35" t="str">
        <x:v>FND-004</x:v>
      </x:c>
      <x:c r="B49" s="35" t="str">
        <x:v>Fondos recaudados — ¿Cuánto vale una sonrisa? Perú</x:v>
      </x:c>
      <x:c r="C49" s="35" t="str">
        <x:v>Procuración de Fondos</x:v>
      </x:c>
      <x:c r="D49" s="35" t="str">
        <x:v>Sostenibilidad financiera</x:v>
      </x:c>
      <x:c r="E49" s="35" t="str">
        <x:v>F1. Diversificar y aumentar fuentes</x:v>
      </x:c>
      <x:c r="F49" s="35" t="str">
        <x:v>ESTRATÉGICO / DEPARTAMENTAL</x:v>
      </x:c>
      <x:c r="G49" s="35" t="str">
        <x:v>Medir recaudación real en Perú.</x:v>
      </x:c>
      <x:c r="H49" s="35" t="str">
        <x:v>Suma de donativos efectivamente recibidos en la campaña Perú</x:v>
      </x:c>
      <x:c r="I49" s="35" t="str">
        <x:v>VALUE</x:v>
      </x:c>
      <x:c r="J49" s="35" t="str">
        <x:v>USD</x:v>
      </x:c>
      <x:c r="K49" s="35" t="str">
        <x:v>↑</x:v>
      </x:c>
      <x:c r="L49" s="35" t="n">
        <x:v>2984</x:v>
      </x:c>
      <x:c r="M49" s="35" t="n">
        <x:v>2989</x:v>
      </x:c>
      <x:c r="N49" s="35" t="n">
        <x:v>2994</x:v>
      </x:c>
      <x:c r="O49" s="35" t="n">
        <x:v>100</x:v>
      </x:c>
      <x:c r="P49" s="35" t="n">
        <x:v>2989</x:v>
      </x:c>
      <x:c r="Q49" s="35" t="str">
        <x:v>≥$3,000 USD y ≥20% vs 2025</x:v>
      </x:c>
      <x:c r="R49" s="35" t="str">
        <x:v>&lt;100% de meta</x:v>
      </x:c>
      <x:c r="S49" s="35" t="str">
        <x:v>&lt;90% de meta</x:v>
      </x:c>
      <x:c r="T49" s="54" t="n">
        <x:f>IF(OR(P49="",P49=0,O49=""),"",IF(K49="↑",(O49-P49)/ABS(P49),IF(K49="↓",(P49-O49)/ABS(P49),IF(K49="↔",(ABS(P49)-ABS(O49))/ABS(P49),""))))</x:f>
        <x:v>-0.9665439946470391</x:v>
      </x:c>
      <x:c r="U49" s="35" t="str">
        <x:f>IF(T49="","",IF(T49&gt;=0.1,"Strong improvement",IF(T49&gt;=0,"Improving",IF(T49&gt;=-0.1,"Attention","Deteriorating"))))</x:f>
        <x:v>Deteriorating</x:v>
      </x:c>
      <x:c r="V49" s="35" t="str">
        <x:v>Procuración de Fondos</x:v>
      </x:c>
      <x:c r="W49" s="35" t="str">
        <x:v>Mensual durante campaña</x:v>
      </x:c>
      <x:c r="X49" s="35" t="str">
        <x:v>Registros del área / evidencia del proceso</x:v>
      </x:c>
      <x:c r="Y49" s="35" t="str">
        <x:v>Registro fuente, reporte del sistema y evidencia documental de respaldo.</x:v>
      </x:c>
      <x:c r="Z49" s="35" t="str">
        <x:v>Lagging</x:v>
      </x:c>
      <x:c r="AA49" s="35" t="str">
        <x:v>Manual / por definir</x:v>
      </x:c>
      <x:c r="AB49" s="35" t="str">
        <x:v>Revisar desviación y definir acción correctiva cuando no se alcance la meta.</x:v>
      </x:c>
      <x:c r="AC49" s="35" t="str">
        <x:v>Contar efectivo recibido; separar efecto cambiario.</x:v>
      </x:c>
      <x:c r="AD49" s="35" t="str">
        <x:v>FND-004_VAL</x:v>
      </x:c>
      <x:c r="AE49" s="35" t="str">
        <x:v>Suma de donativos efectivamente recibidos en la campaña Perú = 100 USD</x:v>
      </x:c>
      <x:c r="AF49" s="35" t="str">
        <x:v>FND-001 | FND-002 | FND-003 | REC-P07 | FND-016 | FND-005 | FND-017 | REC-F01</x:v>
      </x:c>
      <x:c r="AG49" s="35" t="str">
        <x:v>Top-8 heuristic: same strategic objective &gt; strategic-map adjacency &gt; same department &gt; same BSC perspective.</x:v>
      </x:c>
      <x:c r="AH49" s="35" t="str">
        <x:v>YES</x:v>
      </x:c>
      <x:c r="AI49" s="35" t="str">
        <x:v>PROTOTYPE ONLY — human review required</x:v>
      </x:c>
    </x:row>
    <x:row r="50">
      <x:c r="A50" s="35" t="str">
        <x:v>FND-005</x:v>
      </x:c>
      <x:c r="B50" s="35" t="str">
        <x:v>Sell-through de artículos Mes de Fundación</x:v>
      </x:c>
      <x:c r="C50" s="35" t="str">
        <x:v>Procuración de Fondos</x:v>
      </x:c>
      <x:c r="D50" s="35" t="str">
        <x:v>Sostenibilidad financiera</x:v>
      </x:c>
      <x:c r="E50" s="35" t="str">
        <x:v>F1. Diversificar y aumentar fuentes</x:v>
      </x:c>
      <x:c r="F50" s="35" t="str">
        <x:v>OPERATIVO / DEPARTAMENTAL</x:v>
      </x:c>
      <x:c r="G50" s="35" t="str">
        <x:v>Evitar sobreproducción y pérdida de inventario.</x:v>
      </x:c>
      <x:c r="H50" s="35" t="str">
        <x:v>Unidades vendidas ÷ unidades producidas disponibles para venta × 100</x:v>
      </x:c>
      <x:c r="I50" s="35" t="str">
        <x:v>RATIO_PCT</x:v>
      </x:c>
      <x:c r="J50" s="35" t="str">
        <x:v>%</x:v>
      </x:c>
      <x:c r="K50" s="35" t="str">
        <x:v>↑</x:v>
      </x:c>
      <x:c r="L50" s="35" t="n">
        <x:v>84</x:v>
      </x:c>
      <x:c r="M50" s="35" t="n">
        <x:v>88.88888888888889</x:v>
      </x:c>
      <x:c r="N50" s="35" t="n">
        <x:v>93.96551724137932</x:v>
      </x:c>
      <x:c r="O50" s="35" t="n">
        <x:v>100</x:v>
      </x:c>
      <x:c r="P50" s="35" t="n">
        <x:v>88.9514687100894</x:v>
      </x:c>
      <x:c r="Q50" s="35" t="str">
        <x:v>100%</x:v>
      </x:c>
      <x:c r="R50" s="35" t="str">
        <x:v>90–99.9%</x:v>
      </x:c>
      <x:c r="S50" s="35" t="str">
        <x:v>&lt;90%</x:v>
      </x:c>
      <x:c r="T50" s="54" t="n">
        <x:f>IF(OR(P50="",P50=0,O50=""),"",IF(K50="↑",(O50-P50)/ABS(P50),IF(K50="↓",(P50-O50)/ABS(P50),IF(K50="↔",(ABS(P50)-ABS(O50))/ABS(P50),""))))</x:f>
        <x:v>0.12420853135005526</x:v>
      </x:c>
      <x:c r="U50" s="35" t="str">
        <x:f>IF(T50="","",IF(T50&gt;=0.1,"Strong improvement",IF(T50&gt;=0,"Improving",IF(T50&gt;=-0.1,"Attention","Deteriorating"))))</x:f>
        <x:v>Strong improvement</x:v>
      </x:c>
      <x:c r="V50" s="35" t="str">
        <x:v>Procuración de Fondos</x:v>
      </x:c>
      <x:c r="W50" s="35" t="str">
        <x:v>Semanal durante campaña</x:v>
      </x:c>
      <x:c r="X50" s="35" t="str">
        <x:v>Registros del área / evidencia del proceso</x:v>
      </x:c>
      <x:c r="Y50" s="35" t="str">
        <x:v>Registro fuente, reporte del sistema y evidencia documental de respaldo.</x:v>
      </x:c>
      <x:c r="Z50" s="35" t="str">
        <x:v>Lagging</x:v>
      </x:c>
      <x:c r="AA50" s="35" t="str">
        <x:v>Manual / por definir</x:v>
      </x:c>
      <x:c r="AB50" s="35" t="str">
        <x:v>Revisar desviación y definir acción correctiva cuando no se alcance la meta.</x:v>
      </x:c>
      <x:c r="AC50" s="35" t="str">
        <x:v>Acompañar con margen/contribución y valor de inventario; no reducir artificialmente producción para asegurar 100%.</x:v>
      </x:c>
      <x:c r="AD50" s="35" t="str">
        <x:v>FND-005_NUM | FND-005_DEN</x:v>
      </x:c>
      <x:c r="AE50" s="35" t="str">
        <x:v>Unidades vendidas = 125 # / base; unidades producidas disponibles para venta = 125 # / base</x:v>
      </x:c>
      <x:c r="AF50" s="35" t="str">
        <x:v>FND-001 | FND-002 | FND-003 | REC-P07 | FND-016 | FND-004 | FND-017 | REC-F01</x:v>
      </x:c>
      <x:c r="AG50" s="35" t="str">
        <x:v>Top-8 heuristic: same strategic objective &gt; strategic-map adjacency &gt; same department &gt; same BSC perspective.</x:v>
      </x:c>
      <x:c r="AH50" s="35" t="str">
        <x:v>YES</x:v>
      </x:c>
      <x:c r="AI50" s="35" t="str">
        <x:v>PROTOTYPE ONLY — human review required</x:v>
      </x:c>
    </x:row>
    <x:row r="51">
      <x:c r="A51" s="35" t="str">
        <x:v>FND-006</x:v>
      </x:c>
      <x:c r="B51" s="35" t="str">
        <x:v>Nuevos donantes recurrentes — USA</x:v>
      </x:c>
      <x:c r="C51" s="35" t="str">
        <x:v>Procuración de Fondos</x:v>
      </x:c>
      <x:c r="D51" s="35" t="str">
        <x:v>Sostenibilidad financiera</x:v>
      </x:c>
      <x:c r="E51" s="35" t="str">
        <x:v>F2. Incrementar y retener donantes recurrentes</x:v>
      </x:c>
      <x:c r="F51" s="35" t="str">
        <x:v>ESTRATÉGICO / DEPARTAMENTAL</x:v>
      </x:c>
      <x:c r="G51" s="35" t="str">
        <x:v>Usar la meta absoluta y conservar el crecimiento como referencia.</x:v>
      </x:c>
      <x:c r="H51" s="35" t="str">
        <x:v>Número de personas que inician una donación recurrente activa en USA durante 2026</x:v>
      </x:c>
      <x:c r="I51" s="35" t="str">
        <x:v>VALUE</x:v>
      </x:c>
      <x:c r="J51" s="35" t="str">
        <x:v># donantes</x:v>
      </x:c>
      <x:c r="K51" s="35" t="str">
        <x:v>↑</x:v>
      </x:c>
      <x:c r="L51" s="35" t="n">
        <x:v>57</x:v>
      </x:c>
      <x:c r="M51" s="35" t="n">
        <x:v>62</x:v>
      </x:c>
      <x:c r="N51" s="35" t="n">
        <x:v>67</x:v>
      </x:c>
      <x:c r="O51" s="35" t="n">
        <x:v>73</x:v>
      </x:c>
      <x:c r="P51" s="35" t="n">
        <x:v>62</x:v>
      </x:c>
      <x:c r="Q51" s="35" t="str">
        <x:v>≥5 nuevos y ≥71% vs baseline 2025</x:v>
      </x:c>
      <x:c r="R51" s="35" t="str">
        <x:v>&lt;5 al cierre</x:v>
      </x:c>
      <x:c r="S51" s="35" t="str">
        <x:v>&lt;4 al cierre</x:v>
      </x:c>
      <x:c r="T51" s="54" t="n">
        <x:f>IF(OR(P51="",P51=0,O51=""),"",IF(K51="↑",(O51-P51)/ABS(P51),IF(K51="↓",(P51-O51)/ABS(P51),IF(K51="↔",(ABS(P51)-ABS(O51))/ABS(P51),""))))</x:f>
        <x:v>0.1774193548387097</x:v>
      </x:c>
      <x:c r="U51" s="35" t="str">
        <x:f>IF(T51="","",IF(T51&gt;=0.1,"Strong improvement",IF(T51&gt;=0,"Improving",IF(T51&gt;=-0.1,"Attention","Deteriorating"))))</x:f>
        <x:v>Strong improvement</x:v>
      </x:c>
      <x:c r="V51" s="35" t="str">
        <x:v>Procuración de Fondos</x:v>
      </x:c>
      <x:c r="W51" s="35" t="str">
        <x:v>Mensual</x:v>
      </x:c>
      <x:c r="X51" s="35" t="str">
        <x:v>Registros del área / evidencia del proceso</x:v>
      </x:c>
      <x:c r="Y51" s="35" t="str">
        <x:v>Registro fuente, reporte del sistema y evidencia documental de respaldo.</x:v>
      </x:c>
      <x:c r="Z51" s="35" t="str">
        <x:v>Lagging</x:v>
      </x:c>
      <x:c r="AA51" s="35" t="str">
        <x:v>Manual / por definir</x:v>
      </x:c>
      <x:c r="AB51" s="35" t="str">
        <x:v>Revisar desviación y definir acción correctiva cuando no se alcance la meta.</x:v>
      </x:c>
      <x:c r="AC51" s="35" t="str">
        <x:v>Contar sólo donantes con primer cobro exitoso y método recurrente activo.</x:v>
      </x:c>
      <x:c r="AD51" s="35" t="str">
        <x:v>FND-006_VAL</x:v>
      </x:c>
      <x:c r="AE51" s="35" t="str">
        <x:v>Número de personas que inician una donación recurrente activa en USA durante 2026 = 73 #</x:v>
      </x:c>
      <x:c r="AF51" s="35" t="str">
        <x:v>FND-007 | FND-008 | FND-009 | REC-M02 | REC-P03 | FND-011 | FND-013 | FND-014</x:v>
      </x:c>
      <x:c r="AG51" s="35" t="str">
        <x:v>Top-8 heuristic: same strategic objective &gt; strategic-map adjacency &gt; same department &gt; same BSC perspective.</x:v>
      </x:c>
      <x:c r="AH51" s="35" t="str">
        <x:v>YES</x:v>
      </x:c>
      <x:c r="AI51" s="35" t="str">
        <x:v>PROTOTYPE ONLY — human review required</x:v>
      </x:c>
    </x:row>
    <x:row r="52">
      <x:c r="A52" s="35" t="str">
        <x:v>FND-007</x:v>
      </x:c>
      <x:c r="B52" s="35" t="str">
        <x:v>Nuevos donantes recurrentes — México</x:v>
      </x:c>
      <x:c r="C52" s="35" t="str">
        <x:v>Procuración de Fondos</x:v>
      </x:c>
      <x:c r="D52" s="35" t="str">
        <x:v>Sostenibilidad financiera</x:v>
      </x:c>
      <x:c r="E52" s="35" t="str">
        <x:v>F2. Incrementar y retener donantes recurrentes</x:v>
      </x:c>
      <x:c r="F52" s="35" t="str">
        <x:v>ESTRATÉGICO / DEPARTAMENTAL</x:v>
      </x:c>
      <x:c r="G52" s="35" t="str">
        <x:v>Medir adquisición recurrente real.</x:v>
      </x:c>
      <x:c r="H52" s="35" t="str">
        <x:v>Número de personas que inician una donación recurrente activa en México durante 2026</x:v>
      </x:c>
      <x:c r="I52" s="35" t="str">
        <x:v>VALUE</x:v>
      </x:c>
      <x:c r="J52" s="35" t="str">
        <x:v># donantes</x:v>
      </x:c>
      <x:c r="K52" s="35" t="str">
        <x:v>↑</x:v>
      </x:c>
      <x:c r="L52" s="35" t="n">
        <x:v>10</x:v>
      </x:c>
      <x:c r="M52" s="35" t="n">
        <x:v>12</x:v>
      </x:c>
      <x:c r="N52" s="35" t="n">
        <x:v>14</x:v>
      </x:c>
      <x:c r="O52" s="35" t="n">
        <x:v>15</x:v>
      </x:c>
      <x:c r="P52" s="35" t="n">
        <x:v>12</x:v>
      </x:c>
      <x:c r="Q52" s="35" t="str">
        <x:v>≥30 nuevos y ≥15% vs 2025</x:v>
      </x:c>
      <x:c r="R52" s="35" t="str">
        <x:v>&lt;30 al cierre</x:v>
      </x:c>
      <x:c r="S52" s="35" t="str">
        <x:v>&lt;25 al cierre</x:v>
      </x:c>
      <x:c r="T52" s="54" t="n">
        <x:f>IF(OR(P52="",P52=0,O52=""),"",IF(K52="↑",(O52-P52)/ABS(P52),IF(K52="↓",(P52-O52)/ABS(P52),IF(K52="↔",(ABS(P52)-ABS(O52))/ABS(P52),""))))</x:f>
        <x:v>0.25</x:v>
      </x:c>
      <x:c r="U52" s="35" t="str">
        <x:f>IF(T52="","",IF(T52&gt;=0.1,"Strong improvement",IF(T52&gt;=0,"Improving",IF(T52&gt;=-0.1,"Attention","Deteriorating"))))</x:f>
        <x:v>Strong improvement</x:v>
      </x:c>
      <x:c r="V52" s="35" t="str">
        <x:v>Procuración de Fondos</x:v>
      </x:c>
      <x:c r="W52" s="35" t="str">
        <x:v>Mensual</x:v>
      </x:c>
      <x:c r="X52" s="35" t="str">
        <x:v>Registros del área / evidencia del proceso</x:v>
      </x:c>
      <x:c r="Y52" s="35" t="str">
        <x:v>Registro fuente, reporte del sistema y evidencia documental de respaldo.</x:v>
      </x:c>
      <x:c r="Z52" s="35" t="str">
        <x:v>Lagging</x:v>
      </x:c>
      <x:c r="AA52" s="35" t="str">
        <x:v>Manual / por definir</x:v>
      </x:c>
      <x:c r="AB52" s="35" t="str">
        <x:v>Revisar desviación y definir acción correctiva cuando no se alcance la meta.</x:v>
      </x:c>
      <x:c r="AC52" s="35" t="str">
        <x:v>Contar sólo donantes con primer cobro exitoso; evitar doble conteo de reactivaciones.</x:v>
      </x:c>
      <x:c r="AD52" s="35" t="str">
        <x:v>FND-007_VAL</x:v>
      </x:c>
      <x:c r="AE52" s="35" t="str">
        <x:v>Número de personas que inician una donación recurrente activa en México durante 2026 = 15 #</x:v>
      </x:c>
      <x:c r="AF52" s="35" t="str">
        <x:v>FND-006 | FND-008 | FND-009 | REC-M02 | REC-P03 | FND-011 | FND-013 | FND-014</x:v>
      </x:c>
      <x:c r="AG52" s="35" t="str">
        <x:v>Top-8 heuristic: same strategic objective &gt; strategic-map adjacency &gt; same department &gt; same BSC perspective.</x:v>
      </x:c>
      <x:c r="AH52" s="35" t="str">
        <x:v>YES</x:v>
      </x:c>
      <x:c r="AI52" s="35" t="str">
        <x:v>PROTOTYPE ONLY — human review required</x:v>
      </x:c>
    </x:row>
    <x:row r="53">
      <x:c r="A53" s="35" t="str">
        <x:v>FND-008</x:v>
      </x:c>
      <x:c r="B53" s="35" t="str">
        <x:v>Nuevos donantes recurrentes — Perú</x:v>
      </x:c>
      <x:c r="C53" s="35" t="str">
        <x:v>Procuración de Fondos</x:v>
      </x:c>
      <x:c r="D53" s="35" t="str">
        <x:v>Sostenibilidad financiera</x:v>
      </x:c>
      <x:c r="E53" s="35" t="str">
        <x:v>F2. Incrementar y retener donantes recurrentes</x:v>
      </x:c>
      <x:c r="F53" s="35" t="str">
        <x:v>ESTRATÉGICO / DEPARTAMENTAL</x:v>
      </x:c>
      <x:c r="G53" s="35" t="str">
        <x:v>Medir construcción inicial de base recurrente en Perú.</x:v>
      </x:c>
      <x:c r="H53" s="35" t="str">
        <x:v>Nuevos donantes con recurrencia activa y primer cobro exitoso</x:v>
      </x:c>
      <x:c r="I53" s="35" t="str">
        <x:v>VALUE</x:v>
      </x:c>
      <x:c r="J53" s="35" t="str">
        <x:v># donantes</x:v>
      </x:c>
      <x:c r="K53" s="35" t="str">
        <x:v>↑</x:v>
      </x:c>
      <x:c r="L53" s="35" t="n">
        <x:v>4</x:v>
      </x:c>
      <x:c r="M53" s="35" t="n">
        <x:v>6</x:v>
      </x:c>
      <x:c r="N53" s="35" t="n">
        <x:v>7</x:v>
      </x:c>
      <x:c r="O53" s="35" t="n">
        <x:v>8</x:v>
      </x:c>
      <x:c r="P53" s="35" t="n">
        <x:v>5.666666666666667</x:v>
      </x:c>
      <x:c r="Q53" s="35" t="str">
        <x:v>≥8</x:v>
      </x:c>
      <x:c r="R53" s="35" t="str">
        <x:v>&lt;8 al cierre</x:v>
      </x:c>
      <x:c r="S53" s="35" t="str">
        <x:v>&lt;6 al cierre</x:v>
      </x:c>
      <x:c r="T53" s="54" t="n">
        <x:f>IF(OR(P53="",P53=0,O53=""),"",IF(K53="↑",(O53-P53)/ABS(P53),IF(K53="↓",(P53-O53)/ABS(P53),IF(K53="↔",(ABS(P53)-ABS(O53))/ABS(P53),""))))</x:f>
        <x:v>0.41176470588235287</x:v>
      </x:c>
      <x:c r="U53" s="35" t="str">
        <x:f>IF(T53="","",IF(T53&gt;=0.1,"Strong improvement",IF(T53&gt;=0,"Improving",IF(T53&gt;=-0.1,"Attention","Deteriorating"))))</x:f>
        <x:v>Strong improvement</x:v>
      </x:c>
      <x:c r="V53" s="35" t="str">
        <x:v>Procuración de Fondos</x:v>
      </x:c>
      <x:c r="W53" s="35" t="str">
        <x:v>Mensual</x:v>
      </x:c>
      <x:c r="X53" s="35" t="str">
        <x:v>Registros del área / evidencia del proceso</x:v>
      </x:c>
      <x:c r="Y53" s="35" t="str">
        <x:v>Registro fuente, reporte del sistema y evidencia documental de respaldo.</x:v>
      </x:c>
      <x:c r="Z53" s="35" t="str">
        <x:v>Lagging</x:v>
      </x:c>
      <x:c r="AA53" s="35" t="str">
        <x:v>Manual / por definir</x:v>
      </x:c>
      <x:c r="AB53" s="35" t="str">
        <x:v>Revisar desviación y definir acción correctiva cuando no se alcance la meta.</x:v>
      </x:c>
      <x:c r="AC53" s="35" t="str">
        <x:v>Reportar también valor recurrente mensual; no contar promesas sin cobro.</x:v>
      </x:c>
      <x:c r="AD53" s="35" t="str">
        <x:v>FND-008_VAL</x:v>
      </x:c>
      <x:c r="AE53" s="35" t="str">
        <x:v>Nuevos donantes con recurrencia activa y primer cobro exitoso = 8 #</x:v>
      </x:c>
      <x:c r="AF53" s="35" t="str">
        <x:v>FND-006 | FND-007 | FND-009 | REC-M02 | REC-P03 | FND-011 | FND-013 | FND-014</x:v>
      </x:c>
      <x:c r="AG53" s="35" t="str">
        <x:v>Top-8 heuristic: same strategic objective &gt; strategic-map adjacency &gt; same department &gt; same BSC perspective.</x:v>
      </x:c>
      <x:c r="AH53" s="35" t="str">
        <x:v>YES</x:v>
      </x:c>
      <x:c r="AI53" s="35" t="str">
        <x:v>PROTOTYPE ONLY — human review required</x:v>
      </x:c>
    </x:row>
    <x:row r="54">
      <x:c r="A54" s="35" t="str">
        <x:v>FND-009</x:v>
      </x:c>
      <x:c r="B54" s="35" t="str">
        <x:v>Nuevos donantes recurrentes — Colombia</x:v>
      </x:c>
      <x:c r="C54" s="35" t="str">
        <x:v>Procuración de Fondos</x:v>
      </x:c>
      <x:c r="D54" s="35" t="str">
        <x:v>Sostenibilidad financiera</x:v>
      </x:c>
      <x:c r="E54" s="35" t="str">
        <x:v>F2. Incrementar y retener donantes recurrentes</x:v>
      </x:c>
      <x:c r="F54" s="35" t="str">
        <x:v>ESTRATÉGICO / DEPARTAMENTAL</x:v>
      </x:c>
      <x:c r="G54" s="35" t="str">
        <x:v>Medir construcción inicial de base recurrente en Colombia.</x:v>
      </x:c>
      <x:c r="H54" s="35" t="str">
        <x:v>Nuevos donantes con recurrencia activa y primer cobro exitoso</x:v>
      </x:c>
      <x:c r="I54" s="35" t="str">
        <x:v>VALUE</x:v>
      </x:c>
      <x:c r="J54" s="35" t="str">
        <x:v># donantes</x:v>
      </x:c>
      <x:c r="K54" s="35" t="str">
        <x:v>↑</x:v>
      </x:c>
      <x:c r="L54" s="35" t="n">
        <x:v>2</x:v>
      </x:c>
      <x:c r="M54" s="35" t="n">
        <x:v>4</x:v>
      </x:c>
      <x:c r="N54" s="35" t="n">
        <x:v>4</x:v>
      </x:c>
      <x:c r="O54" s="35" t="n">
        <x:v>5</x:v>
      </x:c>
      <x:c r="P54" s="35" t="n">
        <x:v>3.3333333333333335</x:v>
      </x:c>
      <x:c r="Q54" s="35" t="str">
        <x:v>≥5</x:v>
      </x:c>
      <x:c r="R54" s="35" t="str">
        <x:v>&lt;5 al cierre</x:v>
      </x:c>
      <x:c r="S54" s="35" t="str">
        <x:v>&lt;4 al cierre</x:v>
      </x:c>
      <x:c r="T54" s="54" t="n">
        <x:f>IF(OR(P54="",P54=0,O54=""),"",IF(K54="↑",(O54-P54)/ABS(P54),IF(K54="↓",(P54-O54)/ABS(P54),IF(K54="↔",(ABS(P54)-ABS(O54))/ABS(P54),""))))</x:f>
        <x:v>0.49999999999999994</x:v>
      </x:c>
      <x:c r="U54" s="35" t="str">
        <x:f>IF(T54="","",IF(T54&gt;=0.1,"Strong improvement",IF(T54&gt;=0,"Improving",IF(T54&gt;=-0.1,"Attention","Deteriorating"))))</x:f>
        <x:v>Strong improvement</x:v>
      </x:c>
      <x:c r="V54" s="35" t="str">
        <x:v>Procuración de Fondos</x:v>
      </x:c>
      <x:c r="W54" s="35" t="str">
        <x:v>Mensual</x:v>
      </x:c>
      <x:c r="X54" s="35" t="str">
        <x:v>Registros del área / evidencia del proceso</x:v>
      </x:c>
      <x:c r="Y54" s="35" t="str">
        <x:v>Registro fuente, reporte del sistema y evidencia documental de respaldo.</x:v>
      </x:c>
      <x:c r="Z54" s="35" t="str">
        <x:v>Lagging</x:v>
      </x:c>
      <x:c r="AA54" s="35" t="str">
        <x:v>Manual / por definir</x:v>
      </x:c>
      <x:c r="AB54" s="35" t="str">
        <x:v>Revisar desviación y definir acción correctiva cuando no se alcance la meta.</x:v>
      </x:c>
      <x:c r="AC54" s="35" t="str">
        <x:v>Reportar también valor recurrente mensual; no contar promesas sin cobro.</x:v>
      </x:c>
      <x:c r="AD54" s="35" t="str">
        <x:v>FND-009_VAL</x:v>
      </x:c>
      <x:c r="AE54" s="35" t="str">
        <x:v>Nuevos donantes con recurrencia activa y primer cobro exitoso = 5 #</x:v>
      </x:c>
      <x:c r="AF54" s="35" t="str">
        <x:v>FND-006 | FND-007 | FND-008 | REC-M02 | REC-P03 | FND-011 | FND-013 | FND-014</x:v>
      </x:c>
      <x:c r="AG54" s="35" t="str">
        <x:v>Top-8 heuristic: same strategic objective &gt; strategic-map adjacency &gt; same department &gt; same BSC perspective.</x:v>
      </x:c>
      <x:c r="AH54" s="35" t="str">
        <x:v>YES</x:v>
      </x:c>
      <x:c r="AI54" s="35" t="str">
        <x:v>PROTOTYPE ONLY — human review required</x:v>
      </x:c>
    </x:row>
    <x:row r="55">
      <x:c r="A55" s="35" t="str">
        <x:v>FND-010</x:v>
      </x:c>
      <x:c r="B55" s="35" t="str">
        <x:v>Participación de staff en voluntariado corporativo</x:v>
      </x:c>
      <x:c r="C55" s="35" t="str">
        <x:v>Procuración de Fondos</x:v>
      </x:c>
      <x:c r="D55" s="35" t="str">
        <x:v>Beneficiarios y grupos de interés</x:v>
      </x:c>
      <x:c r="E55" s="35" t="str">
        <x:v>C4. Fortalecer relación con donantes, aliados y comunidades</x:v>
      </x:c>
      <x:c r="F55" s="35" t="str">
        <x:v>OPERATIVO / DEPARTAMENTAL</x:v>
      </x:c>
      <x:c r="G55" s="35" t="str">
        <x:v>Usar la meta absoluta del plan y crecimiento como contexto.</x:v>
      </x:c>
      <x:c r="H55" s="35" t="str">
        <x:v>Número de voluntarios staff participantes por evento</x:v>
      </x:c>
      <x:c r="I55" s="35" t="str">
        <x:v>VALUE</x:v>
      </x:c>
      <x:c r="J55" s="35" t="str">
        <x:v># voluntarios/evento</x:v>
      </x:c>
      <x:c r="K55" s="35" t="str">
        <x:v>↑</x:v>
      </x:c>
      <x:c r="L55" s="35" t="n">
        <x:v>16</x:v>
      </x:c>
      <x:c r="M55" s="35" t="n">
        <x:v>20</x:v>
      </x:c>
      <x:c r="N55" s="35" t="n">
        <x:v>22</x:v>
      </x:c>
      <x:c r="O55" s="35" t="n">
        <x:v>26</x:v>
      </x:c>
      <x:c r="P55" s="35" t="n">
        <x:v>19.333333333333332</x:v>
      </x:c>
      <x:c r="Q55" s="35" t="str">
        <x:v>≥40 por evento y ≥25% vs 2025</x:v>
      </x:c>
      <x:c r="R55" s="35" t="str">
        <x:v>&lt;40</x:v>
      </x:c>
      <x:c r="S55" s="35" t="str">
        <x:v>&lt;32</x:v>
      </x:c>
      <x:c r="T55" s="54" t="n">
        <x:f>IF(OR(P55="",P55=0,O55=""),"",IF(K55="↑",(O55-P55)/ABS(P55),IF(K55="↓",(P55-O55)/ABS(P55),IF(K55="↔",(ABS(P55)-ABS(O55))/ABS(P55),""))))</x:f>
        <x:v>0.34482758620689663</x:v>
      </x:c>
      <x:c r="U55" s="35" t="str">
        <x:f>IF(T55="","",IF(T55&gt;=0.1,"Strong improvement",IF(T55&gt;=0,"Improving",IF(T55&gt;=-0.1,"Attention","Deteriorating"))))</x:f>
        <x:v>Strong improvement</x:v>
      </x:c>
      <x:c r="V55" s="35" t="str">
        <x:v>Procuración de Fondos</x:v>
      </x:c>
      <x:c r="W55" s="35" t="str">
        <x:v>Por evento</x:v>
      </x:c>
      <x:c r="X55" s="35" t="str">
        <x:v>Registros del área / evidencia del proceso</x:v>
      </x:c>
      <x:c r="Y55" s="35" t="str">
        <x:v>Registro fuente, reporte del sistema y evidencia documental de respaldo.</x:v>
      </x:c>
      <x:c r="Z55" s="35" t="str">
        <x:v>Leading/Lagging</x:v>
      </x:c>
      <x:c r="AA55" s="35" t="str">
        <x:v>Manual / por definir</x:v>
      </x:c>
      <x:c r="AB55" s="35" t="str">
        <x:v>Revisar desviación y definir acción correctiva cuando no se alcance la meta.</x:v>
      </x:c>
      <x:c r="AC55" s="35" t="str">
        <x:v>Contar participación efectiva; reportar repetición de voluntarios si se usa alcance único.</x:v>
      </x:c>
      <x:c r="AD55" s="35" t="str">
        <x:v>FND-010_VAL</x:v>
      </x:c>
      <x:c r="AE55" s="35" t="str">
        <x:v>Número de voluntarios staff participantes por evento = 26 #</x:v>
      </x:c>
      <x:c r="AF55" s="35" t="str">
        <x:v>FND-012 | REC-C04 | MKT-007 | FND-016 | REC-P07 | FND-001 | FND-002 | ADM-006</x:v>
      </x:c>
      <x:c r="AG55" s="35" t="str">
        <x:v>Top-8 heuristic: same strategic objective &gt; strategic-map adjacency &gt; same department &gt; same BSC perspective.</x:v>
      </x:c>
      <x:c r="AH55" s="35" t="str">
        <x:v>YES</x:v>
      </x:c>
      <x:c r="AI55" s="35" t="str">
        <x:v>PROTOTYPE ONLY — human review required</x:v>
      </x:c>
    </x:row>
    <x:row r="56">
      <x:c r="A56" s="35" t="str">
        <x:v>FND-011</x:v>
      </x:c>
      <x:c r="B56" s="35" t="str">
        <x:v>Conversión de voluntarios staff a donantes recurrentes</x:v>
      </x:c>
      <x:c r="C56" s="35" t="str">
        <x:v>Procuración de Fondos</x:v>
      </x:c>
      <x:c r="D56" s="35" t="str">
        <x:v>Sostenibilidad financiera</x:v>
      </x:c>
      <x:c r="E56" s="35" t="str">
        <x:v>F2. Incrementar y retener donantes recurrentes</x:v>
      </x:c>
      <x:c r="F56" s="35" t="str">
        <x:v>ESTRATÉGICO / DEPARTAMENTAL</x:v>
      </x:c>
      <x:c r="G56" s="35" t="str">
        <x:v>Medir conversión real; el +4% original no es interpretable sin denominador.</x:v>
      </x:c>
      <x:c r="H56" s="35" t="str">
        <x:v>Nuevos donantes recurrentes atribuibles al voluntariado ÷ participantes elegibles del voluntariado × 100</x:v>
      </x:c>
      <x:c r="I56" s="35" t="str">
        <x:v>RATIO_PCT</x:v>
      </x:c>
      <x:c r="J56" s="35" t="str">
        <x:v>%</x:v>
      </x:c>
      <x:c r="K56" s="35" t="str">
        <x:v>↑</x:v>
      </x:c>
      <x:c r="L56" s="35" t="n">
        <x:v>2.7777777777777777</x:v>
      </x:c>
      <x:c r="M56" s="35" t="n">
        <x:v>3.0927835051546393</x:v>
      </x:c>
      <x:c r="N56" s="35" t="n">
        <x:v>3.827751196172249</x:v>
      </x:c>
      <x:c r="O56" s="35" t="n">
        <x:v>4</x:v>
      </x:c>
      <x:c r="P56" s="35" t="n">
        <x:v>3.232770826368222</x:v>
      </x:c>
      <x:c r="Q56" s="35" t="str">
        <x:v>≥3 nuevos donantes por evento y mejora de ≥4% vs baseline</x:v>
      </x:c>
      <x:c r="R56" s="35" t="str">
        <x:v>&lt;3 donantes por evento</x:v>
      </x:c>
      <x:c r="S56" s="35" t="str">
        <x:v>0 conversiones</x:v>
      </x:c>
      <x:c r="T56" s="54" t="n">
        <x:f>IF(OR(P56="",P56=0,O56=""),"",IF(K56="↑",(O56-P56)/ABS(P56),IF(K56="↓",(P56-O56)/ABS(P56),IF(K56="↔",(ABS(P56)-ABS(O56))/ABS(P56),""))))</x:f>
        <x:v>0.23732866164648694</x:v>
      </x:c>
      <x:c r="U56" s="35" t="str">
        <x:f>IF(T56="","",IF(T56&gt;=0.1,"Strong improvement",IF(T56&gt;=0,"Improving",IF(T56&gt;=-0.1,"Attention","Deteriorating"))))</x:f>
        <x:v>Strong improvement</x:v>
      </x:c>
      <x:c r="V56" s="35" t="str">
        <x:v>Procuración de Fondos</x:v>
      </x:c>
      <x:c r="W56" s="35" t="str">
        <x:v>Por evento / 30 días posteriores</x:v>
      </x:c>
      <x:c r="X56" s="35" t="str">
        <x:v>Registros del área / evidencia del proceso</x:v>
      </x:c>
      <x:c r="Y56" s="35" t="str">
        <x:v>Registro fuente, reporte del sistema y evidencia documental de respaldo.</x:v>
      </x:c>
      <x:c r="Z56" s="35" t="str">
        <x:v>Lagging</x:v>
      </x:c>
      <x:c r="AA56" s="35" t="str">
        <x:v>Manual / por definir</x:v>
      </x:c>
      <x:c r="AB56" s="35" t="str">
        <x:v>Revisar desviación y definir acción correctiva cuando no se alcance la meta.</x:v>
      </x:c>
      <x:c r="AC56" s="35" t="str">
        <x:v>Definir ventana de atribución y deduplicar donantes existentes.</x:v>
      </x:c>
      <x:c r="AD56" s="35" t="str">
        <x:v>FND-011_NUM | FND-011_DEN</x:v>
      </x:c>
      <x:c r="AE56" s="35" t="str">
        <x:v>Nuevos donantes recurrentes atribuibles al voluntariado = 9 # / base; participantes elegibles del voluntariado = 225 # / base</x:v>
      </x:c>
      <x:c r="AF56" s="35" t="str">
        <x:v>FND-006 | FND-007 | FND-008 | REC-M02 | REC-P03 | FND-009 | FND-013 | FND-014</x:v>
      </x:c>
      <x:c r="AG56" s="35" t="str">
        <x:v>Top-8 heuristic: same strategic objective &gt; strategic-map adjacency &gt; same department &gt; same BSC perspective.</x:v>
      </x:c>
      <x:c r="AH56" s="35" t="str">
        <x:v>YES</x:v>
      </x:c>
      <x:c r="AI56" s="35" t="str">
        <x:v>PROTOTYPE ONLY — human review required</x:v>
      </x:c>
    </x:row>
    <x:row r="57">
      <x:c r="A57" s="35" t="str">
        <x:v>FND-012</x:v>
      </x:c>
      <x:c r="B57" s="35" t="str">
        <x:v>Participación de empresarios EOS en voluntariado</x:v>
      </x:c>
      <x:c r="C57" s="35" t="str">
        <x:v>Procuración de Fondos</x:v>
      </x:c>
      <x:c r="D57" s="35" t="str">
        <x:v>Beneficiarios y grupos de interés</x:v>
      </x:c>
      <x:c r="E57" s="35" t="str">
        <x:v>C4. Fortalecer relación con donantes, aliados y comunidades</x:v>
      </x:c>
      <x:c r="F57" s="35" t="str">
        <x:v>OPERATIVO / DEPARTAMENTAL</x:v>
      </x:c>
      <x:c r="G57" s="35" t="str">
        <x:v>Medir activación de la red EOS con meta absoluta.</x:v>
      </x:c>
      <x:c r="H57" s="35" t="str">
        <x:v>Número de EOS participantes en la actividad de voluntariado</x:v>
      </x:c>
      <x:c r="I57" s="35" t="str">
        <x:v>VALUE</x:v>
      </x:c>
      <x:c r="J57" s="35" t="str">
        <x:v># participantes</x:v>
      </x:c>
      <x:c r="K57" s="35" t="str">
        <x:v>↑</x:v>
      </x:c>
      <x:c r="L57" s="35" t="n">
        <x:v>10</x:v>
      </x:c>
      <x:c r="M57" s="35" t="n">
        <x:v>12</x:v>
      </x:c>
      <x:c r="N57" s="35" t="n">
        <x:v>14</x:v>
      </x:c>
      <x:c r="O57" s="35" t="n">
        <x:v>15</x:v>
      </x:c>
      <x:c r="P57" s="35" t="n">
        <x:v>12</x:v>
      </x:c>
      <x:c r="Q57" s="35" t="str">
        <x:v>≥40 y ≥15% vs 2025</x:v>
      </x:c>
      <x:c r="R57" s="35" t="str">
        <x:v>&lt;40</x:v>
      </x:c>
      <x:c r="S57" s="35" t="str">
        <x:v>&lt;34</x:v>
      </x:c>
      <x:c r="T57" s="54" t="n">
        <x:f>IF(OR(P57="",P57=0,O57=""),"",IF(K57="↑",(O57-P57)/ABS(P57),IF(K57="↓",(P57-O57)/ABS(P57),IF(K57="↔",(ABS(P57)-ABS(O57))/ABS(P57),""))))</x:f>
        <x:v>0.25</x:v>
      </x:c>
      <x:c r="U57" s="35" t="str">
        <x:f>IF(T57="","",IF(T57&gt;=0.1,"Strong improvement",IF(T57&gt;=0,"Improving",IF(T57&gt;=-0.1,"Attention","Deteriorating"))))</x:f>
        <x:v>Strong improvement</x:v>
      </x:c>
      <x:c r="V57" s="35" t="str">
        <x:v>Procuración de Fondos</x:v>
      </x:c>
      <x:c r="W57" s="35" t="str">
        <x:v>Por evento</x:v>
      </x:c>
      <x:c r="X57" s="35" t="str">
        <x:v>Registros del área / evidencia del proceso</x:v>
      </x:c>
      <x:c r="Y57" s="35" t="str">
        <x:v>Registro fuente, reporte del sistema y evidencia documental de respaldo.</x:v>
      </x:c>
      <x:c r="Z57" s="35" t="str">
        <x:v>Leading/Lagging</x:v>
      </x:c>
      <x:c r="AA57" s="35" t="str">
        <x:v>Manual / por definir</x:v>
      </x:c>
      <x:c r="AB57" s="35" t="str">
        <x:v>Revisar desviación y definir acción correctiva cuando no se alcance la meta.</x:v>
      </x:c>
      <x:c r="AC57" s="35" t="str">
        <x:v>Contar asistencia real; distinguir participantes únicos de participaciones.</x:v>
      </x:c>
      <x:c r="AD57" s="35" t="str">
        <x:v>FND-012_VAL</x:v>
      </x:c>
      <x:c r="AE57" s="35" t="str">
        <x:v>Número de EOS participantes en la actividad de voluntariado = 15 #</x:v>
      </x:c>
      <x:c r="AF57" s="35" t="str">
        <x:v>FND-010 | REC-C04 | MKT-007 | FND-016 | REC-P07 | FND-001 | FND-002 | ADM-006</x:v>
      </x:c>
      <x:c r="AG57" s="35" t="str">
        <x:v>Top-8 heuristic: same strategic objective &gt; strategic-map adjacency &gt; same department &gt; same BSC perspective.</x:v>
      </x:c>
      <x:c r="AH57" s="35" t="str">
        <x:v>YES</x:v>
      </x:c>
      <x:c r="AI57" s="35" t="str">
        <x:v>PROTOTYPE ONLY — human review required</x:v>
      </x:c>
    </x:row>
    <x:row r="58">
      <x:c r="A58" s="35" t="str">
        <x:v>FND-013</x:v>
      </x:c>
      <x:c r="B58" s="35" t="str">
        <x:v>Nuevos donantes recurrentes EOS — Perú</x:v>
      </x:c>
      <x:c r="C58" s="35" t="str">
        <x:v>Procuración de Fondos</x:v>
      </x:c>
      <x:c r="D58" s="35" t="str">
        <x:v>Sostenibilidad financiera</x:v>
      </x:c>
      <x:c r="E58" s="35" t="str">
        <x:v>F2. Incrementar y retener donantes recurrentes</x:v>
      </x:c>
      <x:c r="F58" s="35" t="str">
        <x:v>ESTRATÉGICO / DEPARTAMENTAL</x:v>
      </x:c>
      <x:c r="G58" s="35" t="str">
        <x:v>Medir conversión a donación recurrente.</x:v>
      </x:c>
      <x:c r="H58" s="35" t="str">
        <x:v>Nuevos donantes recurrentes en Perú atribuibles a la activación EOS</x:v>
      </x:c>
      <x:c r="I58" s="35" t="str">
        <x:v>VALUE</x:v>
      </x:c>
      <x:c r="J58" s="35" t="str">
        <x:v># donantes</x:v>
      </x:c>
      <x:c r="K58" s="35" t="str">
        <x:v>↑</x:v>
      </x:c>
      <x:c r="L58" s="35" t="n">
        <x:v>1</x:v>
      </x:c>
      <x:c r="M58" s="35" t="n">
        <x:v>1</x:v>
      </x:c>
      <x:c r="N58" s="35" t="n">
        <x:v>2</x:v>
      </x:c>
      <x:c r="O58" s="35" t="n">
        <x:v>2</x:v>
      </x:c>
      <x:c r="P58" s="35" t="n">
        <x:v>1.3333333333333333</x:v>
      </x:c>
      <x:c r="Q58" s="35" t="str">
        <x:v>≥2</x:v>
      </x:c>
      <x:c r="R58" s="35" t="str">
        <x:v>&lt;2</x:v>
      </x:c>
      <x:c r="S58" s="35" t="str">
        <x:v>0</x:v>
      </x:c>
      <x:c r="T58" s="54" t="n">
        <x:f>IF(OR(P58="",P58=0,O58=""),"",IF(K58="↑",(O58-P58)/ABS(P58),IF(K58="↓",(P58-O58)/ABS(P58),IF(K58="↔",(ABS(P58)-ABS(O58))/ABS(P58),""))))</x:f>
        <x:v>0.5000000000000001</x:v>
      </x:c>
      <x:c r="U58" s="35" t="str">
        <x:f>IF(T58="","",IF(T58&gt;=0.1,"Strong improvement",IF(T58&gt;=0,"Improving",IF(T58&gt;=-0.1,"Attention","Deteriorating"))))</x:f>
        <x:v>Strong improvement</x:v>
      </x:c>
      <x:c r="V58" s="35" t="str">
        <x:v>Procuración de Fondos</x:v>
      </x:c>
      <x:c r="W58" s="35" t="str">
        <x:v>Por campaña / trimestral</x:v>
      </x:c>
      <x:c r="X58" s="35" t="str">
        <x:v>Registros del área / evidencia del proceso</x:v>
      </x:c>
      <x:c r="Y58" s="35" t="str">
        <x:v>Registro fuente, reporte del sistema y evidencia documental de respaldo.</x:v>
      </x:c>
      <x:c r="Z58" s="35" t="str">
        <x:v>Lagging</x:v>
      </x:c>
      <x:c r="AA58" s="35" t="str">
        <x:v>Manual / por definir</x:v>
      </x:c>
      <x:c r="AB58" s="35" t="str">
        <x:v>Revisar desviación y definir acción correctiva cuando no se alcance la meta.</x:v>
      </x:c>
      <x:c r="AC58" s="35" t="str">
        <x:v>Ventana de atribución definida; sólo primer cobro exitoso.</x:v>
      </x:c>
      <x:c r="AD58" s="35" t="str">
        <x:v>FND-013_VAL</x:v>
      </x:c>
      <x:c r="AE58" s="35" t="str">
        <x:v>Nuevos donantes recurrentes en Perú atribuibles a la activación EOS = 2 #</x:v>
      </x:c>
      <x:c r="AF58" s="35" t="str">
        <x:v>FND-006 | FND-007 | FND-008 | REC-M02 | REC-P03 | FND-009 | FND-011 | FND-014</x:v>
      </x:c>
      <x:c r="AG58" s="35" t="str">
        <x:v>Top-8 heuristic: same strategic objective &gt; strategic-map adjacency &gt; same department &gt; same BSC perspective.</x:v>
      </x:c>
      <x:c r="AH58" s="35" t="str">
        <x:v>YES</x:v>
      </x:c>
      <x:c r="AI58" s="35" t="str">
        <x:v>PROTOTYPE ONLY — human review required</x:v>
      </x:c>
    </x:row>
    <x:row r="59">
      <x:c r="A59" s="35" t="str">
        <x:v>FND-014</x:v>
      </x:c>
      <x:c r="B59" s="35" t="str">
        <x:v>Nuevos donantes recurrentes EOS — Colombia</x:v>
      </x:c>
      <x:c r="C59" s="35" t="str">
        <x:v>Procuración de Fondos</x:v>
      </x:c>
      <x:c r="D59" s="35" t="str">
        <x:v>Sostenibilidad financiera</x:v>
      </x:c>
      <x:c r="E59" s="35" t="str">
        <x:v>F2. Incrementar y retener donantes recurrentes</x:v>
      </x:c>
      <x:c r="F59" s="35" t="str">
        <x:v>ESTRATÉGICO / DEPARTAMENTAL</x:v>
      </x:c>
      <x:c r="G59" s="35" t="str">
        <x:v>Medir conversión a donación recurrente.</x:v>
      </x:c>
      <x:c r="H59" s="35" t="str">
        <x:v>Nuevos donantes recurrentes en Colombia atribuibles a la activación EOS</x:v>
      </x:c>
      <x:c r="I59" s="35" t="str">
        <x:v>VALUE</x:v>
      </x:c>
      <x:c r="J59" s="35" t="str">
        <x:v># donantes</x:v>
      </x:c>
      <x:c r="K59" s="35" t="str">
        <x:v>↑</x:v>
      </x:c>
      <x:c r="L59" s="35" t="n">
        <x:v>1</x:v>
      </x:c>
      <x:c r="M59" s="35" t="n">
        <x:v>1</x:v>
      </x:c>
      <x:c r="N59" s="35" t="n">
        <x:v>2</x:v>
      </x:c>
      <x:c r="O59" s="35" t="n">
        <x:v>2</x:v>
      </x:c>
      <x:c r="P59" s="35" t="n">
        <x:v>1.3333333333333333</x:v>
      </x:c>
      <x:c r="Q59" s="35" t="str">
        <x:v>≥2</x:v>
      </x:c>
      <x:c r="R59" s="35" t="str">
        <x:v>&lt;2</x:v>
      </x:c>
      <x:c r="S59" s="35" t="str">
        <x:v>0</x:v>
      </x:c>
      <x:c r="T59" s="54" t="n">
        <x:f>IF(OR(P59="",P59=0,O59=""),"",IF(K59="↑",(O59-P59)/ABS(P59),IF(K59="↓",(P59-O59)/ABS(P59),IF(K59="↔",(ABS(P59)-ABS(O59))/ABS(P59),""))))</x:f>
        <x:v>0.5000000000000001</x:v>
      </x:c>
      <x:c r="U59" s="35" t="str">
        <x:f>IF(T59="","",IF(T59&gt;=0.1,"Strong improvement",IF(T59&gt;=0,"Improving",IF(T59&gt;=-0.1,"Attention","Deteriorating"))))</x:f>
        <x:v>Strong improvement</x:v>
      </x:c>
      <x:c r="V59" s="35" t="str">
        <x:v>Procuración de Fondos</x:v>
      </x:c>
      <x:c r="W59" s="35" t="str">
        <x:v>Por campaña / trimestral</x:v>
      </x:c>
      <x:c r="X59" s="35" t="str">
        <x:v>Registros del área / evidencia del proceso</x:v>
      </x:c>
      <x:c r="Y59" s="35" t="str">
        <x:v>Registro fuente, reporte del sistema y evidencia documental de respaldo.</x:v>
      </x:c>
      <x:c r="Z59" s="35" t="str">
        <x:v>Lagging</x:v>
      </x:c>
      <x:c r="AA59" s="35" t="str">
        <x:v>Manual / por definir</x:v>
      </x:c>
      <x:c r="AB59" s="35" t="str">
        <x:v>Revisar desviación y definir acción correctiva cuando no se alcance la meta.</x:v>
      </x:c>
      <x:c r="AC59" s="35" t="str">
        <x:v>Ventana de atribución definida; sólo primer cobro exitoso.</x:v>
      </x:c>
      <x:c r="AD59" s="35" t="str">
        <x:v>FND-014_VAL</x:v>
      </x:c>
      <x:c r="AE59" s="35" t="str">
        <x:v>Nuevos donantes recurrentes en Colombia atribuibles a la activación EOS = 2 #</x:v>
      </x:c>
      <x:c r="AF59" s="35" t="str">
        <x:v>FND-006 | FND-007 | FND-008 | REC-M02 | REC-P03 | FND-009 | FND-011 | FND-013</x:v>
      </x:c>
      <x:c r="AG59" s="35" t="str">
        <x:v>Top-8 heuristic: same strategic objective &gt; strategic-map adjacency &gt; same department &gt; same BSC perspective.</x:v>
      </x:c>
      <x:c r="AH59" s="35" t="str">
        <x:v>YES</x:v>
      </x:c>
      <x:c r="AI59" s="35" t="str">
        <x:v>PROTOTYPE ONLY — human review required</x:v>
      </x:c>
    </x:row>
    <x:row r="60">
      <x:c r="A60" s="35" t="str">
        <x:v>FND-015</x:v>
      </x:c>
      <x:c r="B60" s="35" t="str">
        <x:v>Nuevos donantes recurrentes EOS — México</x:v>
      </x:c>
      <x:c r="C60" s="35" t="str">
        <x:v>Procuración de Fondos</x:v>
      </x:c>
      <x:c r="D60" s="35" t="str">
        <x:v>Sostenibilidad financiera</x:v>
      </x:c>
      <x:c r="E60" s="35" t="str">
        <x:v>F2. Incrementar y retener donantes recurrentes</x:v>
      </x:c>
      <x:c r="F60" s="35" t="str">
        <x:v>ESTRATÉGICO / DEPARTAMENTAL</x:v>
      </x:c>
      <x:c r="G60" s="35" t="str">
        <x:v>Usar meta absoluta y conservar crecimiento como contexto.</x:v>
      </x:c>
      <x:c r="H60" s="35" t="str">
        <x:v>Nuevos donantes recurrentes en México atribuibles a activación EOS</x:v>
      </x:c>
      <x:c r="I60" s="35" t="str">
        <x:v>VALUE</x:v>
      </x:c>
      <x:c r="J60" s="35" t="str">
        <x:v># donantes</x:v>
      </x:c>
      <x:c r="K60" s="35" t="str">
        <x:v>↑</x:v>
      </x:c>
      <x:c r="L60" s="35" t="n">
        <x:v>53</x:v>
      </x:c>
      <x:c r="M60" s="35" t="n">
        <x:v>58</x:v>
      </x:c>
      <x:c r="N60" s="35" t="n">
        <x:v>63</x:v>
      </x:c>
      <x:c r="O60" s="35" t="n">
        <x:v>69</x:v>
      </x:c>
      <x:c r="P60" s="35" t="n">
        <x:v>58</x:v>
      </x:c>
      <x:c r="Q60" s="35" t="str">
        <x:v>≥5 y ≥66.6% vs baseline</x:v>
      </x:c>
      <x:c r="R60" s="35" t="str">
        <x:v>&lt;5</x:v>
      </x:c>
      <x:c r="S60" s="35" t="str">
        <x:v>&lt;4</x:v>
      </x:c>
      <x:c r="T60" s="54" t="n">
        <x:f>IF(OR(P60="",P60=0,O60=""),"",IF(K60="↑",(O60-P60)/ABS(P60),IF(K60="↓",(P60-O60)/ABS(P60),IF(K60="↔",(ABS(P60)-ABS(O60))/ABS(P60),""))))</x:f>
        <x:v>0.1896551724137931</x:v>
      </x:c>
      <x:c r="U60" s="35" t="str">
        <x:f>IF(T60="","",IF(T60&gt;=0.1,"Strong improvement",IF(T60&gt;=0,"Improving",IF(T60&gt;=-0.1,"Attention","Deteriorating"))))</x:f>
        <x:v>Strong improvement</x:v>
      </x:c>
      <x:c r="V60" s="35" t="str">
        <x:v>Procuración de Fondos</x:v>
      </x:c>
      <x:c r="W60" s="35" t="str">
        <x:v>Por campaña / mensual</x:v>
      </x:c>
      <x:c r="X60" s="35" t="str">
        <x:v>Registros del área / evidencia del proceso</x:v>
      </x:c>
      <x:c r="Y60" s="35" t="str">
        <x:v>Registro fuente, reporte del sistema y evidencia documental de respaldo.</x:v>
      </x:c>
      <x:c r="Z60" s="35" t="str">
        <x:v>Lagging</x:v>
      </x:c>
      <x:c r="AA60" s="35" t="str">
        <x:v>Manual / por definir</x:v>
      </x:c>
      <x:c r="AB60" s="35" t="str">
        <x:v>Revisar desviación y definir acción correctiva cuando no se alcance la meta.</x:v>
      </x:c>
      <x:c r="AC60" s="35" t="str">
        <x:v>No contar donantes previamente recurrentes; primer cobro exitoso.</x:v>
      </x:c>
      <x:c r="AD60" s="35" t="str">
        <x:v>FND-015_VAL</x:v>
      </x:c>
      <x:c r="AE60" s="35" t="str">
        <x:v>Nuevos donantes recurrentes en México atribuibles a activación EOS = 69 #</x:v>
      </x:c>
      <x:c r="AF60" s="35" t="str">
        <x:v>FND-006 | FND-007 | FND-008 | REC-M02 | REC-P03 | FND-009 | FND-011 | FND-013</x:v>
      </x:c>
      <x:c r="AG60" s="35" t="str">
        <x:v>Top-8 heuristic: same strategic objective &gt; strategic-map adjacency &gt; same department &gt; same BSC perspective.</x:v>
      </x:c>
      <x:c r="AH60" s="35" t="str">
        <x:v>YES</x:v>
      </x:c>
      <x:c r="AI60" s="35" t="str">
        <x:v>PROTOTYPE ONLY — human review required</x:v>
      </x:c>
    </x:row>
    <x:row r="61">
      <x:c r="A61" s="35" t="str">
        <x:v>FND-016</x:v>
      </x:c>
      <x:c r="B61" s="35" t="str">
        <x:v>Nuevas alianzas estratégicas activas por país</x:v>
      </x:c>
      <x:c r="C61" s="35" t="str">
        <x:v>Procuración de Fondos</x:v>
      </x:c>
      <x:c r="D61" s="35" t="str">
        <x:v>Procesos internos</x:v>
      </x:c>
      <x:c r="E61" s="35" t="str">
        <x:v>P6. Construir ecosistema de alianzas</x:v>
      </x:c>
      <x:c r="F61" s="35" t="str">
        <x:v>OPERATIVO / DEPARTAMENTAL</x:v>
      </x:c>
      <x:c r="G61" s="35" t="str">
        <x:v>Medir alianzas activas, no acuerdos nominales.</x:v>
      </x:c>
      <x:c r="H61" s="35" t="str">
        <x:v>Número de alianzas nuevas formalizadas con plan de activación y responsable</x:v>
      </x:c>
      <x:c r="I61" s="35" t="str">
        <x:v>VALUE</x:v>
      </x:c>
      <x:c r="J61" s="35" t="str">
        <x:v># alianzas</x:v>
      </x:c>
      <x:c r="K61" s="35" t="str">
        <x:v>↑</x:v>
      </x:c>
      <x:c r="L61" s="35" t="n">
        <x:v>2</x:v>
      </x:c>
      <x:c r="M61" s="35" t="n">
        <x:v>3</x:v>
      </x:c>
      <x:c r="N61" s="35" t="n">
        <x:v>3</x:v>
      </x:c>
      <x:c r="O61" s="35" t="n">
        <x:v>4</x:v>
      </x:c>
      <x:c r="P61" s="35" t="n">
        <x:v>2.6666666666666665</x:v>
      </x:c>
      <x:c r="Q61" s="35" t="str">
        <x:v>4 (1 por México, Colombia, Perú y USA)</x:v>
      </x:c>
      <x:c r="R61" s="35" t="str">
        <x:v>&lt;4 al Q4</x:v>
      </x:c>
      <x:c r="S61" s="35" t="str">
        <x:v>&lt;3 al Q4</x:v>
      </x:c>
      <x:c r="T61" s="54" t="n">
        <x:f>IF(OR(P61="",P61=0,O61=""),"",IF(K61="↑",(O61-P61)/ABS(P61),IF(K61="↓",(P61-O61)/ABS(P61),IF(K61="↔",(ABS(P61)-ABS(O61))/ABS(P61),""))))</x:f>
        <x:v>0.5000000000000001</x:v>
      </x:c>
      <x:c r="U61" s="35" t="str">
        <x:f>IF(T61="","",IF(T61&gt;=0.1,"Strong improvement",IF(T61&gt;=0,"Improving",IF(T61&gt;=-0.1,"Attention","Deteriorating"))))</x:f>
        <x:v>Strong improvement</x:v>
      </x:c>
      <x:c r="V61" s="35" t="str">
        <x:v>Procuración de Fondos</x:v>
      </x:c>
      <x:c r="W61" s="35" t="str">
        <x:v>Trimestral</x:v>
      </x:c>
      <x:c r="X61" s="35" t="str">
        <x:v>Registros del área / evidencia del proceso</x:v>
      </x:c>
      <x:c r="Y61" s="35" t="str">
        <x:v>Registro fuente, reporte del sistema y evidencia documental de respaldo.</x:v>
      </x:c>
      <x:c r="Z61" s="35" t="str">
        <x:v>Leading/Lagging</x:v>
      </x:c>
      <x:c r="AA61" s="35" t="str">
        <x:v>Manual / por definir</x:v>
      </x:c>
      <x:c r="AB61" s="35" t="str">
        <x:v>Revisar desviación y definir acción correctiva cuando no se alcance la meta.</x:v>
      </x:c>
      <x:c r="AC61" s="35" t="str">
        <x:v>Alianza activa requiere convenio/confirmación, plan de trabajo y al menos una acción o recurso comprometido.</x:v>
      </x:c>
      <x:c r="AD61" s="35" t="str">
        <x:v>FND-016_VAL</x:v>
      </x:c>
      <x:c r="AE61" s="35" t="str">
        <x:v>Número de alianzas nuevas formalizadas con plan de activación y responsable = 4 #</x:v>
      </x:c>
      <x:c r="AF61" s="35" t="str">
        <x:v>REC-P07 | OPS-016 | OPS-020 | FND-010 | FND-012 | FND-001 | FND-002 | ADM-001</x:v>
      </x:c>
      <x:c r="AG61" s="35" t="str">
        <x:v>Top-8 heuristic: same strategic objective &gt; strategic-map adjacency &gt; same department &gt; same BSC perspective.</x:v>
      </x:c>
      <x:c r="AH61" s="35" t="str">
        <x:v>YES</x:v>
      </x:c>
      <x:c r="AI61" s="35" t="str">
        <x:v>PROTOTYPE ONLY — human review required</x:v>
      </x:c>
    </x:row>
    <x:row r="62">
      <x:c r="A62" s="35" t="str">
        <x:v>FND-017</x:v>
      </x:c>
      <x:c r="B62" s="35" t="str">
        <x:v>Fondos recaudados — Subasta Omnilife</x:v>
      </x:c>
      <x:c r="C62" s="35" t="str">
        <x:v>Procuración de Fondos</x:v>
      </x:c>
      <x:c r="D62" s="35" t="str">
        <x:v>Sostenibilidad financiera</x:v>
      </x:c>
      <x:c r="E62" s="35" t="str">
        <x:v>F1. Diversificar y aumentar fuentes</x:v>
      </x:c>
      <x:c r="F62" s="35" t="str">
        <x:v>ESTRATÉGICO / DEPARTAMENTAL</x:v>
      </x:c>
      <x:c r="G62" s="35" t="str">
        <x:v>Medir directamente el resultado financiero de la subasta.</x:v>
      </x:c>
      <x:c r="H62" s="35" t="str">
        <x:v>Suma de fondos efectivamente recibidos por la subasta</x:v>
      </x:c>
      <x:c r="I62" s="35" t="str">
        <x:v>VALUE</x:v>
      </x:c>
      <x:c r="J62" s="35" t="str">
        <x:v>MXN</x:v>
      </x:c>
      <x:c r="K62" s="35" t="str">
        <x:v>↑</x:v>
      </x:c>
      <x:c r="L62" s="35" t="n">
        <x:v>1599984</x:v>
      </x:c>
      <x:c r="M62" s="35" t="n">
        <x:v>1599989</x:v>
      </x:c>
      <x:c r="N62" s="35" t="n">
        <x:v>1599994</x:v>
      </x:c>
      <x:c r="O62" s="35" t="n">
        <x:v>100</x:v>
      </x:c>
      <x:c r="P62" s="35" t="n">
        <x:v>1599989</x:v>
      </x:c>
      <x:c r="Q62" s="35" t="str">
        <x:v>≥$1,600,000 MXN y ≥7% vs referencia anterior</x:v>
      </x:c>
      <x:c r="R62" s="35" t="str">
        <x:v>&lt;100% de meta</x:v>
      </x:c>
      <x:c r="S62" s="35" t="str">
        <x:v>&lt;90% de meta</x:v>
      </x:c>
      <x:c r="T62" s="54" t="n">
        <x:f>IF(OR(P62="",P62=0,O62=""),"",IF(K62="↑",(O62-P62)/ABS(P62),IF(K62="↓",(P62-O62)/ABS(P62),IF(K62="↔",(ABS(P62)-ABS(O62))/ABS(P62),""))))</x:f>
        <x:v>-0.9999374995703095</x:v>
      </x:c>
      <x:c r="U62" s="35" t="str">
        <x:f>IF(T62="","",IF(T62&gt;=0.1,"Strong improvement",IF(T62&gt;=0,"Improving",IF(T62&gt;=-0.1,"Attention","Deteriorating"))))</x:f>
        <x:v>Deteriorating</x:v>
      </x:c>
      <x:c r="V62" s="35" t="str">
        <x:v>Procuración de Fondos</x:v>
      </x:c>
      <x:c r="W62" s="35" t="str">
        <x:v>Evento / cierre</x:v>
      </x:c>
      <x:c r="X62" s="35" t="str">
        <x:v>Registros del área / evidencia del proceso</x:v>
      </x:c>
      <x:c r="Y62" s="35" t="str">
        <x:v>Registro fuente, reporte del sistema y evidencia documental de respaldo.</x:v>
      </x:c>
      <x:c r="Z62" s="35" t="str">
        <x:v>Lagging</x:v>
      </x:c>
      <x:c r="AA62" s="35" t="str">
        <x:v>Manual / por definir</x:v>
      </x:c>
      <x:c r="AB62" s="35" t="str">
        <x:v>Revisar desviación y definir acción correctiva cuando no se alcance la meta.</x:v>
      </x:c>
      <x:c r="AC62" s="35" t="str">
        <x:v>Contar ingresos cobrados, netos de anulaciones y costos si se reporta recaudación neta.</x:v>
      </x:c>
      <x:c r="AD62" s="35" t="str">
        <x:v>FND-017_VAL</x:v>
      </x:c>
      <x:c r="AE62" s="35" t="str">
        <x:v>Suma de fondos efectivamente recibidos por la subasta = 100 MXN</x:v>
      </x:c>
      <x:c r="AF62" s="35" t="str">
        <x:v>FND-001 | FND-002 | FND-003 | REC-P07 | FND-016 | FND-004 | FND-005 | REC-F01</x:v>
      </x:c>
      <x:c r="AG62" s="35" t="str">
        <x:v>Top-8 heuristic: same strategic objective &gt; strategic-map adjacency &gt; same department &gt; same BSC perspective.</x:v>
      </x:c>
      <x:c r="AH62" s="35" t="str">
        <x:v>YES</x:v>
      </x:c>
      <x:c r="AI62" s="35" t="str">
        <x:v>PROTOTYPE ONLY — human review required</x:v>
      </x:c>
    </x:row>
    <x:row r="63">
      <x:c r="A63" s="35" t="str">
        <x:v>MKT-001</x:v>
      </x:c>
      <x:c r="B63" s="35" t="str">
        <x:v>Cumplimiento del manual/protocolo de comunicación global</x:v>
      </x:c>
      <x:c r="C63" s="35" t="str">
        <x:v>Marketing y Comunicación</x:v>
      </x:c>
      <x:c r="D63" s="35" t="str">
        <x:v>Capacidades y tecnología</x:v>
      </x:c>
      <x:c r="E63" s="35" t="str">
        <x:v>L4. Fortalecer colaboración interdepartamental</x:v>
      </x:c>
      <x:c r="F63" s="35" t="str">
        <x:v>OPERATIVO / DEPARTAMENTAL</x:v>
      </x:c>
      <x:c r="G63" s="35" t="str">
        <x:v>Medir adopción del manual, no su existencia.</x:v>
      </x:c>
      <x:c r="H63" s="35" t="str">
        <x:v>Piezas/campañas auditadas que cumplen lineamientos vigentes ÷ piezas/campañas auditadas × 100</x:v>
      </x:c>
      <x:c r="I63" s="35" t="str">
        <x:v>RATIO_PCT</x:v>
      </x:c>
      <x:c r="J63" s="35" t="str">
        <x:v>%</x:v>
      </x:c>
      <x:c r="K63" s="35" t="str">
        <x:v>↑</x:v>
      </x:c>
      <x:c r="L63" s="35" t="n">
        <x:v>79.16666666666666</x:v>
      </x:c>
      <x:c r="M63" s="35" t="n">
        <x:v>83.84615384615385</x:v>
      </x:c>
      <x:c r="N63" s="35" t="n">
        <x:v>89.20863309352518</x:v>
      </x:c>
      <x:c r="O63" s="35" t="n">
        <x:v>96</x:v>
      </x:c>
      <x:c r="P63" s="35" t="n">
        <x:v>84.07381786878189</x:v>
      </x:c>
      <x:c r="Q63" s="35" t="str">
        <x:v>≥95%</x:v>
      </x:c>
      <x:c r="R63" s="35" t="str">
        <x:v>90–94.9%</x:v>
      </x:c>
      <x:c r="S63" s="35" t="str">
        <x:v>&lt;90%</x:v>
      </x:c>
      <x:c r="T63" s="54" t="n">
        <x:f>IF(OR(P63="",P63=0,O63=""),"",IF(K63="↑",(O63-P63)/ABS(P63),IF(K63="↓",(P63-O63)/ABS(P63),IF(K63="↔",(ABS(P63)-ABS(O63))/ABS(P63),""))))</x:f>
        <x:v>0.14185369992156044</x:v>
      </x:c>
      <x:c r="U63" s="35" t="str">
        <x:f>IF(T63="","",IF(T63&gt;=0.1,"Strong improvement",IF(T63&gt;=0,"Improving",IF(T63&gt;=-0.1,"Attention","Deteriorating"))))</x:f>
        <x:v>Strong improvement</x:v>
      </x:c>
      <x:c r="V63" s="35" t="str">
        <x:v>Marketing y Comunicación</x:v>
      </x:c>
      <x:c r="W63" s="35" t="str">
        <x:v>Bimestral</x:v>
      </x:c>
      <x:c r="X63" s="35" t="str">
        <x:v>Registros del área / evidencia del proceso</x:v>
      </x:c>
      <x:c r="Y63" s="35" t="str">
        <x:v>Documento firmado/aprobado, acuse o evidencia de cierre.</x:v>
      </x:c>
      <x:c r="Z63" s="35" t="str">
        <x:v>Leading/Lagging</x:v>
      </x:c>
      <x:c r="AA63" s="35" t="str">
        <x:v>Manual / por definir</x:v>
      </x:c>
      <x:c r="AB63" s="35" t="str">
        <x:v>Revisar desviación y definir acción correctiva cuando no se alcance la meta.</x:v>
      </x:c>
      <x:c r="AC63" s="35" t="str">
        <x:v>Muestreo aleatorio y checklist estable; no auditar sólo piezas fáciles.</x:v>
      </x:c>
      <x:c r="AD63" s="35" t="str">
        <x:v>MKT-001_NUM | MKT-001_DEN</x:v>
      </x:c>
      <x:c r="AE63" s="35" t="str">
        <x:v>Piezas/campañas auditadas que cumplen lineamientos vigentes = 144 # / base; piezas/campañas auditadas = 150 # / base</x:v>
      </x:c>
      <x:c r="AF63" s="35" t="str">
        <x:v>MKT-004 | ADM-004 | ADM-012 | MKT-008 | MKT-011 | MKT-013 | MKT-014 | ADM-013</x:v>
      </x:c>
      <x:c r="AG63" s="35" t="str">
        <x:v>Top-8 heuristic: same strategic objective &gt; strategic-map adjacency &gt; same department &gt; same BSC perspective.</x:v>
      </x:c>
      <x:c r="AH63" s="35" t="str">
        <x:v>YES</x:v>
      </x:c>
      <x:c r="AI63" s="35" t="str">
        <x:v>PROTOTYPE ONLY — human review required</x:v>
      </x:c>
    </x:row>
    <x:row r="64">
      <x:c r="A64" s="35" t="str">
        <x:v>MKT-002</x:v>
      </x:c>
      <x:c r="B64" s="35" t="str">
        <x:v>Acciones de mejora derivadas de analítica implementadas en plazo</x:v>
      </x:c>
      <x:c r="C64" s="35" t="str">
        <x:v>Marketing y Comunicación</x:v>
      </x:c>
      <x:c r="D64" s="35" t="str">
        <x:v>Procesos internos</x:v>
      </x:c>
      <x:c r="E64" s="35" t="str">
        <x:v>P2. Fortalecer medición de impacto</x:v>
      </x:c>
      <x:c r="F64" s="35" t="str">
        <x:v>OPERATIVO / DEPARTAMENTAL</x:v>
      </x:c>
      <x:c r="G64" s="35" t="str">
        <x:v>Convertir los 6 informes en decisiones y mejoras ejecutadas.</x:v>
      </x:c>
      <x:c r="H64" s="35" t="str">
        <x:v>Acciones de mejora cerradas dentro del plazo ÷ acciones comprometidas en informes bimestrales × 100</x:v>
      </x:c>
      <x:c r="I64" s="35" t="str">
        <x:v>RATIO_PCT</x:v>
      </x:c>
      <x:c r="J64" s="35" t="str">
        <x:v>%</x:v>
      </x:c>
      <x:c r="K64" s="35" t="str">
        <x:v>↑</x:v>
      </x:c>
      <x:c r="L64" s="35" t="n">
        <x:v>66.66666666666666</x:v>
      </x:c>
      <x:c r="M64" s="35" t="n">
        <x:v>71.42857142857143</x:v>
      </x:c>
      <x:c r="N64" s="35" t="n">
        <x:v>76.92307692307693</x:v>
      </x:c>
      <x:c r="O64" s="35" t="n">
        <x:v>82.14285714285714</x:v>
      </x:c>
      <x:c r="P64" s="35" t="n">
        <x:v>71.67277167277167</x:v>
      </x:c>
      <x:c r="Q64" s="35" t="str">
        <x:v>≥80%</x:v>
      </x:c>
      <x:c r="R64" s="35" t="str">
        <x:v>60–79.9%</x:v>
      </x:c>
      <x:c r="S64" s="35" t="str">
        <x:v>&lt;60%</x:v>
      </x:c>
      <x:c r="T64" s="54" t="n">
        <x:f>IF(OR(P64="",P64=0,O64=""),"",IF(K64="↑",(O64-P64)/ABS(P64),IF(K64="↓",(P64-O64)/ABS(P64),IF(K64="↔",(ABS(P64)-ABS(O64))/ABS(P64),""))))</x:f>
        <x:v>0.1460817717206132</x:v>
      </x:c>
      <x:c r="U64" s="35" t="str">
        <x:f>IF(T64="","",IF(T64&gt;=0.1,"Strong improvement",IF(T64&gt;=0,"Improving",IF(T64&gt;=-0.1,"Attention","Deteriorating"))))</x:f>
        <x:v>Strong improvement</x:v>
      </x:c>
      <x:c r="V64" s="35" t="str">
        <x:v>Marketing y Comunicación</x:v>
      </x:c>
      <x:c r="W64" s="35" t="str">
        <x:v>Bimestral</x:v>
      </x:c>
      <x:c r="X64" s="35" t="str">
        <x:v>Registros del área / evidencia del proceso</x:v>
      </x:c>
      <x:c r="Y64" s="35" t="str">
        <x:v>Documento firmado/aprobado, acuse o evidencia de cierre.</x:v>
      </x:c>
      <x:c r="Z64" s="35" t="str">
        <x:v>Leading/Lagging</x:v>
      </x:c>
      <x:c r="AA64" s="35" t="str">
        <x:v>Manual / por definir</x:v>
      </x:c>
      <x:c r="AB64" s="35" t="str">
        <x:v>Revisar desviación y definir acción correctiva cuando no se alcance la meta.</x:v>
      </x:c>
      <x:c r="AC64" s="35" t="str">
        <x:v>Toda recomendación debe tener owner, fecha y criterio de cierre verificable.</x:v>
      </x:c>
      <x:c r="AD64" s="35" t="str">
        <x:v>MKT-002_NUM | MKT-002_DEN</x:v>
      </x:c>
      <x:c r="AE64" s="35" t="str">
        <x:v>Acciones de mejora cerradas dentro del plazo = 46 # / base; acciones comprometidas en informes bimestrales = 56 # / base</x:v>
      </x:c>
      <x:c r="AF64" s="35" t="str">
        <x:v>OPS-009 | OPS-019 | REC-P02 | MKT-003 | MKT-009 | MKT-010 | MKT-012 | MKT-008</x:v>
      </x:c>
      <x:c r="AG64" s="35" t="str">
        <x:v>Top-8 heuristic: same strategic objective &gt; strategic-map adjacency &gt; same department &gt; same BSC perspective.</x:v>
      </x:c>
      <x:c r="AH64" s="35" t="str">
        <x:v>YES</x:v>
      </x:c>
      <x:c r="AI64" s="35" t="str">
        <x:v>PROTOTYPE ONLY — human review required</x:v>
      </x:c>
    </x:row>
    <x:row r="65">
      <x:c r="A65" s="35" t="str">
        <x:v>MKT-003</x:v>
      </x:c>
      <x:c r="B65" s="35" t="str">
        <x:v>Cumplimiento de metas de KPIs digitales prioritarios</x:v>
      </x:c>
      <x:c r="C65" s="35" t="str">
        <x:v>Marketing y Comunicación</x:v>
      </x:c>
      <x:c r="D65" s="35" t="str">
        <x:v>Beneficiarios y grupos de interés</x:v>
      </x:c>
      <x:c r="E65" s="35" t="str">
        <x:v>C3. Fortalecer confianza y credibilidad institucional</x:v>
      </x:c>
      <x:c r="F65" s="35" t="str">
        <x:v>OPERATIVO / DEPARTAMENTAL</x:v>
      </x:c>
      <x:c r="G65" s="35" t="str">
        <x:v>Evitar la meta genérica de duplicar todos los KPIs; cada métrica debe tener baseline y meta propia.</x:v>
      </x:c>
      <x:c r="H65" s="35" t="str">
        <x:v>KPIs digitales prioritarios que alcanzan su meta ÷ KPIs digitales prioritarios definidos × 100</x:v>
      </x:c>
      <x:c r="I65" s="35" t="str">
        <x:v>RATIO_PCT</x:v>
      </x:c>
      <x:c r="J65" s="35" t="str">
        <x:v>%</x:v>
      </x:c>
      <x:c r="K65" s="35" t="str">
        <x:v>↑</x:v>
      </x:c>
      <x:c r="L65" s="35" t="n">
        <x:v>84</x:v>
      </x:c>
      <x:c r="M65" s="35" t="n">
        <x:v>88.88888888888889</x:v>
      </x:c>
      <x:c r="N65" s="35" t="n">
        <x:v>93.96551724137932</x:v>
      </x:c>
      <x:c r="O65" s="35" t="n">
        <x:v>100</x:v>
      </x:c>
      <x:c r="P65" s="35" t="n">
        <x:v>88.9514687100894</x:v>
      </x:c>
      <x:c r="Q65" s="35" t="str">
        <x:v>100% de KPIs con meta validada</x:v>
      </x:c>
      <x:c r="R65" s="35" t="str">
        <x:v>66–99%</x:v>
      </x:c>
      <x:c r="S65" s="35" t="str">
        <x:v>&lt;66%</x:v>
      </x:c>
      <x:c r="T65" s="54" t="n">
        <x:f>IF(OR(P65="",P65=0,O65=""),"",IF(K65="↑",(O65-P65)/ABS(P65),IF(K65="↓",(P65-O65)/ABS(P65),IF(K65="↔",(ABS(P65)-ABS(O65))/ABS(P65),""))))</x:f>
        <x:v>0.12420853135005526</x:v>
      </x:c>
      <x:c r="U65" s="35" t="str">
        <x:f>IF(T65="","",IF(T65&gt;=0.1,"Strong improvement",IF(T65&gt;=0,"Improving",IF(T65&gt;=-0.1,"Attention","Deteriorating"))))</x:f>
        <x:v>Strong improvement</x:v>
      </x:c>
      <x:c r="V65" s="35" t="str">
        <x:v>Marketing y Comunicación</x:v>
      </x:c>
      <x:c r="W65" s="35" t="str">
        <x:v>Bimestral</x:v>
      </x:c>
      <x:c r="X65" s="35" t="str">
        <x:v>Registros del área / evidencia del proceso</x:v>
      </x:c>
      <x:c r="Y65" s="35" t="str">
        <x:v>Registro fuente, reporte del sistema y evidencia documental de respaldo.</x:v>
      </x:c>
      <x:c r="Z65" s="35" t="str">
        <x:v>Leading/Lagging</x:v>
      </x:c>
      <x:c r="AA65" s="35" t="str">
        <x:v>Manual / por definir</x:v>
      </x:c>
      <x:c r="AB65" s="35" t="str">
        <x:v>Revisar desviación y definir acción correctiva cuando no se alcance la meta.</x:v>
      </x:c>
      <x:c r="AC65" s="35" t="str">
        <x:v>Incluir al menos un KPI de calidad/conversión, no sólo volumen de alcance.</x:v>
      </x:c>
      <x:c r="AD65" s="35" t="str">
        <x:v>MKT-003_NUM | MKT-003_DEN</x:v>
      </x:c>
      <x:c r="AE65" s="35" t="str">
        <x:v>KPIs digitales prioritarios que alcanzan su meta = 125 # / base; KPIs digitales prioritarios definidos = 125 # / base</x:v>
      </x:c>
      <x:c r="AF65" s="35" t="str">
        <x:v>MKT-009 | MKT-010 | MKT-012 | MKT-002 | ADM-001 | REC-M03 | MKT-007 | ADM-006</x:v>
      </x:c>
      <x:c r="AG65" s="35" t="str">
        <x:v>Top-8 heuristic: same strategic objective &gt; strategic-map adjacency &gt; same department &gt; same BSC perspective.</x:v>
      </x:c>
      <x:c r="AH65" s="35" t="str">
        <x:v>YES</x:v>
      </x:c>
      <x:c r="AI65" s="35" t="str">
        <x:v>PROTOTYPE ONLY — human review required</x:v>
      </x:c>
    </x:row>
    <x:row r="66">
      <x:c r="A66" s="35" t="str">
        <x:v>MKT-004</x:v>
      </x:c>
      <x:c r="B66" s="35" t="str">
        <x:v>Compromisos de mejora de comunicación cerrados en plazo</x:v>
      </x:c>
      <x:c r="C66" s="35" t="str">
        <x:v>Marketing y Comunicación</x:v>
      </x:c>
      <x:c r="D66" s="35" t="str">
        <x:v>Capacidades y tecnología</x:v>
      </x:c>
      <x:c r="E66" s="35" t="str">
        <x:v>L4. Fortalecer colaboración interdepartamental</x:v>
      </x:c>
      <x:c r="F66" s="35" t="str">
        <x:v>OPERATIVO / DEPARTAMENTAL</x:v>
      </x:c>
      <x:c r="G66" s="35" t="str">
        <x:v>Medir efecto de las sesiones, no el número de reuniones.</x:v>
      </x:c>
      <x:c r="H66" s="35" t="str">
        <x:v>Compromisos de sesiones de feedback cerrados en fecha ÷ compromisos acordados × 100</x:v>
      </x:c>
      <x:c r="I66" s="35" t="str">
        <x:v>RATIO_PCT</x:v>
      </x:c>
      <x:c r="J66" s="35" t="str">
        <x:v>%</x:v>
      </x:c>
      <x:c r="K66" s="35" t="str">
        <x:v>↑</x:v>
      </x:c>
      <x:c r="L66" s="35" t="n">
        <x:v>75.83333333333333</x:v>
      </x:c>
      <x:c r="M66" s="35" t="n">
        <x:v>80.76923076923077</x:v>
      </x:c>
      <x:c r="N66" s="35" t="n">
        <x:v>86.33093525179856</x:v>
      </x:c>
      <x:c r="O66" s="35" t="n">
        <x:v>92</x:v>
      </x:c>
      <x:c r="P66" s="35" t="n">
        <x:v>80.97783311812088</x:v>
      </x:c>
      <x:c r="Q66" s="35" t="str">
        <x:v>≥90%</x:v>
      </x:c>
      <x:c r="R66" s="35" t="str">
        <x:v>75–89.9%</x:v>
      </x:c>
      <x:c r="S66" s="35" t="str">
        <x:v>&lt;75%</x:v>
      </x:c>
      <x:c r="T66" s="54" t="n">
        <x:f>IF(OR(P66="",P66=0,O66=""),"",IF(K66="↑",(O66-P66)/ABS(P66),IF(K66="↓",(P66-O66)/ABS(P66),IF(K66="↔",(ABS(P66)-ABS(O66))/ABS(P66),""))))</x:f>
        <x:v>0.13611338384173954</x:v>
      </x:c>
      <x:c r="U66" s="35" t="str">
        <x:f>IF(T66="","",IF(T66&gt;=0.1,"Strong improvement",IF(T66&gt;=0,"Improving",IF(T66&gt;=-0.1,"Attention","Deteriorating"))))</x:f>
        <x:v>Strong improvement</x:v>
      </x:c>
      <x:c r="V66" s="35" t="str">
        <x:v>Marketing y Comunicación</x:v>
      </x:c>
      <x:c r="W66" s="35" t="str">
        <x:v>Bimestral</x:v>
      </x:c>
      <x:c r="X66" s="35" t="str">
        <x:v>Registros del área / evidencia del proceso</x:v>
      </x:c>
      <x:c r="Y66" s="35" t="str">
        <x:v>Registro fuente, reporte del sistema y evidencia documental de respaldo.</x:v>
      </x:c>
      <x:c r="Z66" s="35" t="str">
        <x:v>Leading/Lagging</x:v>
      </x:c>
      <x:c r="AA66" s="35" t="str">
        <x:v>Manual / por definir</x:v>
      </x:c>
      <x:c r="AB66" s="35" t="str">
        <x:v>Revisar desviación y definir acción correctiva cuando no se alcance la meta.</x:v>
      </x:c>
      <x:c r="AC66" s="35" t="str">
        <x:v>Minuta con owner, fecha y evidencia de cierre.</x:v>
      </x:c>
      <x:c r="AD66" s="35" t="str">
        <x:v>MKT-004_NUM | MKT-004_DEN</x:v>
      </x:c>
      <x:c r="AE66" s="35" t="str">
        <x:v>Compromisos de sesiones de feedback cerrados en fecha = 138.0 días; compromisos acordados = 150 # / base</x:v>
      </x:c>
      <x:c r="AF66" s="35" t="str">
        <x:v>MKT-001 | ADM-004 | ADM-012 | MKT-008 | MKT-011 | MKT-013 | MKT-014 | ADM-013</x:v>
      </x:c>
      <x:c r="AG66" s="35" t="str">
        <x:v>Top-8 heuristic: same strategic objective &gt; strategic-map adjacency &gt; same department &gt; same BSC perspective.</x:v>
      </x:c>
      <x:c r="AH66" s="35" t="str">
        <x:v>YES</x:v>
      </x:c>
      <x:c r="AI66" s="35" t="str">
        <x:v>PROTOTYPE ONLY — human review required</x:v>
      </x:c>
    </x:row>
    <x:row r="67">
      <x:c r="A67" s="35" t="str">
        <x:v>MKT-007</x:v>
      </x:c>
      <x:c r="B67" s="35" t="str">
        <x:v>Embajadores Omnilife activos en campaña de nutrición</x:v>
      </x:c>
      <x:c r="C67" s="35" t="str">
        <x:v>Marketing y Comunicación</x:v>
      </x:c>
      <x:c r="D67" s="35" t="str">
        <x:v>Beneficiarios y grupos de interés</x:v>
      </x:c>
      <x:c r="E67" s="35" t="str">
        <x:v>C4. Fortalecer relación con donantes, aliados y comunidades</x:v>
      </x:c>
      <x:c r="F67" s="35" t="str">
        <x:v>OPERATIVO / DEPARTAMENTAL</x:v>
      </x:c>
      <x:c r="G67" s="35" t="str">
        <x:v>Medir activación real, no sólo confirmación de alianza.</x:v>
      </x:c>
      <x:c r="H67" s="35" t="str">
        <x:v>Embajadores confirmados que realizan al menos una activación verificable ÷ embajadores comprometidos × 100</x:v>
      </x:c>
      <x:c r="I67" s="35" t="str">
        <x:v>RATIO_PCT</x:v>
      </x:c>
      <x:c r="J67" s="35" t="str">
        <x:v>% y #</x:v>
      </x:c>
      <x:c r="K67" s="35" t="str">
        <x:v>↑</x:v>
      </x:c>
      <x:c r="L67" s="35" t="n">
        <x:v>85.71428571428571</x:v>
      </x:c>
      <x:c r="M67" s="35" t="n">
        <x:v>86.66666666666667</x:v>
      </x:c>
      <x:c r="N67" s="35" t="n">
        <x:v>93.75</x:v>
      </x:c>
      <x:c r="O67" s="35" t="n">
        <x:v>100</x:v>
      </x:c>
      <x:c r="P67" s="35" t="n">
        <x:v>88.71031746031747</x:v>
      </x:c>
      <x:c r="Q67" s="35" t="str">
        <x:v>5 activos / 100% de los comprometidos</x:v>
      </x:c>
      <x:c r="R67" s="35" t="str">
        <x:v>&lt;5 activos</x:v>
      </x:c>
      <x:c r="S67" s="35" t="str">
        <x:v>&lt;4 activos</x:v>
      </x:c>
      <x:c r="T67" s="54" t="n">
        <x:f>IF(OR(P67="",P67=0,O67=""),"",IF(K67="↑",(O67-P67)/ABS(P67),IF(K67="↓",(P67-O67)/ABS(P67),IF(K67="↔",(ABS(P67)-ABS(O67))/ABS(P67),""))))</x:f>
        <x:v>0.12726459405054785</x:v>
      </x:c>
      <x:c r="U67" s="35" t="str">
        <x:f>IF(T67="","",IF(T67&gt;=0.1,"Strong improvement",IF(T67&gt;=0,"Improving",IF(T67&gt;=-0.1,"Attention","Deteriorating"))))</x:f>
        <x:v>Strong improvement</x:v>
      </x:c>
      <x:c r="V67" s="35" t="str">
        <x:v>Marketing y Comunicación</x:v>
      </x:c>
      <x:c r="W67" s="35" t="str">
        <x:v>Mensual durante campaña</x:v>
      </x:c>
      <x:c r="X67" s="35" t="str">
        <x:v>Registros del área / evidencia del proceso</x:v>
      </x:c>
      <x:c r="Y67" s="35" t="str">
        <x:v>Registro fuente, reporte del sistema y evidencia documental de respaldo.</x:v>
      </x:c>
      <x:c r="Z67" s="35" t="str">
        <x:v>Leading/Lagging</x:v>
      </x:c>
      <x:c r="AA67" s="35" t="str">
        <x:v>Manual / por definir</x:v>
      </x:c>
      <x:c r="AB67" s="35" t="str">
        <x:v>Revisar desviación y definir acción correctiva cuando no se alcance la meta.</x:v>
      </x:c>
      <x:c r="AC67" s="35" t="str">
        <x:v>Activación requiere publicación/participación verificable y registro de fecha.</x:v>
      </x:c>
      <x:c r="AD67" s="35" t="str">
        <x:v>MKT-007_NUM | MKT-007_DEN</x:v>
      </x:c>
      <x:c r="AE67" s="35" t="str">
        <x:v>Embajadores confirmados que realizan al menos una activación verificable = 18 # / base; embajadores comprometidos = 18 # / base</x:v>
      </x:c>
      <x:c r="AF67" s="35" t="str">
        <x:v>FND-010 | FND-012 | REC-C04 | MKT-008 | MKT-011 | MKT-013 | MKT-014 | MKT-003</x:v>
      </x:c>
      <x:c r="AG67" s="35" t="str">
        <x:v>Top-8 heuristic: same strategic objective &gt; strategic-map adjacency &gt; same department &gt; same BSC perspective.</x:v>
      </x:c>
      <x:c r="AH67" s="35" t="str">
        <x:v>YES</x:v>
      </x:c>
      <x:c r="AI67" s="35" t="str">
        <x:v>PROTOTYPE ONLY — human review required</x:v>
      </x:c>
    </x:row>
    <x:row r="68">
      <x:c r="A68" s="35" t="str">
        <x:v>MKT-008</x:v>
      </x:c>
      <x:c r="B68" s="35" t="str">
        <x:v>Cumplimiento de ejecución multicanal del lanzamiento</x:v>
      </x:c>
      <x:c r="C68" s="35" t="str">
        <x:v>Marketing y Comunicación</x:v>
      </x:c>
      <x:c r="D68" s="35" t="str">
        <x:v>Procesos internos</x:v>
      </x:c>
      <x:c r="E68" s="35" t="str">
        <x:v>P3. Integrar Marketing + Procuración</x:v>
      </x:c>
      <x:c r="F68" s="35" t="str">
        <x:v>OPERATIVO / DEPARTAMENTAL</x:v>
      </x:c>
      <x:c r="G68" s="35" t="str">
        <x:v>Consolidar múltiples conteos en un indicador de cumplimiento del plan de medios.</x:v>
      </x:c>
      <x:c r="H68" s="35" t="str">
        <x:v>Activos/canales ejecutados conforme al plan ÷ activos/canales planificados × 100</x:v>
      </x:c>
      <x:c r="I68" s="35" t="str">
        <x:v>RATIO_PCT</x:v>
      </x:c>
      <x:c r="J68" s="35" t="str">
        <x:v>%</x:v>
      </x:c>
      <x:c r="K68" s="35" t="str">
        <x:v>↑</x:v>
      </x:c>
      <x:c r="L68" s="35" t="n">
        <x:v>84</x:v>
      </x:c>
      <x:c r="M68" s="35" t="n">
        <x:v>88.88888888888889</x:v>
      </x:c>
      <x:c r="N68" s="35" t="n">
        <x:v>93.96551724137932</x:v>
      </x:c>
      <x:c r="O68" s="35" t="n">
        <x:v>100</x:v>
      </x:c>
      <x:c r="P68" s="35" t="n">
        <x:v>88.9514687100894</x:v>
      </x:c>
      <x:c r="Q68" s="35" t="str">
        <x:v>100% del plan (incluye 12 contenidos, 6 boletines y materiales definidos)</x:v>
      </x:c>
      <x:c r="R68" s="35" t="str">
        <x:v>90–99.9%</x:v>
      </x:c>
      <x:c r="S68" s="35" t="str">
        <x:v>&lt;90%</x:v>
      </x:c>
      <x:c r="T68" s="54" t="n">
        <x:f>IF(OR(P68="",P68=0,O68=""),"",IF(K68="↑",(O68-P68)/ABS(P68),IF(K68="↓",(P68-O68)/ABS(P68),IF(K68="↔",(ABS(P68)-ABS(O68))/ABS(P68),""))))</x:f>
        <x:v>0.12420853135005526</x:v>
      </x:c>
      <x:c r="U68" s="35" t="str">
        <x:f>IF(T68="","",IF(T68&gt;=0.1,"Strong improvement",IF(T68&gt;=0,"Improving",IF(T68&gt;=-0.1,"Attention","Deteriorating"))))</x:f>
        <x:v>Strong improvement</x:v>
      </x:c>
      <x:c r="V68" s="35" t="str">
        <x:v>Marketing y Comunicación</x:v>
      </x:c>
      <x:c r="W68" s="35" t="str">
        <x:v>Mensual desde septiembre</x:v>
      </x:c>
      <x:c r="X68" s="35" t="str">
        <x:v>Registros del área / evidencia del proceso</x:v>
      </x:c>
      <x:c r="Y68" s="35" t="str">
        <x:v>Registro fuente, reporte del sistema y evidencia documental de respaldo.</x:v>
      </x:c>
      <x:c r="Z68" s="35" t="str">
        <x:v>Leading/Lagging</x:v>
      </x:c>
      <x:c r="AA68" s="35" t="str">
        <x:v>Manual / por definir</x:v>
      </x:c>
      <x:c r="AB68" s="35" t="str">
        <x:v>Revisar desviación y definir acción correctiva cuando no se alcance la meta.</x:v>
      </x:c>
      <x:c r="AC68" s="35" t="str">
        <x:v>El plan se congela antes del lanzamiento; cambios requieren aprobación y justificación.</x:v>
      </x:c>
      <x:c r="AD68" s="35" t="str">
        <x:v>MKT-008_NUM | MKT-008_DEN</x:v>
      </x:c>
      <x:c r="AE68" s="35" t="str">
        <x:v>Activos/canales ejecutados conforme al plan = 125 # / base; activos/canales planificados = 125 # / base</x:v>
      </x:c>
      <x:c r="AF68" s="35" t="str">
        <x:v>MKT-011 | MKT-013 | MKT-014 | MKT-001 | MKT-004 | REC-M02 | MKT-007 | REC-P03</x:v>
      </x:c>
      <x:c r="AG68" s="35" t="str">
        <x:v>Top-8 heuristic: same strategic objective &gt; strategic-map adjacency &gt; same department &gt; same BSC perspective.</x:v>
      </x:c>
      <x:c r="AH68" s="35" t="str">
        <x:v>YES</x:v>
      </x:c>
      <x:c r="AI68" s="35" t="str">
        <x:v>PROTOTYPE ONLY — human review required</x:v>
      </x:c>
    </x:row>
    <x:row r="69">
      <x:c r="A69" s="35" t="str">
        <x:v>MKT-009</x:v>
      </x:c>
      <x:c r="B69" s="35" t="str">
        <x:v>Cumplimiento del calendario internacional de contenidos</x:v>
      </x:c>
      <x:c r="C69" s="35" t="str">
        <x:v>Marketing y Comunicación</x:v>
      </x:c>
      <x:c r="D69" s="35" t="str">
        <x:v>Beneficiarios y grupos de interés</x:v>
      </x:c>
      <x:c r="E69" s="35" t="str">
        <x:v>C3. Fortalecer confianza y credibilidad institucional</x:v>
      </x:c>
      <x:c r="F69" s="35" t="str">
        <x:v>OPERATIVO / DEPARTAMENTAL</x:v>
      </x:c>
      <x:c r="G69" s="35" t="str">
        <x:v>Sustituir el vanity metric '+100% de contenidos' por cumplimiento de un calendario concreto.</x:v>
      </x:c>
      <x:c r="H69" s="35" t="str">
        <x:v>Publicaciones internacionales realizadas en fecha ÷ publicaciones planificadas × 100</x:v>
      </x:c>
      <x:c r="I69" s="35" t="str">
        <x:v>RATIO_PCT</x:v>
      </x:c>
      <x:c r="J69" s="35" t="str">
        <x:v>%</x:v>
      </x:c>
      <x:c r="K69" s="35" t="str">
        <x:v>↑</x:v>
      </x:c>
      <x:c r="L69" s="35" t="n">
        <x:v>84.16666666666667</x:v>
      </x:c>
      <x:c r="M69" s="35" t="n">
        <x:v>89.23076923076924</x:v>
      </x:c>
      <x:c r="N69" s="35" t="n">
        <x:v>94.24460431654677</x:v>
      </x:c>
      <x:c r="O69" s="35" t="n">
        <x:v>100</x:v>
      </x:c>
      <x:c r="P69" s="35" t="n">
        <x:v>89.21401340466089</x:v>
      </x:c>
      <x:c r="Q69" s="35" t="str">
        <x:v>100%</x:v>
      </x:c>
      <x:c r="R69" s="35" t="str">
        <x:v>90–99.9%</x:v>
      </x:c>
      <x:c r="S69" s="35" t="str">
        <x:v>&lt;90%</x:v>
      </x:c>
      <x:c r="T69" s="54" t="n">
        <x:f>IF(OR(P69="",P69=0,O69=""),"",IF(K69="↑",(O69-P69)/ABS(P69),IF(K69="↓",(P69-O69)/ABS(P69),IF(K69="↔",(ABS(P69)-ABS(O69))/ABS(P69),""))))</x:f>
        <x:v>0.12090013870820443</x:v>
      </x:c>
      <x:c r="U69" s="35" t="str">
        <x:f>IF(T69="","",IF(T69&gt;=0.1,"Strong improvement",IF(T69&gt;=0,"Improving",IF(T69&gt;=-0.1,"Attention","Deteriorating"))))</x:f>
        <x:v>Strong improvement</x:v>
      </x:c>
      <x:c r="V69" s="35" t="str">
        <x:v>Marketing y Comunicación</x:v>
      </x:c>
      <x:c r="W69" s="35" t="str">
        <x:v>Mensual</x:v>
      </x:c>
      <x:c r="X69" s="35" t="str">
        <x:v>Registros del área / evidencia del proceso</x:v>
      </x:c>
      <x:c r="Y69" s="35" t="str">
        <x:v>Registro fuente, reporte del sistema y evidencia documental de respaldo.</x:v>
      </x:c>
      <x:c r="Z69" s="35" t="str">
        <x:v>Leading/Lagging</x:v>
      </x:c>
      <x:c r="AA69" s="35" t="str">
        <x:v>Manual / por definir</x:v>
      </x:c>
      <x:c r="AB69" s="35" t="str">
        <x:v>Revisar desviación y definir acción correctiva cuando no se alcance la meta.</x:v>
      </x:c>
      <x:c r="AC69" s="35" t="str">
        <x:v>No aumentar volumen sacrificando calidad; acompañar con engagement/alcance y evidencia de impacto.</x:v>
      </x:c>
      <x:c r="AD69" s="35" t="str">
        <x:v>MKT-009_NUM | MKT-009_DEN</x:v>
      </x:c>
      <x:c r="AE69" s="35" t="str">
        <x:v>Publicaciones internacionales realizadas en fecha = 150.0 días; publicaciones planificadas = 150 # / base</x:v>
      </x:c>
      <x:c r="AF69" s="35" t="str">
        <x:v>MKT-003 | MKT-010 | MKT-012 | MKT-002 | ADM-001 | REC-M03 | MKT-007 | ADM-006</x:v>
      </x:c>
      <x:c r="AG69" s="35" t="str">
        <x:v>Top-8 heuristic: same strategic objective &gt; strategic-map adjacency &gt; same department &gt; same BSC perspective.</x:v>
      </x:c>
      <x:c r="AH69" s="35" t="str">
        <x:v>YES</x:v>
      </x:c>
      <x:c r="AI69" s="35" t="str">
        <x:v>PROTOTYPE ONLY — human review required</x:v>
      </x:c>
    </x:row>
    <x:row r="70">
      <x:c r="A70" s="35" t="str">
        <x:v>MKT-010</x:v>
      </x:c>
      <x:c r="B70" s="35" t="str">
        <x:v>Países con presencia digital continua conforme al estándar</x:v>
      </x:c>
      <x:c r="C70" s="35" t="str">
        <x:v>Marketing y Comunicación</x:v>
      </x:c>
      <x:c r="D70" s="35" t="str">
        <x:v>Beneficiarios y grupos de interés</x:v>
      </x:c>
      <x:c r="E70" s="35" t="str">
        <x:v>C3. Fortalecer confianza y credibilidad institucional</x:v>
      </x:c>
      <x:c r="F70" s="35" t="str">
        <x:v>OPERATIVO / DEPARTAMENTAL</x:v>
      </x:c>
      <x:c r="G70" s="35" t="str">
        <x:v>Medir consistencia geográfica en vez de duplicar publicaciones.</x:v>
      </x:c>
      <x:c r="H70" s="35" t="str">
        <x:v>Países objetivo con frecuencia mínima de comunicación cumplida ÷ países objetivo × 100</x:v>
      </x:c>
      <x:c r="I70" s="35" t="str">
        <x:v>RATIO_PCT</x:v>
      </x:c>
      <x:c r="J70" s="35" t="str">
        <x:v>%</x:v>
      </x:c>
      <x:c r="K70" s="35" t="str">
        <x:v>↑</x:v>
      </x:c>
      <x:c r="L70" s="35" t="n">
        <x:v>75</x:v>
      </x:c>
      <x:c r="M70" s="35" t="n">
        <x:v>100</x:v>
      </x:c>
      <x:c r="N70" s="35" t="n">
        <x:v>100</x:v>
      </x:c>
      <x:c r="O70" s="35" t="n">
        <x:v>100</x:v>
      </x:c>
      <x:c r="P70" s="35" t="n">
        <x:v>91.66666666666667</x:v>
      </x:c>
      <x:c r="Q70" s="35" t="str">
        <x:v>100%</x:v>
      </x:c>
      <x:c r="R70" s="35" t="str">
        <x:v>75–99%</x:v>
      </x:c>
      <x:c r="S70" s="35" t="str">
        <x:v>&lt;75%</x:v>
      </x:c>
      <x:c r="T70" s="54" t="n">
        <x:f>IF(OR(P70="",P70=0,O70=""),"",IF(K70="↑",(O70-P70)/ABS(P70),IF(K70="↓",(P70-O70)/ABS(P70),IF(K70="↔",(ABS(P70)-ABS(O70))/ABS(P70),""))))</x:f>
        <x:v>0.09090909090909086</x:v>
      </x:c>
      <x:c r="U70" s="35" t="str">
        <x:f>IF(T70="","",IF(T70&gt;=0.1,"Strong improvement",IF(T70&gt;=0,"Improving",IF(T70&gt;=-0.1,"Attention","Deteriorating"))))</x:f>
        <x:v>Improving</x:v>
      </x:c>
      <x:c r="V70" s="35" t="str">
        <x:v>Marketing y Comunicación</x:v>
      </x:c>
      <x:c r="W70" s="35" t="str">
        <x:v>Mensual</x:v>
      </x:c>
      <x:c r="X70" s="35" t="str">
        <x:v>Registros del área / evidencia del proceso</x:v>
      </x:c>
      <x:c r="Y70" s="35" t="str">
        <x:v>Registro fuente, reporte del sistema y evidencia documental de respaldo.</x:v>
      </x:c>
      <x:c r="Z70" s="35" t="str">
        <x:v>Leading/Lagging</x:v>
      </x:c>
      <x:c r="AA70" s="35" t="str">
        <x:v>Manual / por definir</x:v>
      </x:c>
      <x:c r="AB70" s="35" t="str">
        <x:v>Revisar desviación y definir acción correctiva cuando no se alcance la meta.</x:v>
      </x:c>
      <x:c r="AC70" s="35" t="str">
        <x:v>Definir frecuencia mínima y calidad; no contar republicaciones idénticas como presencia adicional.</x:v>
      </x:c>
      <x:c r="AD70" s="35" t="str">
        <x:v>MKT-010_NUM | MKT-010_DEN</x:v>
      </x:c>
      <x:c r="AE70" s="35" t="str">
        <x:v>Países objetivo con frecuencia mínima de comunicación cumplida = 4 # / base; países objetivo = 4 # / base</x:v>
      </x:c>
      <x:c r="AF70" s="35" t="str">
        <x:v>MKT-003 | MKT-009 | MKT-012 | MKT-002 | ADM-001 | REC-M03 | MKT-007 | ADM-006</x:v>
      </x:c>
      <x:c r="AG70" s="35" t="str">
        <x:v>Top-8 heuristic: same strategic objective &gt; strategic-map adjacency &gt; same department &gt; same BSC perspective.</x:v>
      </x:c>
      <x:c r="AH70" s="35" t="str">
        <x:v>YES</x:v>
      </x:c>
      <x:c r="AI70" s="35" t="str">
        <x:v>PROTOTYPE ONLY — human review required</x:v>
      </x:c>
    </x:row>
    <x:row r="71">
      <x:c r="A71" s="35" t="str">
        <x:v>MKT-011</x:v>
      </x:c>
      <x:c r="B71" s="35" t="str">
        <x:v>Actividades principales con cobertura completa de comunicación e impacto</x:v>
      </x:c>
      <x:c r="C71" s="35" t="str">
        <x:v>Marketing y Comunicación</x:v>
      </x:c>
      <x:c r="D71" s="35" t="str">
        <x:v>Procesos internos</x:v>
      </x:c>
      <x:c r="E71" s="35" t="str">
        <x:v>P3. Integrar Marketing + Procuración</x:v>
      </x:c>
      <x:c r="F71" s="35" t="str">
        <x:v>OPERATIVO / DEPARTAMENTAL</x:v>
      </x:c>
      <x:c r="G71" s="35" t="str">
        <x:v>Evitar un mínimo fijo de 5 cuando el volumen real de actividades varía.</x:v>
      </x:c>
      <x:c r="H71" s="35" t="str">
        <x:v>Actividades principales con foto/video + dato de impacto publicado ÷ actividades principales realizadas × 100</x:v>
      </x:c>
      <x:c r="I71" s="35" t="str">
        <x:v>RATIO_PCT</x:v>
      </x:c>
      <x:c r="J71" s="35" t="str">
        <x:v>%</x:v>
      </x:c>
      <x:c r="K71" s="35" t="str">
        <x:v>↑</x:v>
      </x:c>
      <x:c r="L71" s="35" t="n">
        <x:v>84.16666666666667</x:v>
      </x:c>
      <x:c r="M71" s="35" t="n">
        <x:v>89.23076923076924</x:v>
      </x:c>
      <x:c r="N71" s="35" t="n">
        <x:v>94.24460431654677</x:v>
      </x:c>
      <x:c r="O71" s="35" t="n">
        <x:v>100</x:v>
      </x:c>
      <x:c r="P71" s="35" t="n">
        <x:v>89.21401340466089</x:v>
      </x:c>
      <x:c r="Q71" s="35" t="str">
        <x:v>100%</x:v>
      </x:c>
      <x:c r="R71" s="35" t="str">
        <x:v>90–99.9%</x:v>
      </x:c>
      <x:c r="S71" s="35" t="str">
        <x:v>&lt;90%</x:v>
      </x:c>
      <x:c r="T71" s="54" t="n">
        <x:f>IF(OR(P71="",P71=0,O71=""),"",IF(K71="↑",(O71-P71)/ABS(P71),IF(K71="↓",(P71-O71)/ABS(P71),IF(K71="↔",(ABS(P71)-ABS(O71))/ABS(P71),""))))</x:f>
        <x:v>0.12090013870820443</x:v>
      </x:c>
      <x:c r="U71" s="35" t="str">
        <x:f>IF(T71="","",IF(T71&gt;=0.1,"Strong improvement",IF(T71&gt;=0,"Improving",IF(T71&gt;=-0.1,"Attention","Deteriorating"))))</x:f>
        <x:v>Strong improvement</x:v>
      </x:c>
      <x:c r="V71" s="35" t="str">
        <x:v>Marketing y Comunicación</x:v>
      </x:c>
      <x:c r="W71" s="35" t="str">
        <x:v>Mensual / por programa</x:v>
      </x:c>
      <x:c r="X71" s="35" t="str">
        <x:v>Registros del área / evidencia del proceso</x:v>
      </x:c>
      <x:c r="Y71" s="35" t="str">
        <x:v>Registro fuente, reporte del sistema y evidencia documental de respaldo.</x:v>
      </x:c>
      <x:c r="Z71" s="35" t="str">
        <x:v>Leading/Lagging</x:v>
      </x:c>
      <x:c r="AA71" s="35" t="str">
        <x:v>Manual / por definir</x:v>
      </x:c>
      <x:c r="AB71" s="35" t="str">
        <x:v>Revisar desviación y definir acción correctiva cuando no se alcance la meta.</x:v>
      </x:c>
      <x:c r="AC71" s="35" t="str">
        <x:v>Cobertura completa exige evidencia visual y al menos un dato de resultado validado.</x:v>
      </x:c>
      <x:c r="AD71" s="35" t="str">
        <x:v>MKT-011_NUM | MKT-011_DEN</x:v>
      </x:c>
      <x:c r="AE71" s="35" t="str">
        <x:v>Actividades principales con foto/video + dato de impacto publicado = 150 # / base; actividades principales realizadas = 150 # / base</x:v>
      </x:c>
      <x:c r="AF71" s="35" t="str">
        <x:v>MKT-008 | MKT-013 | MKT-014 | MKT-001 | MKT-004 | REC-M02 | MKT-007 | REC-P03</x:v>
      </x:c>
      <x:c r="AG71" s="35" t="str">
        <x:v>Top-8 heuristic: same strategic objective &gt; strategic-map adjacency &gt; same department &gt; same BSC perspective.</x:v>
      </x:c>
      <x:c r="AH71" s="35" t="str">
        <x:v>YES</x:v>
      </x:c>
      <x:c r="AI71" s="35" t="str">
        <x:v>PROTOTYPE ONLY — human review required</x:v>
      </x:c>
    </x:row>
    <x:row r="72">
      <x:c r="A72" s="35" t="str">
        <x:v>MKT-012</x:v>
      </x:c>
      <x:c r="B72" s="35" t="str">
        <x:v>Cumplimiento del calendario de comunicaciones conjuntas Omnilife–Chivas</x:v>
      </x:c>
      <x:c r="C72" s="35" t="str">
        <x:v>Marketing y Comunicación</x:v>
      </x:c>
      <x:c r="D72" s="35" t="str">
        <x:v>Beneficiarios y grupos de interés</x:v>
      </x:c>
      <x:c r="E72" s="35" t="str">
        <x:v>C3. Fortalecer confianza y credibilidad institucional</x:v>
      </x:c>
      <x:c r="F72" s="35" t="str">
        <x:v>OPERATIVO / DEPARTAMENTAL</x:v>
      </x:c>
      <x:c r="G72" s="35" t="str">
        <x:v>Sustituir crecimiento porcentual de presencia por ejecución contra plan acordado.</x:v>
      </x:c>
      <x:c r="H72" s="35" t="str">
        <x:v>Comunicaciones conjuntas publicadas en fecha ÷ comunicaciones conjuntas planificadas × 100</x:v>
      </x:c>
      <x:c r="I72" s="35" t="str">
        <x:v>RATIO_PCT</x:v>
      </x:c>
      <x:c r="J72" s="35" t="str">
        <x:v>%</x:v>
      </x:c>
      <x:c r="K72" s="35" t="str">
        <x:v>↑</x:v>
      </x:c>
      <x:c r="L72" s="35" t="n">
        <x:v>84.16666666666667</x:v>
      </x:c>
      <x:c r="M72" s="35" t="n">
        <x:v>89.23076923076924</x:v>
      </x:c>
      <x:c r="N72" s="35" t="n">
        <x:v>94.24460431654677</x:v>
      </x:c>
      <x:c r="O72" s="35" t="n">
        <x:v>100</x:v>
      </x:c>
      <x:c r="P72" s="35" t="n">
        <x:v>89.21401340466089</x:v>
      </x:c>
      <x:c r="Q72" s="35" t="str">
        <x:v>100% del plan anual</x:v>
      </x:c>
      <x:c r="R72" s="35" t="str">
        <x:v>90–99.9%</x:v>
      </x:c>
      <x:c r="S72" s="35" t="str">
        <x:v>&lt;90%</x:v>
      </x:c>
      <x:c r="T72" s="54" t="n">
        <x:f>IF(OR(P72="",P72=0,O72=""),"",IF(K72="↑",(O72-P72)/ABS(P72),IF(K72="↓",(P72-O72)/ABS(P72),IF(K72="↔",(ABS(P72)-ABS(O72))/ABS(P72),""))))</x:f>
        <x:v>0.12090013870820443</x:v>
      </x:c>
      <x:c r="U72" s="35" t="str">
        <x:f>IF(T72="","",IF(T72&gt;=0.1,"Strong improvement",IF(T72&gt;=0,"Improving",IF(T72&gt;=-0.1,"Attention","Deteriorating"))))</x:f>
        <x:v>Strong improvement</x:v>
      </x:c>
      <x:c r="V72" s="35" t="str">
        <x:v>Marketing y Comunicación</x:v>
      </x:c>
      <x:c r="W72" s="35" t="str">
        <x:v>Mensual</x:v>
      </x:c>
      <x:c r="X72" s="35" t="str">
        <x:v>Registros del área / evidencia del proceso</x:v>
      </x:c>
      <x:c r="Y72" s="35" t="str">
        <x:v>Registro fuente, reporte del sistema y evidencia documental de respaldo.</x:v>
      </x:c>
      <x:c r="Z72" s="35" t="str">
        <x:v>Leading/Lagging</x:v>
      </x:c>
      <x:c r="AA72" s="35" t="str">
        <x:v>Manual / por definir</x:v>
      </x:c>
      <x:c r="AB72" s="35" t="str">
        <x:v>Revisar desviación y definir acción correctiva cuando no se alcance la meta.</x:v>
      </x:c>
      <x:c r="AC72" s="35" t="str">
        <x:v>Plan acordado previamente; periodos de inactividad de Chivas quedan documentados.</x:v>
      </x:c>
      <x:c r="AD72" s="35" t="str">
        <x:v>MKT-012_NUM | MKT-012_DEN</x:v>
      </x:c>
      <x:c r="AE72" s="35" t="str">
        <x:v>Comunicaciones conjuntas publicadas en fecha = 150.0 días; comunicaciones conjuntas planificadas = 150 # / base</x:v>
      </x:c>
      <x:c r="AF72" s="35" t="str">
        <x:v>MKT-003 | MKT-009 | MKT-010 | MKT-002 | ADM-001 | REC-M03 | MKT-007 | ADM-006</x:v>
      </x:c>
      <x:c r="AG72" s="35" t="str">
        <x:v>Top-8 heuristic: same strategic objective &gt; strategic-map adjacency &gt; same department &gt; same BSC perspective.</x:v>
      </x:c>
      <x:c r="AH72" s="35" t="str">
        <x:v>YES</x:v>
      </x:c>
      <x:c r="AI72" s="35" t="str">
        <x:v>PROTOTYPE ONLY — human review required</x:v>
      </x:c>
    </x:row>
    <x:row r="73">
      <x:c r="A73" s="35" t="str">
        <x:v>MKT-013</x:v>
      </x:c>
      <x:c r="B73" s="35" t="str">
        <x:v>Campañas de procuración con análisis conjunto MKT–PF</x:v>
      </x:c>
      <x:c r="C73" s="35" t="str">
        <x:v>Marketing y Comunicación</x:v>
      </x:c>
      <x:c r="D73" s="35" t="str">
        <x:v>Procesos internos</x:v>
      </x:c>
      <x:c r="E73" s="35" t="str">
        <x:v>P3. Integrar Marketing + Procuración</x:v>
      </x:c>
      <x:c r="F73" s="35" t="str">
        <x:v>OPERATIVO / DEPARTAMENTAL</x:v>
      </x:c>
      <x:c r="G73" s="35" t="str">
        <x:v>Medir integración real entre Marketing y Procuración, no sólo número de reuniones/cruces.</x:v>
      </x:c>
      <x:c r="H73" s="35" t="str">
        <x:v>Campañas activas con cruce de datos de marketing y procuración + conclusión accionable ÷ campañas activas × 100</x:v>
      </x:c>
      <x:c r="I73" s="35" t="str">
        <x:v>RATIO_PCT</x:v>
      </x:c>
      <x:c r="J73" s="35" t="str">
        <x:v>%</x:v>
      </x:c>
      <x:c r="K73" s="35" t="str">
        <x:v>↑</x:v>
      </x:c>
      <x:c r="L73" s="35" t="n">
        <x:v>85.71428571428571</x:v>
      </x:c>
      <x:c r="M73" s="35" t="n">
        <x:v>86.66666666666667</x:v>
      </x:c>
      <x:c r="N73" s="35" t="n">
        <x:v>93.75</x:v>
      </x:c>
      <x:c r="O73" s="35" t="n">
        <x:v>100</x:v>
      </x:c>
      <x:c r="P73" s="35" t="n">
        <x:v>88.71031746031747</x:v>
      </x:c>
      <x:c r="Q73" s="35" t="str">
        <x:v>100% (con al menos 12 cortes anuales)</x:v>
      </x:c>
      <x:c r="R73" s="35" t="str">
        <x:v>80–99%</x:v>
      </x:c>
      <x:c r="S73" s="35" t="str">
        <x:v>&lt;80%</x:v>
      </x:c>
      <x:c r="T73" s="54" t="n">
        <x:f>IF(OR(P73="",P73=0,O73=""),"",IF(K73="↑",(O73-P73)/ABS(P73),IF(K73="↓",(P73-O73)/ABS(P73),IF(K73="↔",(ABS(P73)-ABS(O73))/ABS(P73),""))))</x:f>
        <x:v>0.12726459405054785</x:v>
      </x:c>
      <x:c r="U73" s="35" t="str">
        <x:f>IF(T73="","",IF(T73&gt;=0.1,"Strong improvement",IF(T73&gt;=0,"Improving",IF(T73&gt;=-0.1,"Attention","Deteriorating"))))</x:f>
        <x:v>Strong improvement</x:v>
      </x:c>
      <x:c r="V73" s="35" t="str">
        <x:v>Marketing y Comunicación + Procuración</x:v>
      </x:c>
      <x:c r="W73" s="35" t="str">
        <x:v>Mensual</x:v>
      </x:c>
      <x:c r="X73" s="35" t="str">
        <x:v>Registros del área / evidencia del proceso</x:v>
      </x:c>
      <x:c r="Y73" s="35" t="str">
        <x:v>Registro fuente, reporte del sistema y evidencia documental de respaldo.</x:v>
      </x:c>
      <x:c r="Z73" s="35" t="str">
        <x:v>Leading/Lagging</x:v>
      </x:c>
      <x:c r="AA73" s="35" t="str">
        <x:v>Manual / por definir</x:v>
      </x:c>
      <x:c r="AB73" s="35" t="str">
        <x:v>Revisar desviación y definir acción correctiva cuando no se alcance la meta.</x:v>
      </x:c>
      <x:c r="AC73" s="35" t="str">
        <x:v>El cruce debe incluir una métrica de resultado financiero/conversión y una acción acordada.</x:v>
      </x:c>
      <x:c r="AD73" s="35" t="str">
        <x:v>MKT-013_NUM | MKT-013_DEN</x:v>
      </x:c>
      <x:c r="AE73" s="35" t="str">
        <x:v>Campañas activas con cruce de datos de marketing y procuración + conclusión accionable = 18 # / base; campañas activas = 18 # / base</x:v>
      </x:c>
      <x:c r="AF73" s="35" t="str">
        <x:v>MKT-008 | MKT-011 | MKT-014 | MKT-001 | MKT-004 | REC-M02 | MKT-007 | REC-P03</x:v>
      </x:c>
      <x:c r="AG73" s="35" t="str">
        <x:v>Top-8 heuristic: same strategic objective &gt; strategic-map adjacency &gt; same department &gt; same BSC perspective.</x:v>
      </x:c>
      <x:c r="AH73" s="35" t="str">
        <x:v>YES</x:v>
      </x:c>
      <x:c r="AI73" s="35" t="str">
        <x:v>PROTOTYPE ONLY — human review required</x:v>
      </x:c>
    </x:row>
    <x:row r="74">
      <x:c r="A74" s="35" t="str">
        <x:v>MKT-014</x:v>
      </x:c>
      <x:c r="B74" s="35" t="str">
        <x:v>Fondos atribuibles a campañas conjuntas Omnilife–Chivas</x:v>
      </x:c>
      <x:c r="C74" s="35" t="str">
        <x:v>Marketing y Comunicación</x:v>
      </x:c>
      <x:c r="D74" s="35" t="str">
        <x:v>Procesos internos</x:v>
      </x:c>
      <x:c r="E74" s="35" t="str">
        <x:v>P3. Integrar Marketing + Procuración</x:v>
      </x:c>
      <x:c r="F74" s="35" t="str">
        <x:v>OPERATIVO / DEPARTAMENTAL</x:v>
      </x:c>
      <x:c r="G74" s="35" t="str">
        <x:v>Reemplazar volumen de publicaciones por resultado de negocio social: fondos movilizados.</x:v>
      </x:c>
      <x:c r="H74" s="35" t="str">
        <x:v>Fondos efectivamente recibidos atribuibles a campañas conjuntas según regla de atribución acordada</x:v>
      </x:c>
      <x:c r="I74" s="35" t="str">
        <x:v>VALUE</x:v>
      </x:c>
      <x:c r="J74" s="35" t="str">
        <x:v>MXN/USD</x:v>
      </x:c>
      <x:c r="K74" s="35" t="str">
        <x:v>↑</x:v>
      </x:c>
      <x:c r="L74" s="35" t="n">
        <x:v>1377.68</x:v>
      </x:c>
      <x:c r="M74" s="35" t="n">
        <x:v>1580.28</x:v>
      </x:c>
      <x:c r="N74" s="35" t="n">
        <x:v>1803.14</x:v>
      </x:c>
      <x:c r="O74" s="35" t="n">
        <x:v>2066.52</x:v>
      </x:c>
      <x:c r="P74" s="35" t="n">
        <x:v>1587.0333333333335</x:v>
      </x:c>
      <x:c r="Q74" s="35" t="str">
        <x:v>Baseline 2026 + meta por campaña validada con Procuración</x:v>
      </x:c>
      <x:c r="R74" s="35" t="str">
        <x:v>Desviación &gt;10% vs forecast</x:v>
      </x:c>
      <x:c r="S74" s="35" t="str">
        <x:v>Desviación &gt;20% vs forecast</x:v>
      </x:c>
      <x:c r="T74" s="54" t="n">
        <x:f>IF(OR(P74="",P74=0,O74=""),"",IF(K74="↑",(O74-P74)/ABS(P74),IF(K74="↓",(P74-O74)/ABS(P74),IF(K74="↔",(ABS(P74)-ABS(O74))/ABS(P74),""))))</x:f>
        <x:v>0.3021276595744679</x:v>
      </x:c>
      <x:c r="U74" s="35" t="str">
        <x:f>IF(T74="","",IF(T74&gt;=0.1,"Strong improvement",IF(T74&gt;=0,"Improving",IF(T74&gt;=-0.1,"Attention","Deteriorating"))))</x:f>
        <x:v>Strong improvement</x:v>
      </x:c>
      <x:c r="V74" s="35" t="str">
        <x:v>Marketing y Comunicación</x:v>
      </x:c>
      <x:c r="W74" s="35" t="str">
        <x:v>Mensual / por campaña</x:v>
      </x:c>
      <x:c r="X74" s="35" t="str">
        <x:v>Registros del área / evidencia del proceso</x:v>
      </x:c>
      <x:c r="Y74" s="35" t="str">
        <x:v>Registro fuente, reporte del sistema y evidencia documental de respaldo.</x:v>
      </x:c>
      <x:c r="Z74" s="35" t="str">
        <x:v>Leading/Lagging</x:v>
      </x:c>
      <x:c r="AA74" s="35" t="str">
        <x:v>Manual / por definir</x:v>
      </x:c>
      <x:c r="AB74" s="35" t="str">
        <x:v>Revisar desviación y definir acción correctiva cuando no se alcance la meta.</x:v>
      </x:c>
      <x:c r="AC74" s="35" t="str">
        <x:v>Modelo de atribución fijo antes de campaña; separar orgánico, pagado y aportaciones no atribuibles.</x:v>
      </x:c>
      <x:c r="AD74" s="35" t="str">
        <x:v>MKT-014_VAL</x:v>
      </x:c>
      <x:c r="AE74" s="35" t="str">
        <x:v>Fondos efectivamente recibidos atribuibles a campañas conjuntas según regla de atribución acordada = 2,067 USD</x:v>
      </x:c>
      <x:c r="AF74" s="35" t="str">
        <x:v>MKT-008 | MKT-011 | MKT-013 | MKT-001 | MKT-004 | REC-M02 | MKT-007 | REC-P03</x:v>
      </x:c>
      <x:c r="AG74" s="35" t="str">
        <x:v>Top-8 heuristic: same strategic objective &gt; strategic-map adjacency &gt; same department &gt; same BSC perspective.</x:v>
      </x:c>
      <x:c r="AH74" s="35" t="str">
        <x:v>YES</x:v>
      </x:c>
      <x:c r="AI74" s="35" t="str">
        <x:v>PROTOTYPE ONLY — human review required</x:v>
      </x:c>
    </x:row>
    <x:row r="75">
      <x:c r="A75" s="35" t="str">
        <x:v>MKT-015</x:v>
      </x:c>
      <x:c r="B75" s="35" t="str">
        <x:v>Implementación de recomendaciones de benchmarking</x:v>
      </x:c>
      <x:c r="C75" s="35" t="str">
        <x:v>Marketing y Comunicación</x:v>
      </x:c>
      <x:c r="D75" s="35" t="str">
        <x:v>Capacidades y tecnología</x:v>
      </x:c>
      <x:c r="E75" s="35" t="str">
        <x:v>L1. Construir una cultura de gestión basada en datos</x:v>
      </x:c>
      <x:c r="F75" s="35" t="str">
        <x:v>OPERATIVO / DEPARTAMENTAL</x:v>
      </x:c>
      <x:c r="G75" s="35" t="str">
        <x:v>Mantener la intención de mejora, pero medir cierre verificable.</x:v>
      </x:c>
      <x:c r="H75" s="35" t="str">
        <x:v>Recomendaciones aprobadas implementadas y verificadas ÷ recomendaciones aprobadas × 100</x:v>
      </x:c>
      <x:c r="I75" s="35" t="str">
        <x:v>RATIO_PCT</x:v>
      </x:c>
      <x:c r="J75" s="35" t="str">
        <x:v>%</x:v>
      </x:c>
      <x:c r="K75" s="35" t="str">
        <x:v>↑</x:v>
      </x:c>
      <x:c r="L75" s="35" t="n">
        <x:v>84</x:v>
      </x:c>
      <x:c r="M75" s="35" t="n">
        <x:v>88.88888888888889</x:v>
      </x:c>
      <x:c r="N75" s="35" t="n">
        <x:v>93.96551724137932</x:v>
      </x:c>
      <x:c r="O75" s="35" t="n">
        <x:v>100</x:v>
      </x:c>
      <x:c r="P75" s="35" t="n">
        <x:v>88.9514687100894</x:v>
      </x:c>
      <x:c r="Q75" s="35" t="str">
        <x:v>100% de las 3 aprobadas</x:v>
      </x:c>
      <x:c r="R75" s="35" t="str">
        <x:v>66–99%</x:v>
      </x:c>
      <x:c r="S75" s="35" t="str">
        <x:v>&lt;66%</x:v>
      </x:c>
      <x:c r="T75" s="54" t="n">
        <x:f>IF(OR(P75="",P75=0,O75=""),"",IF(K75="↑",(O75-P75)/ABS(P75),IF(K75="↓",(P75-O75)/ABS(P75),IF(K75="↔",(ABS(P75)-ABS(O75))/ABS(P75),""))))</x:f>
        <x:v>0.12420853135005526</x:v>
      </x:c>
      <x:c r="U75" s="35" t="str">
        <x:f>IF(T75="","",IF(T75&gt;=0.1,"Strong improvement",IF(T75&gt;=0,"Improving",IF(T75&gt;=-0.1,"Attention","Deteriorating"))))</x:f>
        <x:v>Strong improvement</x:v>
      </x:c>
      <x:c r="V75" s="35" t="str">
        <x:v>Marketing y Comunicación</x:v>
      </x:c>
      <x:c r="W75" s="35" t="str">
        <x:v>Semestral</x:v>
      </x:c>
      <x:c r="X75" s="35" t="str">
        <x:v>Registros del área / evidencia del proceso</x:v>
      </x:c>
      <x:c r="Y75" s="35" t="str">
        <x:v>Registro fuente, reporte del sistema y evidencia documental de respaldo.</x:v>
      </x:c>
      <x:c r="Z75" s="35" t="str">
        <x:v>Leading/Lagging</x:v>
      </x:c>
      <x:c r="AA75" s="35" t="str">
        <x:v>Manual / por definir</x:v>
      </x:c>
      <x:c r="AB75" s="35" t="str">
        <x:v>Revisar desviación y definir acción correctiva cuando no se alcance la meta.</x:v>
      </x:c>
      <x:c r="AC75" s="35" t="str">
        <x:v>Cada recomendación requiere criterio de éxito y evidencia, no sólo marcarla como ejecutada.</x:v>
      </x:c>
      <x:c r="AD75" s="35" t="str">
        <x:v>MKT-015_NUM | MKT-015_DEN</x:v>
      </x:c>
      <x:c r="AE75" s="35" t="str">
        <x:v>Recomendaciones aprobadas implementadas y verificadas = 125 # / base; recomendaciones aprobadas = 125 # / base</x:v>
      </x:c>
      <x:c r="AF75" s="35" t="str">
        <x:v>MKT-016 | REC-L01 | MKT-002 | ADM-001 | MKT-001 | MKT-004 | ADM-004 | ADM-002</x:v>
      </x:c>
      <x:c r="AG75" s="35" t="str">
        <x:v>Top-8 heuristic: same strategic objective &gt; strategic-map adjacency &gt; same department &gt; same BSC perspective.</x:v>
      </x:c>
      <x:c r="AH75" s="35" t="str">
        <x:v>YES</x:v>
      </x:c>
      <x:c r="AI75" s="35" t="str">
        <x:v>PROTOTYPE ONLY — human review required</x:v>
      </x:c>
    </x:row>
    <x:row r="76">
      <x:c r="A76" s="35" t="str">
        <x:v>MKT-016</x:v>
      </x:c>
      <x:c r="B76" s="35" t="str">
        <x:v>Cierre en plazo de hallazgos de auditoría de comunicación</x:v>
      </x:c>
      <x:c r="C76" s="35" t="str">
        <x:v>Marketing y Comunicación</x:v>
      </x:c>
      <x:c r="D76" s="35" t="str">
        <x:v>Capacidades y tecnología</x:v>
      </x:c>
      <x:c r="E76" s="35" t="str">
        <x:v>L1. Construir una cultura de gestión basada en datos</x:v>
      </x:c>
      <x:c r="F76" s="35" t="str">
        <x:v>OPERATIVO / DEPARTAMENTAL</x:v>
      </x:c>
      <x:c r="G76" s="35" t="str">
        <x:v>Los 2 ejercicios de auditoría son controles; el KPI debe medir que generan correcciones.</x:v>
      </x:c>
      <x:c r="H76" s="35" t="str">
        <x:v>Hallazgos/recomendaciones de auditoría cerrados en plazo ÷ hallazgos/recomendaciones comprometidos × 100</x:v>
      </x:c>
      <x:c r="I76" s="35" t="str">
        <x:v>RATIO_PCT</x:v>
      </x:c>
      <x:c r="J76" s="35" t="str">
        <x:v>%</x:v>
      </x:c>
      <x:c r="K76" s="35" t="str">
        <x:v>↑</x:v>
      </x:c>
      <x:c r="L76" s="35" t="n">
        <x:v>75.83333333333333</x:v>
      </x:c>
      <x:c r="M76" s="35" t="n">
        <x:v>80.76923076923077</x:v>
      </x:c>
      <x:c r="N76" s="35" t="n">
        <x:v>86.33093525179856</x:v>
      </x:c>
      <x:c r="O76" s="35" t="n">
        <x:v>92</x:v>
      </x:c>
      <x:c r="P76" s="35" t="n">
        <x:v>80.97783311812088</x:v>
      </x:c>
      <x:c r="Q76" s="35" t="str">
        <x:v>≥90%</x:v>
      </x:c>
      <x:c r="R76" s="35" t="str">
        <x:v>75–89.9%</x:v>
      </x:c>
      <x:c r="S76" s="35" t="str">
        <x:v>&lt;75%</x:v>
      </x:c>
      <x:c r="T76" s="54" t="n">
        <x:f>IF(OR(P76="",P76=0,O76=""),"",IF(K76="↑",(O76-P76)/ABS(P76),IF(K76="↓",(P76-O76)/ABS(P76),IF(K76="↔",(ABS(P76)-ABS(O76))/ABS(P76),""))))</x:f>
        <x:v>0.13611338384173954</x:v>
      </x:c>
      <x:c r="U76" s="35" t="str">
        <x:f>IF(T76="","",IF(T76&gt;=0.1,"Strong improvement",IF(T76&gt;=0,"Improving",IF(T76&gt;=-0.1,"Attention","Deteriorating"))))</x:f>
        <x:v>Strong improvement</x:v>
      </x:c>
      <x:c r="V76" s="35" t="str">
        <x:v>Marketing y Comunicación</x:v>
      </x:c>
      <x:c r="W76" s="35" t="str">
        <x:v>Semestral con seguimiento mensual</x:v>
      </x:c>
      <x:c r="X76" s="35" t="str">
        <x:v>Registros del área / evidencia del proceso</x:v>
      </x:c>
      <x:c r="Y76" s="35" t="str">
        <x:v>Documento firmado/aprobado, acuse o evidencia de cierre.</x:v>
      </x:c>
      <x:c r="Z76" s="35" t="str">
        <x:v>Leading/Lagging</x:v>
      </x:c>
      <x:c r="AA76" s="35" t="str">
        <x:v>Manual / por definir</x:v>
      </x:c>
      <x:c r="AB76" s="35" t="str">
        <x:v>Revisar desviación y definir acción correctiva cuando no se alcance la meta.</x:v>
      </x:c>
      <x:c r="AC76" s="35" t="str">
        <x:v>Auditoría independiente del owner de la acción; evidencia objetiva de cierre.</x:v>
      </x:c>
      <x:c r="AD76" s="35" t="str">
        <x:v>MKT-016_NUM | MKT-016_DEN</x:v>
      </x:c>
      <x:c r="AE76" s="35" t="str">
        <x:v>Hallazgos/recomendaciones de auditoría cerrados en plazo = 138 # / base; hallazgos/recomendaciones comprometidos = 150 # / base</x:v>
      </x:c>
      <x:c r="AF76" s="35" t="str">
        <x:v>MKT-015 | REC-L01 | MKT-002 | ADM-001 | MKT-001 | MKT-004 | ADM-004 | ADM-002</x:v>
      </x:c>
      <x:c r="AG76" s="35" t="str">
        <x:v>Top-8 heuristic: same strategic objective &gt; strategic-map adjacency &gt; same department &gt; same BSC perspective.</x:v>
      </x:c>
      <x:c r="AH76" s="35" t="str">
        <x:v>YES</x:v>
      </x:c>
      <x:c r="AI76" s="35" t="str">
        <x:v>PROTOTYPE ONLY — human review required</x:v>
      </x:c>
    </x:row>
    <x:row r="77">
      <x:c r="A77" s="35" t="str">
        <x:v>OPS-010B</x:v>
      </x:c>
      <x:c r="B77" s="35" t="str">
        <x:v>Cobertura de acceso al suplemento nutricional</x:v>
      </x:c>
      <x:c r="C77" s="35" t="str">
        <x:v>Operaciones</x:v>
      </x:c>
      <x:c r="D77" s="35" t="str">
        <x:v>Resultados estratégicos</x:v>
      </x:c>
      <x:c r="E77" s="35" t="str">
        <x:v>S1. Generar impacto integral y medible</x:v>
      </x:c>
      <x:c r="F77" s="35" t="str">
        <x:v>ESTRATÉGICO / DEPARTAMENTAL</x:v>
      </x:c>
      <x:c r="G77" s="35" t="str">
        <x:v>Medir acceso efectivo al suplemento de forma separada del cambio en actividad física.</x:v>
      </x:c>
      <x:c r="H77" s="35" t="str">
        <x:v>Participantes elegibles con acceso efectivo al suplemento ÷ participantes elegibles × 100</x:v>
      </x:c>
      <x:c r="I77" s="35" t="str">
        <x:v>RATIO_PCT</x:v>
      </x:c>
      <x:c r="J77" s="35" t="str">
        <x:v>%</x:v>
      </x:c>
      <x:c r="K77" s="35" t="str">
        <x:v>↑</x:v>
      </x:c>
      <x:c r="L77" s="35" t="n">
        <x:v>84</x:v>
      </x:c>
      <x:c r="M77" s="35" t="n">
        <x:v>88.88888888888889</x:v>
      </x:c>
      <x:c r="N77" s="35" t="n">
        <x:v>93.96551724137932</x:v>
      </x:c>
      <x:c r="O77" s="35" t="n">
        <x:v>100</x:v>
      </x:c>
      <x:c r="P77" s="35" t="n">
        <x:v>88.9514687100894</x:v>
      </x:c>
      <x:c r="Q77" s="35" t="str">
        <x:v>100%</x:v>
      </x:c>
      <x:c r="R77" s="35" t="str">
        <x:v>95–99.9%</x:v>
      </x:c>
      <x:c r="S77" s="35" t="str">
        <x:v>&lt;95%</x:v>
      </x:c>
      <x:c r="T77" s="54" t="n">
        <x:f>IF(OR(P77="",P77=0,O77=""),"",IF(K77="↑",(O77-P77)/ABS(P77),IF(K77="↓",(P77-O77)/ABS(P77),IF(K77="↔",(ABS(P77)-ABS(O77))/ABS(P77),""))))</x:f>
        <x:v>0.12420853135005526</x:v>
      </x:c>
      <x:c r="U77" s="35" t="str">
        <x:f>IF(T77="","",IF(T77&gt;=0.1,"Strong improvement",IF(T77&gt;=0,"Improving",IF(T77&gt;=-0.1,"Attention","Deteriorating"))))</x:f>
        <x:v>Strong improvement</x:v>
      </x:c>
      <x:c r="V77" s="35" t="str">
        <x:v>Operaciones</x:v>
      </x:c>
      <x:c r="W77" s="35" t="str">
        <x:v>Por cohorte</x:v>
      </x:c>
      <x:c r="X77" s="35" t="str">
        <x:v>Registros del área / evidencia del proceso</x:v>
      </x:c>
      <x:c r="Y77" s="35" t="str">
        <x:v>Registro fuente, reporte del sistema y evidencia documental de respaldo.</x:v>
      </x:c>
      <x:c r="Z77" s="35" t="str">
        <x:v>Lagging</x:v>
      </x:c>
      <x:c r="AA77" s="35" t="str">
        <x:v>Manual / por definir</x:v>
      </x:c>
      <x:c r="AB77" s="35" t="str">
        <x:v>Revisar desviación y definir acción correctiva cuando no se alcance la meta.</x:v>
      </x:c>
      <x:c r="AC77" s="35" t="str">
        <x:v>Requiere evidencia de entrega/dispensación; no confundir entrega con adherencia.</x:v>
      </x:c>
      <x:c r="AD77" s="35" t="str">
        <x:v>OPS-010B_NUM | OPS-010B_DEN</x:v>
      </x:c>
      <x:c r="AE77" s="35" t="str">
        <x:v>Participantes elegibles con acceso efectivo al suplemento = 125 # / base; participantes elegibles = 125 # / base</x:v>
      </x:c>
      <x:c r="AF77" s="35" t="str">
        <x:v>OPS-003 | OPS-004 | OPS-005 | REC-C02 | OPS-002 | OPS-010 | OPS-006 | REC-S01</x:v>
      </x:c>
      <x:c r="AG77" s="35" t="str">
        <x:v>Top-8 heuristic: same strategic objective &gt; strategic-map adjacency &gt; same department &gt; same BSC perspective.</x:v>
      </x:c>
      <x:c r="AH77" s="35" t="str">
        <x:v>YES</x:v>
      </x:c>
      <x:c r="AI77" s="35" t="str">
        <x:v>PROTOTYPE ONLY — human review required</x:v>
      </x:c>
    </x:row>
    <x:row r="78">
      <x:c r="A78" s="35" t="str">
        <x:v>REC-S01</x:v>
      </x:c>
      <x:c r="B78" s="35" t="str">
        <x:v>Programas que alcanzan su meta principal de impacto</x:v>
      </x:c>
      <x:c r="C78" s="35" t="str">
        <x:v>Dirección + Operaciones</x:v>
      </x:c>
      <x:c r="D78" s="35" t="str">
        <x:v>Resultados estratégicos</x:v>
      </x:c>
      <x:c r="E78" s="35" t="str">
        <x:v>S1. Generar impacto integral y medible</x:v>
      </x:c>
      <x:c r="F78" s="35" t="str">
        <x:v>BSC EJECUTIVO</x:v>
      </x:c>
      <x:c r="G78" s="35" t="str">
        <x:v>Resumen ejecutivo de efectividad programática sin mezclar todos los outcomes en un promedio opaco.</x:v>
      </x:c>
      <x:c r="H78" s="35" t="str">
        <x:v>Programas evaluados que alcanzan el outcome primario definido ÷ programas evaluados con datos válidos × 100</x:v>
      </x:c>
      <x:c r="I78" s="35" t="str">
        <x:v>RATIO_PCT</x:v>
      </x:c>
      <x:c r="J78" s="35" t="str">
        <x:v>%</x:v>
      </x:c>
      <x:c r="K78" s="35" t="str">
        <x:v>↑</x:v>
      </x:c>
      <x:c r="L78" s="35" t="n">
        <x:v>75</x:v>
      </x:c>
      <x:c r="M78" s="35" t="n">
        <x:v>84.61538461538461</x:v>
      </x:c>
      <x:c r="N78" s="35" t="n">
        <x:v>85.71428571428571</x:v>
      </x:c>
      <x:c r="O78" s="35" t="n">
        <x:v>93.33333333333333</x:v>
      </x:c>
      <x:c r="P78" s="35" t="n">
        <x:v>81.77655677655677</x:v>
      </x:c>
      <x:c r="Q78" s="35" t="str">
        <x:v>≥90%</x:v>
      </x:c>
      <x:c r="R78" s="35" t="str">
        <x:v>80–89.9%</x:v>
      </x:c>
      <x:c r="S78" s="35" t="str">
        <x:v>&lt;80%</x:v>
      </x:c>
      <x:c r="T78" s="54" t="n">
        <x:f>IF(OR(P78="",P78=0,O78=""),"",IF(K78="↑",(O78-P78)/ABS(P78),IF(K78="↓",(P78-O78)/ABS(P78),IF(K78="↔",(ABS(P78)-ABS(O78))/ABS(P78),""))))</x:f>
        <x:v>0.14132138857782753</x:v>
      </x:c>
      <x:c r="U78" s="35" t="str">
        <x:f>IF(T78="","",IF(T78&gt;=0.1,"Strong improvement",IF(T78&gt;=0,"Improving",IF(T78&gt;=-0.1,"Attention","Deteriorating"))))</x:f>
        <x:v>Strong improvement</x:v>
      </x:c>
      <x:c r="V78" s="35" t="str">
        <x:v>Dirección de Operaciones</x:v>
      </x:c>
      <x:c r="W78" s="35" t="str">
        <x:v>Trimestral/Anual</x:v>
      </x:c>
      <x:c r="X78" s="35" t="str">
        <x:v>Sistema de M&amp;E / fichas de programa</x:v>
      </x:c>
      <x:c r="Y78" s="35" t="str">
        <x:v>Evaluaciones pre/post, informes de resultados</x:v>
      </x:c>
      <x:c r="Z78" s="35" t="str">
        <x:v>Lagging</x:v>
      </x:c>
      <x:c r="AA78" s="35" t="str">
        <x:v>Semi-automatizado</x:v>
      </x:c>
      <x:c r="AB78" s="35" t="str">
        <x:v>Analizar programas fuera de meta, definir causa y plan de mejora.</x:v>
      </x:c>
      <x:c r="AC78" s="35" t="str">
        <x:v>Outcome primario y meta se fijan antes de ejecutar cada programa.</x:v>
      </x:c>
      <x:c r="AD78" s="35" t="str">
        <x:v>REC-S01_NUM | REC-S01_DEN</x:v>
      </x:c>
      <x:c r="AE78" s="35" t="str">
        <x:v>Programas evaluados que alcanzan el outcome primario definido = 14 # / base; programas evaluados con datos válidos = 15 # / base</x:v>
      </x:c>
      <x:c r="AF78" s="35" t="str">
        <x:v>OPS-003 | OPS-004 | OPS-005 | REC-C02 | MKT-002 | OPS-010 | OPS-010B | OPS-002</x:v>
      </x:c>
      <x:c r="AG78" s="35" t="str">
        <x:v>Top-8 heuristic: same strategic objective &gt; strategic-map adjacency &gt; same department &gt; same BSC perspective.</x:v>
      </x:c>
      <x:c r="AH78" s="35" t="str">
        <x:v>YES</x:v>
      </x:c>
      <x:c r="AI78" s="35" t="str">
        <x:v>PROTOTYPE ONLY — human review required</x:v>
      </x:c>
    </x:row>
    <x:row r="79">
      <x:c r="A79" s="35" t="str">
        <x:v>REC-S02</x:v>
      </x:c>
      <x:c r="B79" s="35" t="str">
        <x:v>Cumplimiento de cobertura total de beneficiarios</x:v>
      </x:c>
      <x:c r="C79" s="35" t="str">
        <x:v>Operaciones</x:v>
      </x:c>
      <x:c r="D79" s="35" t="str">
        <x:v>Resultados estratégicos</x:v>
      </x:c>
      <x:c r="E79" s="35" t="str">
        <x:v>S2. Ampliar alcance geográfico y poblacional</x:v>
      </x:c>
      <x:c r="F79" s="35" t="str">
        <x:v>BSC EJECUTIVO</x:v>
      </x:c>
      <x:c r="G79" s="35" t="str">
        <x:v>Medir alcance agregado contra plan, evitando usar sólo conteos absolutos.</x:v>
      </x:c>
      <x:c r="H79" s="35" t="str">
        <x:v>Beneficiarios atendidos válidos ÷ beneficiarios programados consolidados × 100</x:v>
      </x:c>
      <x:c r="I79" s="35" t="str">
        <x:v>RATIO_PCT</x:v>
      </x:c>
      <x:c r="J79" s="35" t="str">
        <x:v>%</x:v>
      </x:c>
      <x:c r="K79" s="35" t="str">
        <x:v>↑</x:v>
      </x:c>
      <x:c r="L79" s="35" t="n">
        <x:v>79</x:v>
      </x:c>
      <x:c r="M79" s="35" t="n">
        <x:v>83.9506172839506</x:v>
      </x:c>
      <x:c r="N79" s="35" t="n">
        <x:v>88.98467432950191</x:v>
      </x:c>
      <x:c r="O79" s="35" t="n">
        <x:v>96</x:v>
      </x:c>
      <x:c r="P79" s="35" t="n">
        <x:v>83.97843053781752</x:v>
      </x:c>
      <x:c r="Q79" s="35" t="str">
        <x:v>≥95%</x:v>
      </x:c>
      <x:c r="R79" s="35" t="str">
        <x:v>85–94.9%</x:v>
      </x:c>
      <x:c r="S79" s="35" t="str">
        <x:v>&lt;85%</x:v>
      </x:c>
      <x:c r="T79" s="54" t="n">
        <x:f>IF(OR(P79="",P79=0,O79=""),"",IF(K79="↑",(O79-P79)/ABS(P79),IF(K79="↓",(P79-O79)/ABS(P79),IF(K79="↔",(ABS(P79)-ABS(O79))/ABS(P79),""))))</x:f>
        <x:v>0.14315068030199588</x:v>
      </x:c>
      <x:c r="U79" s="35" t="str">
        <x:f>IF(T79="","",IF(T79&gt;=0.1,"Strong improvement",IF(T79&gt;=0,"Improving",IF(T79&gt;=-0.1,"Attention","Deteriorating"))))</x:f>
        <x:v>Strong improvement</x:v>
      </x:c>
      <x:c r="V79" s="35" t="str">
        <x:v>Operaciones</x:v>
      </x:c>
      <x:c r="W79" s="35" t="str">
        <x:v>Mensual/Trimestral</x:v>
      </x:c>
      <x:c r="X79" s="35" t="str">
        <x:v>Registro único de beneficiarios</x:v>
      </x:c>
      <x:c r="Y79" s="35" t="str">
        <x:v>Listas depuradas de beneficiarios</x:v>
      </x:c>
      <x:c r="Z79" s="35" t="str">
        <x:v>Leading</x:v>
      </x:c>
      <x:c r="AA79" s="35" t="str">
        <x:v>Automatizado/Semi</x:v>
      </x:c>
      <x:c r="AB79" s="35" t="str">
        <x:v>Revisar capacidad, captación, sedes y barreras de acceso.</x:v>
      </x:c>
      <x:c r="AC79" s="35" t="str">
        <x:v>Definir regla de beneficiario único y reportar participaciones por separado.</x:v>
      </x:c>
      <x:c r="AD79" s="35" t="str">
        <x:v>REC-S02_NUM | REC-S02_DEN</x:v>
      </x:c>
      <x:c r="AE79" s="35" t="str">
        <x:v>Beneficiarios atendidos válidos = 1,080 # / base; beneficiarios programados consolidados = 1,125 # / base</x:v>
      </x:c>
      <x:c r="AF79" s="35" t="str">
        <x:v>OPS-001 | REC-C01 | REC-P01 | OPS-002 | OPS-008 | OPS-003 | OPS-012 | OPS-013</x:v>
      </x:c>
      <x:c r="AG79" s="35" t="str">
        <x:v>Top-8 heuristic: same strategic objective &gt; strategic-map adjacency &gt; same department &gt; same BSC perspective.</x:v>
      </x:c>
      <x:c r="AH79" s="35" t="str">
        <x:v>YES</x:v>
      </x:c>
      <x:c r="AI79" s="35" t="str">
        <x:v>PROTOTYPE ONLY — human review required</x:v>
      </x:c>
    </x:row>
    <x:row r="80">
      <x:c r="A80" s="35" t="str">
        <x:v>REC-S03</x:v>
      </x:c>
      <x:c r="B80" s="35" t="str">
        <x:v>Cobertura financiera del plan operativo</x:v>
      </x:c>
      <x:c r="C80" s="35" t="str">
        <x:v>Dirección</x:v>
      </x:c>
      <x:c r="D80" s="35" t="str">
        <x:v>Resultados estratégicos</x:v>
      </x:c>
      <x:c r="E80" s="35" t="str">
        <x:v>S3. Construir un modelo sostenible y escalable</x:v>
      </x:c>
      <x:c r="F80" s="35" t="str">
        <x:v>BSC EJECUTIVO</x:v>
      </x:c>
      <x:c r="G80" s="35" t="str">
        <x:v>Reemplazar un índice compuesto subjetivo por una medida objetiva de sostenibilidad financiera.</x:v>
      </x:c>
      <x:c r="H80" s="35" t="str">
        <x:v>Recursos disponibles/comprometidos elegibles para operación ÷ gasto operativo proyectado del horizonte × 100</x:v>
      </x:c>
      <x:c r="I80" s="35" t="str">
        <x:v>RATIO_PCT</x:v>
      </x:c>
      <x:c r="J80" s="35" t="str">
        <x:v>%</x:v>
      </x:c>
      <x:c r="K80" s="35" t="str">
        <x:v>↑</x:v>
      </x:c>
      <x:c r="L80" s="35" t="n">
        <x:v>82</x:v>
      </x:c>
      <x:c r="M80" s="35" t="n">
        <x:v>89.81481481481481</x:v>
      </x:c>
      <x:c r="N80" s="35" t="n">
        <x:v>95.6896551724138</x:v>
      </x:c>
      <x:c r="O80" s="35" t="n">
        <x:v>104</x:v>
      </x:c>
      <x:c r="P80" s="35" t="n">
        <x:v>89.16815666240954</x:v>
      </x:c>
      <x:c r="Q80" s="35" t="str">
        <x:v>≥100% para horizonte definido</x:v>
      </x:c>
      <x:c r="R80" s="35" t="str">
        <x:v>90–99.9%</x:v>
      </x:c>
      <x:c r="S80" s="35" t="str">
        <x:v>&lt;90%</x:v>
      </x:c>
      <x:c r="T80" s="54" t="n">
        <x:f>IF(OR(P80="",P80=0,O80=""),"",IF(K80="↑",(O80-P80)/ABS(P80),IF(K80="↓",(P80-O80)/ABS(P80),IF(K80="↔",(ABS(P80)-ABS(O80))/ABS(P80),""))))</x:f>
        <x:v>0.1663356504468718</x:v>
      </x:c>
      <x:c r="U80" s="35" t="str">
        <x:f>IF(T80="","",IF(T80&gt;=0.1,"Strong improvement",IF(T80&gt;=0,"Improving",IF(T80&gt;=-0.1,"Attention","Deteriorating"))))</x:f>
        <x:v>Strong improvement</x:v>
      </x:c>
      <x:c r="V80" s="35" t="str">
        <x:v>Dirección General</x:v>
      </x:c>
      <x:c r="W80" s="35" t="str">
        <x:v>Trimestral</x:v>
      </x:c>
      <x:c r="X80" s="35" t="str">
        <x:v>BSC / KPI Center</x:v>
      </x:c>
      <x:c r="Y80" s="35" t="str">
        <x:v>KPIs subyacentes auditables</x:v>
      </x:c>
      <x:c r="Z80" s="35" t="str">
        <x:v>Leading/Lagging</x:v>
      </x:c>
      <x:c r="AA80" s="35" t="str">
        <x:v>Automatizado</x:v>
      </x:c>
      <x:c r="AB80" s="35" t="str">
        <x:v>Identificar subíndice que explica deterioro y crear acción correctiva.</x:v>
      </x:c>
      <x:c r="AC80" s="35" t="str">
        <x:v>No incluir ingresos altamente inciertos como disponibles; separar committed, probable y pipeline.</x:v>
      </x:c>
      <x:c r="AD80" s="35" t="str">
        <x:v>REC-S03_NUM | REC-S03_DEN</x:v>
      </x:c>
      <x:c r="AE80" s="35" t="str">
        <x:v>Recursos disponibles/comprometidos elegibles para operación = 130.00 Moneda; gasto operativo proyectado del horizonte = 125.00 Moneda</x:v>
      </x:c>
      <x:c r="AF80" s="35" t="str">
        <x:v>ADM-006 | ADM-008 | OPS-001 | ADM-010 | FND-010 | FND-012 | LEG-003 | LEG-010</x:v>
      </x:c>
      <x:c r="AG80" s="35" t="str">
        <x:v>Top-8 heuristic: same strategic objective &gt; strategic-map adjacency &gt; same department &gt; same BSC perspective.</x:v>
      </x:c>
      <x:c r="AH80" s="35" t="str">
        <x:v>YES</x:v>
      </x:c>
      <x:c r="AI80" s="35" t="str">
        <x:v>PROTOTYPE ONLY — human review required</x:v>
      </x:c>
    </x:row>
    <x:row r="81">
      <x:c r="A81" s="35" t="str">
        <x:v>REC-C01</x:v>
      </x:c>
      <x:c r="B81" s="35" t="str">
        <x:v>Tasa de finalización/retención de participantes</x:v>
      </x:c>
      <x:c r="C81" s="35" t="str">
        <x:v>Operaciones</x:v>
      </x:c>
      <x:c r="D81" s="35" t="str">
        <x:v>Beneficiarios y grupos de interés</x:v>
      </x:c>
      <x:c r="E81" s="35" t="str">
        <x:v>C1. Incrementar alcance y acceso</x:v>
      </x:c>
      <x:c r="F81" s="35" t="str">
        <x:v>ESTRATÉGICO / TRANSVERSAL</x:v>
      </x:c>
      <x:c r="G81" s="35" t="str">
        <x:v>Complementa asistencia con permanencia real hasta el cierre del programa.</x:v>
      </x:c>
      <x:c r="H81" s="35" t="str">
        <x:v>Participantes que completan el ciclo definido ÷ participantes que iniciaron el ciclo × 100</x:v>
      </x:c>
      <x:c r="I81" s="35" t="str">
        <x:v>RATIO_PCT</x:v>
      </x:c>
      <x:c r="J81" s="35" t="str">
        <x:v>%</x:v>
      </x:c>
      <x:c r="K81" s="35" t="str">
        <x:v>↑</x:v>
      </x:c>
      <x:c r="L81" s="35" t="n">
        <x:v>71</x:v>
      </x:c>
      <x:c r="M81" s="35" t="n">
        <x:v>76.02880658436214</x:v>
      </x:c>
      <x:c r="N81" s="35" t="n">
        <x:v>81.03448275862068</x:v>
      </x:c>
      <x:c r="O81" s="35" t="n">
        <x:v>87.02222222222223</x:v>
      </x:c>
      <x:c r="P81" s="35" t="n">
        <x:v>76.02109644766095</x:v>
      </x:c>
      <x:c r="Q81" s="35" t="str">
        <x:v>≥85%</x:v>
      </x:c>
      <x:c r="R81" s="35" t="str">
        <x:v>75–84.9%</x:v>
      </x:c>
      <x:c r="S81" s="35" t="str">
        <x:v>&lt;75%</x:v>
      </x:c>
      <x:c r="T81" s="54" t="n">
        <x:f>IF(OR(P81="",P81=0,O81=""),"",IF(K81="↑",(O81-P81)/ABS(P81),IF(K81="↓",(P81-O81)/ABS(P81),IF(K81="↔",(ABS(P81)-ABS(O81))/ABS(P81),""))))</x:f>
        <x:v>0.14471148521430935</x:v>
      </x:c>
      <x:c r="U81" s="35" t="str">
        <x:f>IF(T81="","",IF(T81&gt;=0.1,"Strong improvement",IF(T81&gt;=0,"Improving",IF(T81&gt;=-0.1,"Attention","Deteriorating"))))</x:f>
        <x:v>Strong improvement</x:v>
      </x:c>
      <x:c r="V81" s="35" t="str">
        <x:v>Operaciones</x:v>
      </x:c>
      <x:c r="W81" s="35" t="str">
        <x:v>Mensual/Cierre</x:v>
      </x:c>
      <x:c r="X81" s="35" t="str">
        <x:v>Registro de asistencia</x:v>
      </x:c>
      <x:c r="Y81" s="35" t="str">
        <x:v>Listas de asistencia</x:v>
      </x:c>
      <x:c r="Z81" s="35" t="str">
        <x:v>Leading</x:v>
      </x:c>
      <x:c r="AA81" s="35" t="str">
        <x:v>Semi-automatizado</x:v>
      </x:c>
      <x:c r="AB81" s="35" t="str">
        <x:v>Investigar abandono por sede, programa, edad y barrera.</x:v>
      </x:c>
      <x:c r="AC81" s="35" t="str">
        <x:v>No excluir abandonos del denominador salvo criterios predefinidos.</x:v>
      </x:c>
      <x:c r="AD81" s="35" t="str">
        <x:v>REC-C01_NUM | REC-C01_DEN</x:v>
      </x:c>
      <x:c r="AE81" s="35" t="str">
        <x:v>Participantes que completan el ciclo definido = 979 # / base; participantes que iniciaron el ciclo = 1,125 # / base</x:v>
      </x:c>
      <x:c r="AF81" s="35" t="str">
        <x:v>OPS-002 | OPS-008 | OPS-013 | REC-P01 | REC-S02 | OPS-014 | OPS-015 | OPS-006</x:v>
      </x:c>
      <x:c r="AG81" s="35" t="str">
        <x:v>Top-8 heuristic: same strategic objective &gt; strategic-map adjacency &gt; same department &gt; same BSC perspective.</x:v>
      </x:c>
      <x:c r="AH81" s="35" t="str">
        <x:v>YES</x:v>
      </x:c>
      <x:c r="AI81" s="35" t="str">
        <x:v>PROTOTYPE ONLY — human review required</x:v>
      </x:c>
    </x:row>
    <x:row r="82">
      <x:c r="A82" s="35" t="str">
        <x:v>REC-C02</x:v>
      </x:c>
      <x:c r="B82" s="35" t="str">
        <x:v>Beneficiarios con mejora significativa en el outcome principal</x:v>
      </x:c>
      <x:c r="C82" s="35" t="str">
        <x:v>Operaciones</x:v>
      </x:c>
      <x:c r="D82" s="35" t="str">
        <x:v>Beneficiarios y grupos de interés</x:v>
      </x:c>
      <x:c r="E82" s="35" t="str">
        <x:v>C2. Mejorar resultados obtenidos</x:v>
      </x:c>
      <x:c r="F82" s="35" t="str">
        <x:v>ESTRATÉGICO / TRANSVERSAL</x:v>
      </x:c>
      <x:c r="G82" s="35" t="str">
        <x:v>Medir proporción de personas que mejoran, no un índice agregado difícil de interpretar.</x:v>
      </x:c>
      <x:c r="H82" s="35" t="str">
        <x:v>Beneficiarios con mejora que supera el umbral definido ÷ beneficiarios con medición pre/post válida × 100</x:v>
      </x:c>
      <x:c r="I82" s="35" t="str">
        <x:v>RATIO_PCT</x:v>
      </x:c>
      <x:c r="J82" s="35" t="str">
        <x:v>%</x:v>
      </x:c>
      <x:c r="K82" s="35" t="str">
        <x:v>↑</x:v>
      </x:c>
      <x:c r="L82" s="35" t="n">
        <x:v>68</x:v>
      </x:c>
      <x:c r="M82" s="35" t="n">
        <x:v>73.97119341563786</x:v>
      </x:c>
      <x:c r="N82" s="35" t="n">
        <x:v>81.03448275862068</x:v>
      </x:c>
      <x:c r="O82" s="35" t="n">
        <x:v>88</x:v>
      </x:c>
      <x:c r="P82" s="35" t="n">
        <x:v>74.33522539141951</x:v>
      </x:c>
      <x:c r="Q82" s="35" t="str">
        <x:v>Definir por programa tras baseline</x:v>
      </x:c>
      <x:c r="R82" s="35" t="str">
        <x:v>Por programa</x:v>
      </x:c>
      <x:c r="S82" s="35" t="str">
        <x:v>Por programa</x:v>
      </x:c>
      <x:c r="T82" s="54" t="n">
        <x:f>IF(OR(P82="",P82=0,O82=""),"",IF(K82="↑",(O82-P82)/ABS(P82),IF(K82="↓",(P82-O82)/ABS(P82),IF(K82="↔",(ABS(P82)-ABS(O82))/ABS(P82),""))))</x:f>
        <x:v>0.18382636948535852</x:v>
      </x:c>
      <x:c r="U82" s="35" t="str">
        <x:f>IF(T82="","",IF(T82&gt;=0.1,"Strong improvement",IF(T82&gt;=0,"Improving",IF(T82&gt;=-0.1,"Attention","Deteriorating"))))</x:f>
        <x:v>Strong improvement</x:v>
      </x:c>
      <x:c r="V82" s="35" t="str">
        <x:v>Operaciones / M&amp;E</x:v>
      </x:c>
      <x:c r="W82" s="35" t="str">
        <x:v>Cierre de programa</x:v>
      </x:c>
      <x:c r="X82" s="35" t="str">
        <x:v>Evaluaciones pre/post</x:v>
      </x:c>
      <x:c r="Y82" s="35" t="str">
        <x:v>Instrumentos validados y bases pre/post</x:v>
      </x:c>
      <x:c r="Z82" s="35" t="str">
        <x:v>Lagging</x:v>
      </x:c>
      <x:c r="AA82" s="35" t="str">
        <x:v>Semi-automatizado</x:v>
      </x:c>
      <x:c r="AB82" s="35" t="str">
        <x:v>Revisar diseño de intervención cuando un outcome no mejora.</x:v>
      </x:c>
      <x:c r="AC82" s="35" t="str">
        <x:v>Umbral de mejora definido ex ante; reportar missing data y tamaño de muestra.</x:v>
      </x:c>
      <x:c r="AD82" s="35" t="str">
        <x:v>REC-C02_NUM | REC-C02_DEN</x:v>
      </x:c>
      <x:c r="AE82" s="35" t="str">
        <x:v>Beneficiarios con mejora que supera el umbral definido = 990 # / base; beneficiarios con medición pre/post válida = 1,125 # / base</x:v>
      </x:c>
      <x:c r="AF82" s="35" t="str">
        <x:v>OPS-006 | OPS-003 | OPS-004 | OPS-005 | OPS-010 | OPS-002 | OPS-010B | OPS-009</x:v>
      </x:c>
      <x:c r="AG82" s="35" t="str">
        <x:v>Top-8 heuristic: same strategic objective &gt; strategic-map adjacency &gt; same department &gt; same BSC perspective.</x:v>
      </x:c>
      <x:c r="AH82" s="35" t="str">
        <x:v>YES</x:v>
      </x:c>
      <x:c r="AI82" s="35" t="str">
        <x:v>PROTOTYPE ONLY — human review required</x:v>
      </x:c>
    </x:row>
    <x:row r="83">
      <x:c r="A83" s="35" t="str">
        <x:v>REC-C03</x:v>
      </x:c>
      <x:c r="B83" s="35" t="str">
        <x:v>Cumplimiento institucional en plazo</x:v>
      </x:c>
      <x:c r="C83" s="35" t="str">
        <x:v>Dirección + Jurídico</x:v>
      </x:c>
      <x:c r="D83" s="35" t="str">
        <x:v>Beneficiarios y grupos de interés</x:v>
      </x:c>
      <x:c r="E83" s="35" t="str">
        <x:v>C3. Fortalecer confianza y credibilidad institucional</x:v>
      </x:c>
      <x:c r="F83" s="35" t="str">
        <x:v>BSC EJECUTIVO</x:v>
      </x:c>
      <x:c r="G83" s="35" t="str">
        <x:v>Indicador ejecutivo de confianza, compliance y continuidad institucional.</x:v>
      </x:c>
      <x:c r="H83" s="35" t="str">
        <x:v>Obligaciones regulatorias/acreditaciones críticas cumplidas en plazo ÷ obligaciones exigibles × 100</x:v>
      </x:c>
      <x:c r="I83" s="35" t="str">
        <x:v>RATIO_PCT</x:v>
      </x:c>
      <x:c r="J83" s="35" t="str">
        <x:v>%</x:v>
      </x:c>
      <x:c r="K83" s="35" t="str">
        <x:v>↑</x:v>
      </x:c>
      <x:c r="L83" s="35" t="n">
        <x:v>84</x:v>
      </x:c>
      <x:c r="M83" s="35" t="n">
        <x:v>88.88888888888889</x:v>
      </x:c>
      <x:c r="N83" s="35" t="n">
        <x:v>93.96551724137932</x:v>
      </x:c>
      <x:c r="O83" s="35" t="n">
        <x:v>100</x:v>
      </x:c>
      <x:c r="P83" s="35" t="n">
        <x:v>88.9514687100894</x:v>
      </x:c>
      <x:c r="Q83" s="35" t="str">
        <x:v>100%</x:v>
      </x:c>
      <x:c r="R83" s="35" t="str">
        <x:v>&lt;100% con obligaciones próximas</x:v>
      </x:c>
      <x:c r="S83" s="35" t="str">
        <x:v>Cualquier obligación vencida</x:v>
      </x:c>
      <x:c r="T83" s="54" t="n">
        <x:f>IF(OR(P83="",P83=0,O83=""),"",IF(K83="↑",(O83-P83)/ABS(P83),IF(K83="↓",(P83-O83)/ABS(P83),IF(K83="↔",(ABS(P83)-ABS(O83))/ABS(P83),""))))</x:f>
        <x:v>0.12420853135005526</x:v>
      </x:c>
      <x:c r="U83" s="35" t="str">
        <x:f>IF(T83="","",IF(T83&gt;=0.1,"Strong improvement",IF(T83&gt;=0,"Improving",IF(T83&gt;=-0.1,"Attention","Deteriorating"))))</x:f>
        <x:v>Strong improvement</x:v>
      </x:c>
      <x:c r="V83" s="35" t="str">
        <x:v>Jurídico</x:v>
      </x:c>
      <x:c r="W83" s="35" t="str">
        <x:v>Mensual</x:v>
      </x:c>
      <x:c r="X83" s="35" t="str">
        <x:v>Calendario de cumplimiento / Jurídico</x:v>
      </x:c>
      <x:c r="Y83" s="35" t="str">
        <x:v>Acuses, informes, certificaciones</x:v>
      </x:c>
      <x:c r="Z83" s="35" t="str">
        <x:v>Leading</x:v>
      </x:c>
      <x:c r="AA83" s="35" t="str">
        <x:v>Automatizado/Semi</x:v>
      </x:c>
      <x:c r="AB83" s="35" t="str">
        <x:v>Escalar obligaciones vencidas o en riesgo antes de la fecha límite.</x:v>
      </x:c>
      <x:c r="AC83" s="35" t="str">
        <x:v>Inventario legal completo y validado periódicamente; no eliminar obligaciones del denominador.</x:v>
      </x:c>
      <x:c r="AD83" s="35" t="str">
        <x:v>REC-C03_NUM | REC-C03_DEN</x:v>
      </x:c>
      <x:c r="AE83" s="35" t="str">
        <x:v>Obligaciones regulatorias/acreditaciones críticas cumplidas en plazo = 125 # / base; obligaciones exigibles = 125 # / base</x:v>
      </x:c>
      <x:c r="AF83" s="35" t="str">
        <x:v>REC-M03 | ADM-006 | ADM-008 | REC-P02 | REC-P04 | ADM-010 | LEG-010 | LEG-012</x:v>
      </x:c>
      <x:c r="AG83" s="35" t="str">
        <x:v>Top-8 heuristic: same strategic objective &gt; strategic-map adjacency &gt; same department &gt; same BSC perspective.</x:v>
      </x:c>
      <x:c r="AH83" s="35" t="str">
        <x:v>YES</x:v>
      </x:c>
      <x:c r="AI83" s="35" t="str">
        <x:v>PROTOTYPE ONLY — human review required</x:v>
      </x:c>
    </x:row>
    <x:row r="84">
      <x:c r="A84" s="35" t="str">
        <x:v>REC-C04</x:v>
      </x:c>
      <x:c r="B84" s="35" t="str">
        <x:v>Retención de aliados estratégicos activos</x:v>
      </x:c>
      <x:c r="C84" s="35" t="str">
        <x:v>Procuración de Fondos</x:v>
      </x:c>
      <x:c r="D84" s="35" t="str">
        <x:v>Beneficiarios y grupos de interés</x:v>
      </x:c>
      <x:c r="E84" s="35" t="str">
        <x:v>C4. Fortalecer relación con donantes, aliados y comunidades</x:v>
      </x:c>
      <x:c r="F84" s="35" t="str">
        <x:v>BSC EJECUTIVO</x:v>
      </x:c>
      <x:c r="G84" s="35" t="str">
        <x:v>Separar relación con aliados de la retención de donantes recurrentes, que vive en Finanzas/Procuración.</x:v>
      </x:c>
      <x:c r="H84" s="35" t="str">
        <x:v>Aliados estratégicos elegibles que renuevan/continúan una colaboración activa ÷ aliados elegibles × 100</x:v>
      </x:c>
      <x:c r="I84" s="35" t="str">
        <x:v>RATIO_PCT</x:v>
      </x:c>
      <x:c r="J84" s="35" t="str">
        <x:v>%</x:v>
      </x:c>
      <x:c r="K84" s="35" t="str">
        <x:v>↑</x:v>
      </x:c>
      <x:c r="L84" s="35" t="n">
        <x:v>68</x:v>
      </x:c>
      <x:c r="M84" s="35" t="n">
        <x:v>74.07407407407408</x:v>
      </x:c>
      <x:c r="N84" s="35" t="n">
        <x:v>81.03448275862068</x:v>
      </x:c>
      <x:c r="O84" s="35" t="n">
        <x:v>88</x:v>
      </x:c>
      <x:c r="P84" s="35" t="n">
        <x:v>74.36951894423159</x:v>
      </x:c>
      <x:c r="Q84" s="35" t="str">
        <x:v>Definir tras baseline; tendencia estable/creciente</x:v>
      </x:c>
      <x:c r="R84" s="35" t="str">
        <x:v>70–79%</x:v>
      </x:c>
      <x:c r="S84" s="35" t="str">
        <x:v>&lt;70%</x:v>
      </x:c>
      <x:c r="T84" s="54" t="n">
        <x:f>IF(OR(P84="",P84=0,O84=""),"",IF(K84="↑",(O84-P84)/ABS(P84),IF(K84="↓",(P84-O84)/ABS(P84),IF(K84="↔",(ABS(P84)-ABS(O84))/ABS(P84),""))))</x:f>
        <x:v>0.18328047900901007</x:v>
      </x:c>
      <x:c r="U84" s="35" t="str">
        <x:f>IF(T84="","",IF(T84&gt;=0.1,"Strong improvement",IF(T84&gt;=0,"Improving",IF(T84&gt;=-0.1,"Attention","Deteriorating"))))</x:f>
        <x:v>Strong improvement</x:v>
      </x:c>
      <x:c r="V84" s="35" t="str">
        <x:v>Procuración de Fondos</x:v>
      </x:c>
      <x:c r="W84" s="35" t="str">
        <x:v>Trimestral/Anual</x:v>
      </x:c>
      <x:c r="X84" s="35" t="str">
        <x:v>CRM de donantes</x:v>
      </x:c>
      <x:c r="Y84" s="35" t="str">
        <x:v>Historial de donaciones</x:v>
      </x:c>
      <x:c r="Z84" s="35" t="str">
        <x:v>Lagging</x:v>
      </x:c>
      <x:c r="AA84" s="35" t="str">
        <x:v>Automatizado</x:v>
      </x:c>
      <x:c r="AB84" s="35" t="str">
        <x:v>Crear plan de stewardship y reactivación para segmentos con baja retención.</x:v>
      </x:c>
      <x:c r="AC84" s="35" t="str">
        <x:v>Aliado retenido exige actividad o compromiso real, no sólo contacto abierto.</x:v>
      </x:c>
      <x:c r="AD84" s="35" t="str">
        <x:v>REC-C04_NUM | REC-C04_DEN</x:v>
      </x:c>
      <x:c r="AE84" s="35" t="str">
        <x:v>Aliados estratégicos elegibles que renuevan/continúan una colaboración activa = 110 # / base; aliados elegibles = 125 # / base</x:v>
      </x:c>
      <x:c r="AF84" s="35" t="str">
        <x:v>FND-010 | FND-012 | MKT-007 | REC-P07 | FND-016 | FND-001 | FND-002 | REC-C02</x:v>
      </x:c>
      <x:c r="AG84" s="35" t="str">
        <x:v>Top-8 heuristic: same strategic objective &gt; strategic-map adjacency &gt; same department &gt; same BSC perspective.</x:v>
      </x:c>
      <x:c r="AH84" s="35" t="str">
        <x:v>YES</x:v>
      </x:c>
      <x:c r="AI84" s="35" t="str">
        <x:v>PROTOTYPE ONLY — human review required</x:v>
      </x:c>
    </x:row>
    <x:row r="85">
      <x:c r="A85" s="35" t="str">
        <x:v>REC-F01</x:v>
      </x:c>
      <x:c r="B85" s="35" t="str">
        <x:v>Cumplimiento de meta total de procuración</x:v>
      </x:c>
      <x:c r="C85" s="35" t="str">
        <x:v>Procuración de Fondos</x:v>
      </x:c>
      <x:c r="D85" s="35" t="str">
        <x:v>Sostenibilidad financiera</x:v>
      </x:c>
      <x:c r="E85" s="35" t="str">
        <x:v>F1. Diversificar y aumentar fuentes</x:v>
      </x:c>
      <x:c r="F85" s="35" t="str">
        <x:v>BSC EJECUTIVO</x:v>
      </x:c>
      <x:c r="G85" s="35" t="str">
        <x:v>Vista consolidada de desempeño financiero de procuración.</x:v>
      </x:c>
      <x:c r="H85" s="35" t="str">
        <x:v>Fondos efectivamente recibidos en el periodo ÷ meta total de procuración aprobada × 100</x:v>
      </x:c>
      <x:c r="I85" s="35" t="str">
        <x:v>RATIO_PCT</x:v>
      </x:c>
      <x:c r="J85" s="35" t="str">
        <x:v>%</x:v>
      </x:c>
      <x:c r="K85" s="35" t="str">
        <x:v>↑</x:v>
      </x:c>
      <x:c r="L85" s="35" t="n">
        <x:v>84</x:v>
      </x:c>
      <x:c r="M85" s="35" t="n">
        <x:v>88.88888888888889</x:v>
      </x:c>
      <x:c r="N85" s="35" t="n">
        <x:v>93.96551724137932</x:v>
      </x:c>
      <x:c r="O85" s="35" t="n">
        <x:v>100</x:v>
      </x:c>
      <x:c r="P85" s="35" t="n">
        <x:v>88.9514687100894</x:v>
      </x:c>
      <x:c r="Q85" s="35" t="str">
        <x:v>≥100%</x:v>
      </x:c>
      <x:c r="R85" s="35" t="str">
        <x:v>90–99.9%</x:v>
      </x:c>
      <x:c r="S85" s="35" t="str">
        <x:v>&lt;90%</x:v>
      </x:c>
      <x:c r="T85" s="54" t="n">
        <x:f>IF(OR(P85="",P85=0,O85=""),"",IF(K85="↑",(O85-P85)/ABS(P85),IF(K85="↓",(P85-O85)/ABS(P85),IF(K85="↔",(ABS(P85)-ABS(O85))/ABS(P85),""))))</x:f>
        <x:v>0.12420853135005526</x:v>
      </x:c>
      <x:c r="U85" s="35" t="str">
        <x:f>IF(T85="","",IF(T85&gt;=0.1,"Strong improvement",IF(T85&gt;=0,"Improving",IF(T85&gt;=-0.1,"Attention","Deteriorating"))))</x:f>
        <x:v>Strong improvement</x:v>
      </x:c>
      <x:c r="V85" s="35" t="str">
        <x:v>Procuración de Fondos</x:v>
      </x:c>
      <x:c r="W85" s="35" t="str">
        <x:v>Mensual</x:v>
      </x:c>
      <x:c r="X85" s="35" t="str">
        <x:v>CRM + Finanzas</x:v>
      </x:c>
      <x:c r="Y85" s="35" t="str">
        <x:v>Depósitos/recibos y conciliación</x:v>
      </x:c>
      <x:c r="Z85" s="35" t="str">
        <x:v>Lagging</x:v>
      </x:c>
      <x:c r="AA85" s="35" t="str">
        <x:v>Automatizado</x:v>
      </x:c>
      <x:c r="AB85" s="35" t="str">
        <x:v>Repriorizar pipeline y campañas ante brecha.</x:v>
      </x:c>
      <x:c r="AC85" s="35" t="str">
        <x:v>Usar fondos cobrados; conciliar monedas y excluir compromisos no cobrados.</x:v>
      </x:c>
      <x:c r="AD85" s="35" t="str">
        <x:v>REC-F01_NUM | REC-F01_DEN</x:v>
      </x:c>
      <x:c r="AE85" s="35" t="str">
        <x:v>Fondos efectivamente recibidos en el periodo = 125.00 Moneda; meta total de procuración aprobada = 125 # / base</x:v>
      </x:c>
      <x:c r="AF85" s="35" t="str">
        <x:v>FND-001 | FND-002 | FND-003 | REC-P07 | FND-016 | FND-004 | FND-005 | FND-017</x:v>
      </x:c>
      <x:c r="AG85" s="35" t="str">
        <x:v>Top-8 heuristic: same strategic objective &gt; strategic-map adjacency &gt; same department &gt; same BSC perspective.</x:v>
      </x:c>
      <x:c r="AH85" s="35" t="str">
        <x:v>YES</x:v>
      </x:c>
      <x:c r="AI85" s="35" t="str">
        <x:v>PROTOTYPE ONLY — human review required</x:v>
      </x:c>
    </x:row>
    <x:row r="86">
      <x:c r="A86" s="35" t="str">
        <x:v>REC-F02</x:v>
      </x:c>
      <x:c r="B86" s="35" t="str">
        <x:v>Concentración de financiamiento en la mayor fuente</x:v>
      </x:c>
      <x:c r="C86" s="35" t="str">
        <x:v>Finanzas + Procuración de Fondos</x:v>
      </x:c>
      <x:c r="D86" s="35" t="str">
        <x:v>Sostenibilidad financiera</x:v>
      </x:c>
      <x:c r="E86" s="35" t="str">
        <x:v>F1. Diversificar y aumentar fuentes</x:v>
      </x:c>
      <x:c r="F86" s="35" t="str">
        <x:v>ESTRATÉGICO / TRANSVERSAL</x:v>
      </x:c>
      <x:c r="G86" s="35" t="str">
        <x:v>Medir dependencia financiera y riesgo de concentración.</x:v>
      </x:c>
      <x:c r="H86" s="35" t="str">
        <x:v>Ingresos provenientes de la mayor fuente/donante/grupo ÷ ingresos totales de financiamiento × 100</x:v>
      </x:c>
      <x:c r="I86" s="35" t="str">
        <x:v>RATIO_PCT</x:v>
      </x:c>
      <x:c r="J86" s="35" t="str">
        <x:v>%</x:v>
      </x:c>
      <x:c r="K86" s="35" t="str">
        <x:v>↓</x:v>
      </x:c>
      <x:c r="L86" s="35" t="n">
        <x:v>68</x:v>
      </x:c>
      <x:c r="M86" s="35" t="n">
        <x:v>62.96296296296296</x:v>
      </x:c>
      <x:c r="N86" s="35" t="n">
        <x:v>57.758620689655174</x:v>
      </x:c>
      <x:c r="O86" s="35" t="n">
        <x:v>52</x:v>
      </x:c>
      <x:c r="P86" s="35" t="n">
        <x:v>62.90719455087271</x:v>
      </x:c>
      <x:c r="Q86" s="35" t="str">
        <x:v>Reducir vs baseline 2025/2026</x:v>
      </x:c>
      <x:c r="R86" s="35" t="str">
        <x:v>Sin mejora vs baseline</x:v>
      </x:c>
      <x:c r="S86" s="35" t="str">
        <x:v>Aumento material de concentración</x:v>
      </x:c>
      <x:c r="T86" s="54" t="n">
        <x:f>IF(OR(P86="",P86=0,O86=""),"",IF(K86="↑",(O86-P86)/ABS(P86),IF(K86="↓",(P86-O86)/ABS(P86),IF(K86="↔",(ABS(P86)-ABS(O86))/ABS(P86),""))))</x:f>
        <x:v>0.17338548680711108</x:v>
      </x:c>
      <x:c r="U86" s="35" t="str">
        <x:f>IF(T86="","",IF(T86&gt;=0.1,"Strong improvement",IF(T86&gt;=0,"Improving",IF(T86&gt;=-0.1,"Attention","Deteriorating"))))</x:f>
        <x:v>Strong improvement</x:v>
      </x:c>
      <x:c r="V86" s="35" t="str">
        <x:v>Finanzas</x:v>
      </x:c>
      <x:c r="W86" s="35" t="str">
        <x:v>Trimestral</x:v>
      </x:c>
      <x:c r="X86" s="35" t="str">
        <x:v>Contabilidad / CRM</x:v>
      </x:c>
      <x:c r="Y86" s="35" t="str">
        <x:v>Mayor contable y clasificación por fuente</x:v>
      </x:c>
      <x:c r="Z86" s="35" t="str">
        <x:v>Lagging</x:v>
      </x:c>
      <x:c r="AA86" s="35" t="str">
        <x:v>Automatizado</x:v>
      </x:c>
      <x:c r="AB86" s="35" t="str">
        <x:v>Desarrollar fuentes alternativas si concentración aumenta.</x:v>
      </x:c>
      <x:c r="AC86" s="35" t="str">
        <x:v>Definir fuente a nivel económico real; agrupar partes relacionadas.</x:v>
      </x:c>
      <x:c r="AD86" s="35" t="str">
        <x:v>REC-F02_NUM | REC-F02_DEN</x:v>
      </x:c>
      <x:c r="AE86" s="35" t="str">
        <x:v>Ingresos provenientes de la mayor fuente/donante/grupo = 65.00 Moneda; ingresos totales de financiamiento = 125.00 Moneda</x:v>
      </x:c>
      <x:c r="AF86" s="35" t="str">
        <x:v>FND-001 | FND-002 | FND-003 | REC-M02 | REC-P03 | FND-004 | FND-005 | FND-017</x:v>
      </x:c>
      <x:c r="AG86" s="35" t="str">
        <x:v>Top-8 heuristic: same strategic objective &gt; strategic-map adjacency &gt; same department &gt; same BSC perspective.</x:v>
      </x:c>
      <x:c r="AH86" s="35" t="str">
        <x:v>YES</x:v>
      </x:c>
      <x:c r="AI86" s="35" t="str">
        <x:v>PROTOTYPE ONLY — human review required</x:v>
      </x:c>
    </x:row>
    <x:row r="87">
      <x:c r="A87" s="35" t="str">
        <x:v>REC-F03</x:v>
      </x:c>
      <x:c r="B87" s="35" t="str">
        <x:v>Retención de donantes recurrentes</x:v>
      </x:c>
      <x:c r="C87" s="35" t="str">
        <x:v>Procuración de Fondos</x:v>
      </x:c>
      <x:c r="D87" s="35" t="str">
        <x:v>Sostenibilidad financiera</x:v>
      </x:c>
      <x:c r="E87" s="35" t="str">
        <x:v>F2. Incrementar y retener donantes recurrentes</x:v>
      </x:c>
      <x:c r="F87" s="35" t="str">
        <x:v>BSC EJECUTIVO</x:v>
      </x:c>
      <x:c r="G87" s="35" t="str">
        <x:v>Evitar depender sólo de adquisición de nuevos donantes.</x:v>
      </x:c>
      <x:c r="H87" s="35" t="str">
        <x:v>Donantes recurrentes del periodo anterior que continúan activos ÷ donantes recurrentes elegibles × 100</x:v>
      </x:c>
      <x:c r="I87" s="35" t="str">
        <x:v>RATIO_PCT</x:v>
      </x:c>
      <x:c r="J87" s="35" t="str">
        <x:v>%</x:v>
      </x:c>
      <x:c r="K87" s="35" t="str">
        <x:v>↑</x:v>
      </x:c>
      <x:c r="L87" s="35" t="n">
        <x:v>71.11111111111111</x:v>
      </x:c>
      <x:c r="M87" s="35" t="n">
        <x:v>75.77319587628865</x:v>
      </x:c>
      <x:c r="N87" s="35" t="n">
        <x:v>80.86124401913875</x:v>
      </x:c>
      <x:c r="O87" s="35" t="n">
        <x:v>87.1111111111111</x:v>
      </x:c>
      <x:c r="P87" s="35" t="n">
        <x:v>75.91518366884618</x:v>
      </x:c>
      <x:c r="Q87" s="35" t="str">
        <x:v>Definir tras baseline; recomendado ≥85%</x:v>
      </x:c>
      <x:c r="R87" s="35" t="str">
        <x:v>75–84.9%</x:v>
      </x:c>
      <x:c r="S87" s="35" t="str">
        <x:v>&lt;75%</x:v>
      </x:c>
      <x:c r="T87" s="54" t="n">
        <x:f>IF(OR(P87="",P87=0,O87=""),"",IF(K87="↑",(O87-P87)/ABS(P87),IF(K87="↓",(P87-O87)/ABS(P87),IF(K87="↔",(ABS(P87)-ABS(O87))/ABS(P87),""))))</x:f>
        <x:v>0.1474794224447021</x:v>
      </x:c>
      <x:c r="U87" s="35" t="str">
        <x:f>IF(T87="","",IF(T87&gt;=0.1,"Strong improvement",IF(T87&gt;=0,"Improving",IF(T87&gt;=-0.1,"Attention","Deteriorating"))))</x:f>
        <x:v>Strong improvement</x:v>
      </x:c>
      <x:c r="V87" s="35" t="str">
        <x:v>Procuración de Fondos</x:v>
      </x:c>
      <x:c r="W87" s="35" t="str">
        <x:v>Mensual/Trimestral</x:v>
      </x:c>
      <x:c r="X87" s="35" t="str">
        <x:v>CRM / plataforma de pagos</x:v>
      </x:c>
      <x:c r="Y87" s="35" t="str">
        <x:v>Historial de cargos/donaciones</x:v>
      </x:c>
      <x:c r="Z87" s="35" t="str">
        <x:v>Lagging</x:v>
      </x:c>
      <x:c r="AA87" s="35" t="str">
        <x:v>Automatizado</x:v>
      </x:c>
      <x:c r="AB87" s="35" t="str">
        <x:v>Activar campañas de prevención de churn y recuperación de pagos.</x:v>
      </x:c>
      <x:c r="AC87" s="35" t="str">
        <x:v>Definir claramente pausa, baja, fallo de pago y reactivación.</x:v>
      </x:c>
      <x:c r="AD87" s="35" t="str">
        <x:v>REC-F03_NUM | REC-F03_DEN</x:v>
      </x:c>
      <x:c r="AE87" s="35" t="str">
        <x:v>Donantes recurrentes del periodo anterior que continúan activos = 196 # / base; donantes recurrentes elegibles = 225 # / base</x:v>
      </x:c>
      <x:c r="AF87" s="35" t="str">
        <x:v>FND-006 | FND-007 | FND-008 | REC-M02 | REC-P03 | FND-009 | FND-011 | FND-013</x:v>
      </x:c>
      <x:c r="AG87" s="35" t="str">
        <x:v>Top-8 heuristic: same strategic objective &gt; strategic-map adjacency &gt; same department &gt; same BSC perspective.</x:v>
      </x:c>
      <x:c r="AH87" s="35" t="str">
        <x:v>YES</x:v>
      </x:c>
      <x:c r="AI87" s="35" t="str">
        <x:v>PROTOTYPE ONLY — human review required</x:v>
      </x:c>
    </x:row>
    <x:row r="88">
      <x:c r="A88" s="35" t="str">
        <x:v>REC-F04</x:v>
      </x:c>
      <x:c r="B88" s="35" t="str">
        <x:v>Cobertura de pipeline ponderado de procuración</x:v>
      </x:c>
      <x:c r="C88" s="35" t="str">
        <x:v>Procuración de Fondos</x:v>
      </x:c>
      <x:c r="D88" s="35" t="str">
        <x:v>Sostenibilidad financiera</x:v>
      </x:c>
      <x:c r="E88" s="35" t="str">
        <x:v>F3. Convertir alianzas estratégicas en recursos</x:v>
      </x:c>
      <x:c r="F88" s="35" t="str">
        <x:v>ESTRATÉGICO / TRANSVERSAL</x:v>
      </x:c>
      <x:c r="G88" s="35" t="str">
        <x:v>Indicador adelantado de riesgo de financiamiento.</x:v>
      </x:c>
      <x:c r="H88" s="35" t="str">
        <x:v>Valor ponderado por probabilidad de oportunidades activas ÷ necesidad de financiamiento de próximos 6 meses</x:v>
      </x:c>
      <x:c r="I88" s="35" t="str">
        <x:v>RATIO</x:v>
      </x:c>
      <x:c r="J88" s="35" t="str">
        <x:v>x</x:v>
      </x:c>
      <x:c r="K88" s="35" t="str">
        <x:v>↑</x:v>
      </x:c>
      <x:c r="L88" s="35" t="n">
        <x:v>0.92</x:v>
      </x:c>
      <x:c r="M88" s="35" t="n">
        <x:v>1.0999999999999999</x:v>
      </x:c>
      <x:c r="N88" s="35" t="n">
        <x:v>1.32</x:v>
      </x:c>
      <x:c r="O88" s="35" t="n">
        <x:v>1.58</x:v>
      </x:c>
      <x:c r="P88" s="35" t="n">
        <x:v>1.1133333333333333</x:v>
      </x:c>
      <x:c r="Q88" s="35" t="str">
        <x:v>≥1.5x</x:v>
      </x:c>
      <x:c r="R88" s="35" t="str">
        <x:v>1.0–1.49x</x:v>
      </x:c>
      <x:c r="S88" s="35" t="str">
        <x:v>&lt;1.0x</x:v>
      </x:c>
      <x:c r="T88" s="54" t="n">
        <x:f>IF(OR(P88="",P88=0,O88=""),"",IF(K88="↑",(O88-P88)/ABS(P88),IF(K88="↓",(P88-O88)/ABS(P88),IF(K88="↔",(ABS(P88)-ABS(O88))/ABS(P88),""))))</x:f>
        <x:v>0.4191616766467067</x:v>
      </x:c>
      <x:c r="U88" s="35" t="str">
        <x:f>IF(T88="","",IF(T88&gt;=0.1,"Strong improvement",IF(T88&gt;=0,"Improving",IF(T88&gt;=-0.1,"Attention","Deteriorating"))))</x:f>
        <x:v>Strong improvement</x:v>
      </x:c>
      <x:c r="V88" s="35" t="str">
        <x:v>Procuración de Fondos</x:v>
      </x:c>
      <x:c r="W88" s="35" t="str">
        <x:v>Mensual</x:v>
      </x:c>
      <x:c r="X88" s="35" t="str">
        <x:v>CRM de fundraising</x:v>
      </x:c>
      <x:c r="Y88" s="35" t="str">
        <x:v>Oportunidades con etapa, monto y probabilidad</x:v>
      </x:c>
      <x:c r="Z88" s="35" t="str">
        <x:v>Leading</x:v>
      </x:c>
      <x:c r="AA88" s="35" t="str">
        <x:v>Automatizado</x:v>
      </x:c>
      <x:c r="AB88" s="35" t="str">
        <x:v>Aumentar prospección/calidad de oportunidades si cobertura cae.</x:v>
      </x:c>
      <x:c r="AC88" s="35" t="str">
        <x:v>Probabilidades estandarizadas por etapa; revisión periódica de oportunidades estancadas.</x:v>
      </x:c>
      <x:c r="AD88" s="35" t="str">
        <x:v>REC-F04_NUM | REC-F04_DEN</x:v>
      </x:c>
      <x:c r="AE88" s="35" t="str">
        <x:v>Valor ponderado por probabilidad de oportunidades activas = 197.5%; necesidad de financiamiento de próximos 6 meses = 125 # / base</x:v>
      </x:c>
      <x:c r="AF88" s="35" t="str">
        <x:v>FND-016 | REC-P07 | FND-001 | FND-002 | FND-003 | OPS-016 | OPS-020 | REC-S03</x:v>
      </x:c>
      <x:c r="AG88" s="35" t="str">
        <x:v>Top-8 heuristic: same strategic objective &gt; strategic-map adjacency &gt; same department &gt; same BSC perspective.</x:v>
      </x:c>
      <x:c r="AH88" s="35" t="str">
        <x:v>YES</x:v>
      </x:c>
      <x:c r="AI88" s="35" t="str">
        <x:v>PROTOTYPE ONLY — human review required</x:v>
      </x:c>
    </x:row>
    <x:row r="89">
      <x:c r="A89" s="35" t="str">
        <x:v>REC-F05</x:v>
      </x:c>
      <x:c r="B89" s="35" t="str">
        <x:v>Variación presupuestal</x:v>
      </x:c>
      <x:c r="C89" s="35" t="str">
        <x:v>Administración + Finanzas</x:v>
      </x:c>
      <x:c r="D89" s="35" t="str">
        <x:v>Sostenibilidad financiera</x:v>
      </x:c>
      <x:c r="E89" s="35" t="str">
        <x:v>F4. Mejorar eficiencia y control presupuestal</x:v>
      </x:c>
      <x:c r="F89" s="35" t="str">
        <x:v>BSC EJECUTIVO</x:v>
      </x:c>
      <x:c r="G89" s="35" t="str">
        <x:v>Detectar desviaciones de gasto sin premiar subejercicio indiscriminadamente.</x:v>
      </x:c>
      <x:c r="H89" s="35" t="str">
        <x:v>(Gasto real − presupuesto ajustado aprobado) ÷ presupuesto ajustado aprobado × 100</x:v>
      </x:c>
      <x:c r="I89" s="35" t="str">
        <x:v>CHANGE_PCT</x:v>
      </x:c>
      <x:c r="J89" s="35" t="str">
        <x:v>%</x:v>
      </x:c>
      <x:c r="K89" s="35" t="str">
        <x:v>↔</x:v>
      </x:c>
      <x:c r="L89" s="35" t="n">
        <x:v>9.5</x:v>
      </x:c>
      <x:c r="M89" s="35" t="n">
        <x:v>7.199999999999999</x:v>
      </x:c>
      <x:c r="N89" s="35" t="n">
        <x:v>5.800000000000001</x:v>
      </x:c>
      <x:c r="O89" s="35" t="n">
        <x:v>4.2</x:v>
      </x:c>
      <x:c r="P89" s="35" t="n">
        <x:v>7.5</x:v>
      </x:c>
      <x:c r="Q89" s="35" t="str">
        <x:v>Dentro de ±5% a nivel agregado, con tolerancias por rubro</x:v>
      </x:c>
      <x:c r="R89" s="35" t="str">
        <x:v>&gt;|5%| y ≤|10%|</x:v>
      </x:c>
      <x:c r="S89" s="35" t="str">
        <x:v>&gt;|10%|</x:v>
      </x:c>
      <x:c r="T89" s="54" t="n">
        <x:f>IF(OR(P89="",P89=0,O89=""),"",IF(K89="↑",(O89-P89)/ABS(P89),IF(K89="↓",(P89-O89)/ABS(P89),IF(K89="↔",(ABS(P89)-ABS(O89))/ABS(P89),""))))</x:f>
        <x:v>0.44</x:v>
      </x:c>
      <x:c r="U89" s="35" t="str">
        <x:f>IF(T89="","",IF(T89&gt;=0.1,"Strong improvement",IF(T89&gt;=0,"Improving",IF(T89&gt;=-0.1,"Attention","Deteriorating"))))</x:f>
        <x:v>Strong improvement</x:v>
      </x:c>
      <x:c r="V89" s="35" t="str">
        <x:v>Administración / Finanzas</x:v>
      </x:c>
      <x:c r="W89" s="35" t="str">
        <x:v>Mensual</x:v>
      </x:c>
      <x:c r="X89" s="35" t="str">
        <x:v>Contabilidad / presupuesto</x:v>
      </x:c>
      <x:c r="Y89" s="35" t="str">
        <x:v>Mayor contable y presupuesto aprobado</x:v>
      </x:c>
      <x:c r="Z89" s="35" t="str">
        <x:v>Lagging</x:v>
      </x:c>
      <x:c r="AA89" s="35" t="str">
        <x:v>Automatizado</x:v>
      </x:c>
      <x:c r="AB89" s="35" t="str">
        <x:v>Revisar drivers y forecast; requerir plan si desviación crítica.</x:v>
      </x:c>
      <x:c r="AC89" s="35" t="str">
        <x:v>Analizar favorable/desfavorable según causa; no considerar siempre 'menos gasto' como mejor.</x:v>
      </x:c>
      <x:c r="AD89" s="35" t="str">
        <x:v>REC-F05_A | REC-F05_B</x:v>
      </x:c>
      <x:c r="AE89" s="35" t="str">
        <x:v>Gasto real = 1,292,080.00 Moneda; presupuesto ajustado aprobado = 1,240,000.00 Moneda</x:v>
      </x:c>
      <x:c r="AF89" s="35" t="str">
        <x:v>ADM-015 | LEG-005 | REC-F06 | ADM-001 | ADM-002 | FND-001 | ADM-003 | ADM-016</x:v>
      </x:c>
      <x:c r="AG89" s="35" t="str">
        <x:v>Top-8 heuristic: same strategic objective &gt; strategic-map adjacency &gt; same department &gt; same BSC perspective.</x:v>
      </x:c>
      <x:c r="AH89" s="35" t="str">
        <x:v>YES</x:v>
      </x:c>
      <x:c r="AI89" s="35" t="str">
        <x:v>PROTOTYPE ONLY — human review required</x:v>
      </x:c>
    </x:row>
    <x:row r="90">
      <x:c r="A90" s="35" t="str">
        <x:v>REC-F06</x:v>
      </x:c>
      <x:c r="B90" s="35" t="str">
        <x:v>Costo por beneficiario</x:v>
      </x:c>
      <x:c r="C90" s="35" t="str">
        <x:v>Administración + Operaciones</x:v>
      </x:c>
      <x:c r="D90" s="35" t="str">
        <x:v>Sostenibilidad financiera</x:v>
      </x:c>
      <x:c r="E90" s="35" t="str">
        <x:v>F4. Mejorar eficiencia y control presupuestal</x:v>
      </x:c>
      <x:c r="F90" s="35" t="str">
        <x:v>ESTRATÉGICO / TRANSVERSAL</x:v>
      </x:c>
      <x:c r="G90" s="35" t="str">
        <x:v>Comparar eficiencia entre cohortes/programas sin confundirla con impacto.</x:v>
      </x:c>
      <x:c r="H90" s="35" t="str">
        <x:v>Costo directo + asignación acordada de costos de programa ÷ beneficiarios válidos atendidos</x:v>
      </x:c>
      <x:c r="I90" s="35" t="str">
        <x:v>COST_PER</x:v>
      </x:c>
      <x:c r="J90" s="35" t="str">
        <x:v>MXN/USD por beneficiario</x:v>
      </x:c>
      <x:c r="K90" s="35" t="str">
        <x:v>Contextual</x:v>
      </x:c>
      <x:c r="L90" s="35" t="n">
        <x:v>4200</x:v>
      </x:c>
      <x:c r="M90" s="35" t="n">
        <x:v>3950</x:v>
      </x:c>
      <x:c r="N90" s="35" t="n">
        <x:v>3725</x:v>
      </x:c>
      <x:c r="O90" s="35" t="n">
        <x:v>3550</x:v>
      </x:c>
      <x:c r="P90" s="35" t="n">
        <x:v>3958.3333333333335</x:v>
      </x:c>
      <x:c r="Q90" s="35" t="str">
        <x:v>Baseline y benchmark por programa</x:v>
      </x:c>
      <x:c r="R90" s="35" t="str">
        <x:v>&gt;10% vs presupuesto</x:v>
      </x:c>
      <x:c r="S90" s="35" t="str">
        <x:v> &gt;20% vs presupuesto</x:v>
      </x:c>
      <x:c r="T90" s="54" t="str">
        <x:f>IF(OR(P90="",P90=0,O90=""),"",IF(K90="↑",(O90-P90)/ABS(P90),IF(K90="↓",(P90-O90)/ABS(P90),IF(K90="↔",(ABS(P90)-ABS(O90))/ABS(P90),""))))</x:f>
      </x:c>
      <x:c r="U90" s="35" t="str">
        <x:f>IF(T90="","",IF(T90&gt;=0.1,"Strong improvement",IF(T90&gt;=0,"Improving",IF(T90&gt;=-0.1,"Attention","Deteriorating"))))</x:f>
      </x:c>
      <x:c r="V90" s="35" t="str">
        <x:v>Administración / Operaciones</x:v>
      </x:c>
      <x:c r="W90" s="35" t="str">
        <x:v>Mensual/Cierre</x:v>
      </x:c>
      <x:c r="X90" s="35" t="str">
        <x:v>Finanzas + registro de beneficiarios</x:v>
      </x:c>
      <x:c r="Y90" s="35" t="str">
        <x:v>Gastos asignados y padrón deduplicado</x:v>
      </x:c>
      <x:c r="Z90" s="35" t="str">
        <x:v>Lagging</x:v>
      </x:c>
      <x:c r="AA90" s="35" t="str">
        <x:v>Automatizado</x:v>
      </x:c>
      <x:c r="AB90" s="35" t="str">
        <x:v>Investigar productividad/costo sin sacrificar calidad.</x:v>
      </x:c>
      <x:c r="AC90" s="35" t="str">
        <x:v>Metodología de costeo consistente y calidad/outcome como counter-metric.</x:v>
      </x:c>
      <x:c r="AD90" s="35" t="str">
        <x:v>REC-F06_COST_DIRECT | REC-F06_COST_ALLOC | REC-F06_DEN</x:v>
      </x:c>
      <x:c r="AE90" s="35" t="str">
        <x:v>Costo directo = 2,619,900 USD; asignación acordada de costos de programa = 575,100 USD; beneficiarios válidos atendidos = 900 # / base</x:v>
      </x:c>
      <x:c r="AF90" s="35" t="str">
        <x:v>ADM-015 | LEG-005 | REC-F05 | ADM-001 | ADM-002 | FND-001 | ADM-003 | ADM-016</x:v>
      </x:c>
      <x:c r="AG90" s="35" t="str">
        <x:v>Top-8 heuristic: same strategic objective &gt; strategic-map adjacency &gt; same department &gt; same BSC perspective.</x:v>
      </x:c>
      <x:c r="AH90" s="35" t="str">
        <x:v>YES</x:v>
      </x:c>
      <x:c r="AI90" s="35" t="str">
        <x:v>PROTOTYPE ONLY — human review required</x:v>
      </x:c>
    </x:row>
    <x:row r="91">
      <x:c r="A91" s="35" t="str">
        <x:v>REC-P01</x:v>
      </x:c>
      <x:c r="B91" s="35" t="str">
        <x:v>Programas ejecutados conforme al plan</x:v>
      </x:c>
      <x:c r="C91" s="35" t="str">
        <x:v>Operaciones</x:v>
      </x:c>
      <x:c r="D91" s="35" t="str">
        <x:v>Procesos internos</x:v>
      </x:c>
      <x:c r="E91" s="35" t="str">
        <x:v>P1. Estandarizar y escalar programas</x:v>
      </x:c>
      <x:c r="F91" s="35" t="str">
        <x:v>BSC EJECUTIVO</x:v>
      </x:c>
      <x:c r="G91" s="35" t="str">
        <x:v>Resumen operativo de ejecución del portafolio programático.</x:v>
      </x:c>
      <x:c r="H91" s="35" t="str">
        <x:v>Programas/ediciones ejecutados en alcance y ventana comprometidos ÷ programas/ediciones programados × 100</x:v>
      </x:c>
      <x:c r="I91" s="35" t="str">
        <x:v>RATIO_PCT</x:v>
      </x:c>
      <x:c r="J91" s="35" t="str">
        <x:v>%</x:v>
      </x:c>
      <x:c r="K91" s="35" t="str">
        <x:v>↑</x:v>
      </x:c>
      <x:c r="L91" s="35" t="n">
        <x:v>75</x:v>
      </x:c>
      <x:c r="M91" s="35" t="n">
        <x:v>84.61538461538461</x:v>
      </x:c>
      <x:c r="N91" s="35" t="n">
        <x:v>85.71428571428571</x:v>
      </x:c>
      <x:c r="O91" s="35" t="n">
        <x:v>93.33333333333333</x:v>
      </x:c>
      <x:c r="P91" s="35" t="n">
        <x:v>81.77655677655677</x:v>
      </x:c>
      <x:c r="Q91" s="35" t="str">
        <x:v>≥95%</x:v>
      </x:c>
      <x:c r="R91" s="35" t="str">
        <x:v>85–94.9%</x:v>
      </x:c>
      <x:c r="S91" s="35" t="str">
        <x:v>&lt;85%</x:v>
      </x:c>
      <x:c r="T91" s="54" t="n">
        <x:f>IF(OR(P91="",P91=0,O91=""),"",IF(K91="↑",(O91-P91)/ABS(P91),IF(K91="↓",(P91-O91)/ABS(P91),IF(K91="↔",(ABS(P91)-ABS(O91))/ABS(P91),""))))</x:f>
        <x:v>0.14132138857782753</x:v>
      </x:c>
      <x:c r="U91" s="35" t="str">
        <x:f>IF(T91="","",IF(T91&gt;=0.1,"Strong improvement",IF(T91&gt;=0,"Improving",IF(T91&gt;=-0.1,"Attention","Deteriorating"))))</x:f>
        <x:v>Strong improvement</x:v>
      </x:c>
      <x:c r="V91" s="35" t="str">
        <x:v>Operaciones</x:v>
      </x:c>
      <x:c r="W91" s="35" t="str">
        <x:v>Mensual</x:v>
      </x:c>
      <x:c r="X91" s="35" t="str">
        <x:v>Portafolio de proyectos</x:v>
      </x:c>
      <x:c r="Y91" s="35" t="str">
        <x:v>Plan aprobado + evidencias</x:v>
      </x:c>
      <x:c r="Z91" s="35" t="str">
        <x:v>Leading</x:v>
      </x:c>
      <x:c r="AA91" s="35" t="str">
        <x:v>Automatizado/Semi</x:v>
      </x:c>
      <x:c r="AB91" s="35" t="str">
        <x:v>Replanificar recursos/dependencias de programas en riesgo.</x:v>
      </x:c>
      <x:c r="AC91" s="35" t="str">
        <x:v>No redefinir el plan retroactivamente sin aprobación.</x:v>
      </x:c>
      <x:c r="AD91" s="35" t="str">
        <x:v>REC-P01_NUM | REC-P01_DEN</x:v>
      </x:c>
      <x:c r="AE91" s="35" t="str">
        <x:v>Programas/ediciones ejecutados en alcance y ventana comprometidos = 14 # / base; programas/ediciones programados = 15 # / base</x:v>
      </x:c>
      <x:c r="AF91" s="35" t="str">
        <x:v>OPS-012 | REC-C01 | REC-S02 | OPS-001 | OPS-002 | REC-P02 | OPS-006 | OPS-008</x:v>
      </x:c>
      <x:c r="AG91" s="35" t="str">
        <x:v>Top-8 heuristic: same strategic objective &gt; strategic-map adjacency &gt; same department &gt; same BSC perspective.</x:v>
      </x:c>
      <x:c r="AH91" s="35" t="str">
        <x:v>YES</x:v>
      </x:c>
      <x:c r="AI91" s="35" t="str">
        <x:v>PROTOTYPE ONLY — human review required</x:v>
      </x:c>
    </x:row>
    <x:row r="92">
      <x:c r="A92" s="35" t="str">
        <x:v>REC-P02</x:v>
      </x:c>
      <x:c r="B92" s="35" t="str">
        <x:v>Cobertura de medición de impacto</x:v>
      </x:c>
      <x:c r="C92" s="35" t="str">
        <x:v>Operaciones</x:v>
      </x:c>
      <x:c r="D92" s="35" t="str">
        <x:v>Procesos internos</x:v>
      </x:c>
      <x:c r="E92" s="35" t="str">
        <x:v>P2. Fortalecer medición de impacto</x:v>
      </x:c>
      <x:c r="F92" s="35" t="str">
        <x:v>BSC EJECUTIVO</x:v>
      </x:c>
      <x:c r="G92" s="35" t="str">
        <x:v>Cerrar la debilidad identificada de medición de impacto de largo plazo.</x:v>
      </x:c>
      <x:c r="H92" s="35" t="str">
        <x:v>Programas con diseño de medición y datos de outcome suficientes ÷ programas ejecutados que requieren evaluación × 100</x:v>
      </x:c>
      <x:c r="I92" s="35" t="str">
        <x:v>RATIO_PCT</x:v>
      </x:c>
      <x:c r="J92" s="35" t="str">
        <x:v>%</x:v>
      </x:c>
      <x:c r="K92" s="35" t="str">
        <x:v>↑</x:v>
      </x:c>
      <x:c r="L92" s="35" t="n">
        <x:v>84</x:v>
      </x:c>
      <x:c r="M92" s="35" t="n">
        <x:v>88.88888888888889</x:v>
      </x:c>
      <x:c r="N92" s="35" t="n">
        <x:v>93.96551724137932</x:v>
      </x:c>
      <x:c r="O92" s="35" t="n">
        <x:v>100</x:v>
      </x:c>
      <x:c r="P92" s="35" t="n">
        <x:v>88.9514687100894</x:v>
      </x:c>
      <x:c r="Q92" s="35" t="str">
        <x:v>100%</x:v>
      </x:c>
      <x:c r="R92" s="35" t="str">
        <x:v>90–99.9%</x:v>
      </x:c>
      <x:c r="S92" s="35" t="str">
        <x:v>&lt;90%</x:v>
      </x:c>
      <x:c r="T92" s="54" t="n">
        <x:f>IF(OR(P92="",P92=0,O92=""),"",IF(K92="↑",(O92-P92)/ABS(P92),IF(K92="↓",(P92-O92)/ABS(P92),IF(K92="↔",(ABS(P92)-ABS(O92))/ABS(P92),""))))</x:f>
        <x:v>0.12420853135005526</x:v>
      </x:c>
      <x:c r="U92" s="35" t="str">
        <x:f>IF(T92="","",IF(T92&gt;=0.1,"Strong improvement",IF(T92&gt;=0,"Improving",IF(T92&gt;=-0.1,"Attention","Deteriorating"))))</x:f>
        <x:v>Strong improvement</x:v>
      </x:c>
      <x:c r="V92" s="35" t="str">
        <x:v>Operaciones / M&amp;E</x:v>
      </x:c>
      <x:c r="W92" s="35" t="str">
        <x:v>Trimestral</x:v>
      </x:c>
      <x:c r="X92" s="35" t="str">
        <x:v>Sistema de M&amp;E</x:v>
      </x:c>
      <x:c r="Y92" s="35" t="str">
        <x:v>Bases pre/post e instrumentos</x:v>
      </x:c>
      <x:c r="Z92" s="35" t="str">
        <x:v>Leading</x:v>
      </x:c>
      <x:c r="AA92" s="35" t="str">
        <x:v>Semi-automatizado</x:v>
      </x:c>
      <x:c r="AB92" s="35" t="str">
        <x:v>Bloquear cierre final de programa sin paquete mínimo de evidencia.</x:v>
      </x:c>
      <x:c r="AC92" s="35" t="str">
        <x:v>Exigir protocolo, baseline cuando aplique y criterios mínimos de calidad de datos.</x:v>
      </x:c>
      <x:c r="AD92" s="35" t="str">
        <x:v>REC-P02_NUM | REC-P02_DEN</x:v>
      </x:c>
      <x:c r="AE92" s="35" t="str">
        <x:v>Programas con diseño de medición y datos de outcome suficientes = 125 # / base; programas ejecutados que requieren evaluación = 125 # / base</x:v>
      </x:c>
      <x:c r="AF92" s="35" t="str">
        <x:v>OPS-009 | OPS-019 | MKT-002 | OPS-003 | OPS-004 | OPS-005 | OPS-006 | REC-P01</x:v>
      </x:c>
      <x:c r="AG92" s="35" t="str">
        <x:v>Top-8 heuristic: same strategic objective &gt; strategic-map adjacency &gt; same department &gt; same BSC perspective.</x:v>
      </x:c>
      <x:c r="AH92" s="35" t="str">
        <x:v>YES</x:v>
      </x:c>
      <x:c r="AI92" s="35" t="str">
        <x:v>PROTOTYPE ONLY — human review required</x:v>
      </x:c>
    </x:row>
    <x:row r="93">
      <x:c r="A93" s="35" t="str">
        <x:v>REC-P03</x:v>
      </x:c>
      <x:c r="B93" s="35" t="str">
        <x:v>Conversión de campaña a nuevo donante</x:v>
      </x:c>
      <x:c r="C93" s="35" t="str">
        <x:v>Marketing + Procuración de Fondos</x:v>
      </x:c>
      <x:c r="D93" s="35" t="str">
        <x:v>Procesos internos</x:v>
      </x:c>
      <x:c r="E93" s="35" t="str">
        <x:v>P3. Integrar Marketing + Procuración</x:v>
      </x:c>
      <x:c r="F93" s="35" t="str">
        <x:v>ESTRATÉGICO / TRANSVERSAL</x:v>
      </x:c>
      <x:c r="G93" s="35" t="str">
        <x:v>Conectar marketing con procuración y evitar vanity metrics.</x:v>
      </x:c>
      <x:c r="H93" s="35" t="str">
        <x:v>Nuevos donantes atribuibles a campaña ÷ prospectos/leads elegibles generados por campaña × 100</x:v>
      </x:c>
      <x:c r="I93" s="35" t="str">
        <x:v>RATIO_PCT</x:v>
      </x:c>
      <x:c r="J93" s="35" t="str">
        <x:v>%</x:v>
      </x:c>
      <x:c r="K93" s="35" t="str">
        <x:v>↑</x:v>
      </x:c>
      <x:c r="L93" s="35" t="n">
        <x:v>2010.0000000000002</x:v>
      </x:c>
      <x:c r="M93" s="35" t="n">
        <x:v>2014.9484536082475</x:v>
      </x:c>
      <x:c r="N93" s="35" t="n">
        <x:v>2020.0956937799042</x:v>
      </x:c>
      <x:c r="O93" s="35" t="n">
        <x:v>100</x:v>
      </x:c>
      <x:c r="P93" s="35" t="n">
        <x:v>2015.0147157960507</x:v>
      </x:c>
      <x:c r="Q93" s="35" t="str">
        <x:v>Baseline 2026 + mejora</x:v>
      </x:c>
      <x:c r="R93" s="35" t="str">
        <x:v>Por campaña</x:v>
      </x:c>
      <x:c r="S93" s="35" t="str">
        <x:v>Por campaña</x:v>
      </x:c>
      <x:c r="T93" s="54" t="n">
        <x:f>IF(OR(P93="",P93=0,O93=""),"",IF(K93="↑",(O93-P93)/ABS(P93),IF(K93="↓",(P93-O93)/ABS(P93),IF(K93="↔",(ABS(P93)-ABS(O93))/ABS(P93),""))))</x:f>
        <x:v>-0.9503725708720226</x:v>
      </x:c>
      <x:c r="U93" s="35" t="str">
        <x:f>IF(T93="","",IF(T93&gt;=0.1,"Strong improvement",IF(T93&gt;=0,"Improving",IF(T93&gt;=-0.1,"Attention","Deteriorating"))))</x:f>
        <x:v>Deteriorating</x:v>
      </x:c>
      <x:c r="V93" s="35" t="str">
        <x:v>Procuración de Fondos</x:v>
      </x:c>
      <x:c r="W93" s="35" t="str">
        <x:v>Por campaña/Mensual</x:v>
      </x:c>
      <x:c r="X93" s="35" t="str">
        <x:v>CRM + analítica de campañas</x:v>
      </x:c>
      <x:c r="Y93" s="35" t="str">
        <x:v>UTM/código de campaña + CRM</x:v>
      </x:c>
      <x:c r="Z93" s="35" t="str">
        <x:v>Lagging</x:v>
      </x:c>
      <x:c r="AA93" s="35" t="str">
        <x:v>Automatizado</x:v>
      </x:c>
      <x:c r="AB93" s="35" t="str">
        <x:v>Optimizar audiencia, mensaje y CTA; detener campañas sin contribución.</x:v>
      </x:c>
      <x:c r="AC93" s="35" t="str">
        <x:v>Modelo de atribución predefinido y deduplicación de leads/donantes.</x:v>
      </x:c>
      <x:c r="AD93" s="35" t="str">
        <x:v>REC-P03_NUM | REC-P03_DEN</x:v>
      </x:c>
      <x:c r="AE93" s="35" t="str">
        <x:v>Nuevos donantes atribuibles a campaña = 225 # / base; prospectos/leads elegibles generados por campaña = 225 # / base</x:v>
      </x:c>
      <x:c r="AF93" s="35" t="str">
        <x:v>REC-M02 | MKT-008 | MKT-011 | FND-001 | FND-002 | MKT-013 | MKT-014 | FND-003</x:v>
      </x:c>
      <x:c r="AG93" s="35" t="str">
        <x:v>Top-8 heuristic: same strategic objective &gt; strategic-map adjacency &gt; same department &gt; same BSC perspective.</x:v>
      </x:c>
      <x:c r="AH93" s="35" t="str">
        <x:v>YES</x:v>
      </x:c>
      <x:c r="AI93" s="35" t="str">
        <x:v>PROTOTYPE ONLY — human review required</x:v>
      </x:c>
    </x:row>
    <x:row r="94">
      <x:c r="A94" s="35" t="str">
        <x:v>REC-P04</x:v>
      </x:c>
      <x:c r="B94" s="35" t="str">
        <x:v>Cumplimiento agregado de SLA administrativos</x:v>
      </x:c>
      <x:c r="C94" s="35" t="str">
        <x:v>Administración</x:v>
      </x:c>
      <x:c r="D94" s="35" t="str">
        <x:v>Procesos internos</x:v>
      </x:c>
      <x:c r="E94" s="35" t="str">
        <x:v>P4. Simplificar y digitalizar procesos</x:v>
      </x:c>
      <x:c r="F94" s="35" t="str">
        <x:v>ESTRATÉGICO / TRANSVERSAL</x:v>
      </x:c>
      <x:c r="G94" s="35" t="str">
        <x:v>Vista ejecutiva de agilidad administrativa, agregando facturación, compras y otros procesos.</x:v>
      </x:c>
      <x:c r="H94" s="35" t="str">
        <x:v>Solicitudes administrativas críticas resueltas dentro de su SLA ÷ solicitudes críticas completas × 100</x:v>
      </x:c>
      <x:c r="I94" s="35" t="str">
        <x:v>RATIO_PCT</x:v>
      </x:c>
      <x:c r="J94" s="35" t="str">
        <x:v>%</x:v>
      </x:c>
      <x:c r="K94" s="35" t="str">
        <x:v>↑</x:v>
      </x:c>
      <x:c r="L94" s="35" t="n">
        <x:v>79</x:v>
      </x:c>
      <x:c r="M94" s="35" t="n">
        <x:v>84.25925925925925</x:v>
      </x:c>
      <x:c r="N94" s="35" t="n">
        <x:v>88.79310344827587</x:v>
      </x:c>
      <x:c r="O94" s="35" t="n">
        <x:v>96</x:v>
      </x:c>
      <x:c r="P94" s="35" t="n">
        <x:v>84.01745423584504</x:v>
      </x:c>
      <x:c r="Q94" s="35" t="str">
        <x:v>≥95%</x:v>
      </x:c>
      <x:c r="R94" s="35" t="str">
        <x:v>90–94.9%</x:v>
      </x:c>
      <x:c r="S94" s="35" t="str">
        <x:v>&lt;90%</x:v>
      </x:c>
      <x:c r="T94" s="54" t="n">
        <x:f>IF(OR(P94="",P94=0,O94=""),"",IF(K94="↑",(O94-P94)/ABS(P94),IF(K94="↓",(P94-O94)/ABS(P94),IF(K94="↔",(ABS(P94)-ABS(O94))/ABS(P94),""))))</x:f>
        <x:v>0.14261971959444059</x:v>
      </x:c>
      <x:c r="U94" s="35" t="str">
        <x:f>IF(T94="","",IF(T94&gt;=0.1,"Strong improvement",IF(T94&gt;=0,"Improving",IF(T94&gt;=-0.1,"Attention","Deteriorating"))))</x:f>
        <x:v>Strong improvement</x:v>
      </x:c>
      <x:c r="V94" s="35" t="str">
        <x:v>Administración</x:v>
      </x:c>
      <x:c r="W94" s="35" t="str">
        <x:v>Mensual</x:v>
      </x:c>
      <x:c r="X94" s="35" t="str">
        <x:v>Mesa de solicitudes / plataforma</x:v>
      </x:c>
      <x:c r="Y94" s="35" t="str">
        <x:v>Timestamp de solicitud, aprobación y cierre</x:v>
      </x:c>
      <x:c r="Z94" s="35" t="str">
        <x:v>Leading</x:v>
      </x:c>
      <x:c r="AA94" s="35" t="str">
        <x:v>Automatizado</x:v>
      </x:c>
      <x:c r="AB94" s="35" t="str">
        <x:v>Analizar cuellos de botella por tipo de solicitud y aprobador.</x:v>
      </x:c>
      <x:c r="AC94" s="35" t="str">
        <x:v>Reloj inicia sólo cuando solicitud tiene requisitos mínimos definidos; registrar pausas justificadas.</x:v>
      </x:c>
      <x:c r="AD94" s="35" t="str">
        <x:v>REC-P04_NUM | REC-P04_DEN</x:v>
      </x:c>
      <x:c r="AE94" s="35" t="str">
        <x:v>Solicitudes administrativas críticas resueltas dentro de su SLA = 120 # / base; solicitudes críticas completas = 125 # / base</x:v>
      </x:c>
      <x:c r="AF94" s="35" t="str">
        <x:v>ADM-001 | ADM-002 | ADM-003 | ADM-004 | ADM-006 | ADM-016 | ADM-017 | LEG-001</x:v>
      </x:c>
      <x:c r="AG94" s="35" t="str">
        <x:v>Top-8 heuristic: same strategic objective &gt; strategic-map adjacency &gt; same department &gt; same BSC perspective.</x:v>
      </x:c>
      <x:c r="AH94" s="35" t="str">
        <x:v>YES</x:v>
      </x:c>
      <x:c r="AI94" s="35" t="str">
        <x:v>PROTOTYPE ONLY — human review required</x:v>
      </x:c>
    </x:row>
    <x:row r="95">
      <x:c r="A95" s="35" t="str">
        <x:v>REC-P06</x:v>
      </x:c>
      <x:c r="B95" s="35" t="str">
        <x:v>Obligaciones regulatorias vencidas</x:v>
      </x:c>
      <x:c r="C95" s="35" t="str">
        <x:v>Jurídico</x:v>
      </x:c>
      <x:c r="D95" s="35" t="str">
        <x:v>Procesos internos</x:v>
      </x:c>
      <x:c r="E95" s="35" t="str">
        <x:v>P5. Fortalecer cumplimiento, transparencia y gobierno</x:v>
      </x:c>
      <x:c r="F95" s="35" t="str">
        <x:v>ESTRATÉGICO / TRANSVERSAL</x:v>
      </x:c>
      <x:c r="G95" s="35" t="str">
        <x:v>KRI sencillo y accionable para Dirección/Jurídico.</x:v>
      </x:c>
      <x:c r="H95" s="35" t="str">
        <x:v>Número de obligaciones regulatorias vencidas y no cumplidas al corte</x:v>
      </x:c>
      <x:c r="I95" s="35" t="str">
        <x:v>VALUE</x:v>
      </x:c>
      <x:c r="J95" s="35" t="str">
        <x:v>#</x:v>
      </x:c>
      <x:c r="K95" s="35" t="str">
        <x:v>↓</x:v>
      </x:c>
      <x:c r="L95" s="35" t="n">
        <x:v>4</x:v>
      </x:c>
      <x:c r="M95" s="35" t="n">
        <x:v>3</x:v>
      </x:c>
      <x:c r="N95" s="35" t="n">
        <x:v>1</x:v>
      </x:c>
      <x:c r="O95" s="35" t="n">
        <x:v>0</x:v>
      </x:c>
      <x:c r="P95" s="35" t="n">
        <x:v>2.6666666666666665</x:v>
      </x:c>
      <x:c r="Q95" s="35" t="str">
        <x:v>0</x:v>
      </x:c>
      <x:c r="R95" s="35" t="str">
        <x:v>1 obligación en riesgo de vencer</x:v>
      </x:c>
      <x:c r="S95" s="35" t="str">
        <x:v>≥1 vencida</x:v>
      </x:c>
      <x:c r="T95" s="54" t="str">
        <x:f>IF(OR(P95="",P95=0,O95=""),"",IF(K95="↑",(O95-P95)/ABS(P95),IF(K95="↓",(P95-O95)/ABS(P95),IF(K95="↔",(ABS(P95)-ABS(O95))/ABS(P95),""))))</x:f>
      </x:c>
      <x:c r="U95" s="35" t="str">
        <x:f>IF(T95="","",IF(T95&gt;=0.1,"Strong improvement",IF(T95&gt;=0,"Improving",IF(T95&gt;=-0.1,"Attention","Deteriorating"))))</x:f>
      </x:c>
      <x:c r="V95" s="35" t="str">
        <x:v>Jurídico</x:v>
      </x:c>
      <x:c r="W95" s="35" t="str">
        <x:v>Semanal/Mensual</x:v>
      </x:c>
      <x:c r="X95" s="35" t="str">
        <x:v>Calendario de cumplimiento</x:v>
      </x:c>
      <x:c r="Y95" s="35" t="str">
        <x:v>Registro de obligación + acuse</x:v>
      </x:c>
      <x:c r="Z95" s="35" t="str">
        <x:v>Leading</x:v>
      </x:c>
      <x:c r="AA95" s="35" t="str">
        <x:v>Automatizado</x:v>
      </x:c>
      <x:c r="AB95" s="35" t="str">
        <x:v>Escalar automáticamente a Dirección y asignar plan de remediación.</x:v>
      </x:c>
      <x:c r="AC95" s="35" t="str">
        <x:v>Inventario legal completo; fecha de vencimiento no editable sin evidencia normativa.</x:v>
      </x:c>
      <x:c r="AD95" s="35" t="str">
        <x:v>REC-P06_VAL</x:v>
      </x:c>
      <x:c r="AE95" s="35" t="str">
        <x:v>Número de obligaciones regulatorias vencidas y no cumplidas al corte = 0 #</x:v>
      </x:c>
      <x:c r="AF95" s="35" t="str">
        <x:v>LEG-003 | LEG-015 | LEG-016 | LEG-001 | LEG-004 | LEG-017 | LEG-002 | REC-P04</x:v>
      </x:c>
      <x:c r="AG95" s="35" t="str">
        <x:v>Top-8 heuristic: same strategic objective &gt; strategic-map adjacency &gt; same department &gt; same BSC perspective.</x:v>
      </x:c>
      <x:c r="AH95" s="35" t="str">
        <x:v>YES</x:v>
      </x:c>
      <x:c r="AI95" s="35" t="str">
        <x:v>PROTOTYPE ONLY — human review required</x:v>
      </x:c>
    </x:row>
    <x:row r="96">
      <x:c r="A96" s="35" t="str">
        <x:v>REC-P07</x:v>
      </x:c>
      <x:c r="B96" s="35" t="str">
        <x:v>Conversión de alianzas estratégicas a recursos o capacidad programática</x:v>
      </x:c>
      <x:c r="C96" s="35" t="str">
        <x:v>Procuración de Fondos</x:v>
      </x:c>
      <x:c r="D96" s="35" t="str">
        <x:v>Procesos internos</x:v>
      </x:c>
      <x:c r="E96" s="35" t="str">
        <x:v>P6. Construir ecosistema de alianzas</x:v>
      </x:c>
      <x:c r="F96" s="35" t="str">
        <x:v>ESTRATÉGICO / TRANSVERSAL</x:v>
      </x:c>
      <x:c r="G96" s="35" t="str">
        <x:v>Evitar medir alianzas sólo por cantidad.</x:v>
      </x:c>
      <x:c r="H96" s="35" t="str">
        <x:v>Alianzas nuevas que generan recursos, acceso, capacidad o implementación verificable ÷ alianzas nuevas activas × 100</x:v>
      </x:c>
      <x:c r="I96" s="35" t="str">
        <x:v>RATIO_PCT</x:v>
      </x:c>
      <x:c r="J96" s="35" t="str">
        <x:v>%</x:v>
      </x:c>
      <x:c r="K96" s="35" t="str">
        <x:v>↑</x:v>
      </x:c>
      <x:c r="L96" s="35" t="n">
        <x:v>56.00000000000001</x:v>
      </x:c>
      <x:c r="M96" s="35" t="n">
        <x:v>61.111111111111114</x:v>
      </x:c>
      <x:c r="N96" s="35" t="n">
        <x:v>66.37931034482759</x:v>
      </x:c>
      <x:c r="O96" s="35" t="n">
        <x:v>72</x:v>
      </x:c>
      <x:c r="P96" s="35" t="n">
        <x:v>61.16347381864623</x:v>
      </x:c>
      <x:c r="Q96" s="35" t="str">
        <x:v>≥70%</x:v>
      </x:c>
      <x:c r="R96" s="35" t="str">
        <x:v>50–69.9%</x:v>
      </x:c>
      <x:c r="S96" s="35" t="str">
        <x:v>&lt;50%</x:v>
      </x:c>
      <x:c r="T96" s="54" t="n">
        <x:f>IF(OR(P96="",P96=0,O96=""),"",IF(K96="↑",(O96-P96)/ABS(P96),IF(K96="↓",(P96-O96)/ABS(P96),IF(K96="↔",(ABS(P96)-ABS(O96))/ABS(P96),""))))</x:f>
        <x:v>0.17717316406005307</x:v>
      </x:c>
      <x:c r="U96" s="35" t="str">
        <x:f>IF(T96="","",IF(T96&gt;=0.1,"Strong improvement",IF(T96&gt;=0,"Improving",IF(T96&gt;=-0.1,"Attention","Deteriorating"))))</x:f>
        <x:v>Strong improvement</x:v>
      </x:c>
      <x:c r="V96" s="35" t="str">
        <x:v>Procuración de Fondos</x:v>
      </x:c>
      <x:c r="W96" s="35" t="str">
        <x:v>Trimestral</x:v>
      </x:c>
      <x:c r="X96" s="35" t="str">
        <x:v>CRM de aliados</x:v>
      </x:c>
      <x:c r="Y96" s="35" t="str">
        <x:v>Convenios + recursos/entregables asociados</x:v>
      </x:c>
      <x:c r="Z96" s="35" t="str">
        <x:v>Lagging</x:v>
      </x:c>
      <x:c r="AA96" s="35" t="str">
        <x:v>Automatizado/Semi</x:v>
      </x:c>
      <x:c r="AB96" s="35" t="str">
        <x:v>Revisar valor de alianzas inactivas y plan de activación.</x:v>
      </x:c>
      <x:c r="AC96" s="35" t="str">
        <x:v>Definir qué cuenta como valor realizado y exigir evidencia.</x:v>
      </x:c>
      <x:c r="AD96" s="35" t="str">
        <x:v>REC-P07_NUM | REC-P07_DEN</x:v>
      </x:c>
      <x:c r="AE96" s="35" t="str">
        <x:v>Alianzas nuevas que generan recursos, acceso, capacidad o implementación verificable = 90.00 Moneda; alianzas nuevas activas = 125 # / base</x:v>
      </x:c>
      <x:c r="AF96" s="35" t="str">
        <x:v>FND-016 | OPS-016 | OPS-020 | FND-001 | FND-002 | FND-003 | FND-004 | REC-M02</x:v>
      </x:c>
      <x:c r="AG96" s="35" t="str">
        <x:v>Top-8 heuristic: same strategic objective &gt; strategic-map adjacency &gt; same department &gt; same BSC perspective.</x:v>
      </x:c>
      <x:c r="AH96" s="35" t="str">
        <x:v>YES</x:v>
      </x:c>
      <x:c r="AI96" s="35" t="str">
        <x:v>PROTOTYPE ONLY — human review required</x:v>
      </x:c>
    </x:row>
    <x:row r="97">
      <x:c r="A97" s="35" t="str">
        <x:v>REC-L01</x:v>
      </x:c>
      <x:c r="B97" s="35" t="str">
        <x:v>Integridad y actualización de datos estratégicos</x:v>
      </x:c>
      <x:c r="C97" s="35" t="str">
        <x:v>Todas las áreas</x:v>
      </x:c>
      <x:c r="D97" s="35" t="str">
        <x:v>Capacidades y tecnología</x:v>
      </x:c>
      <x:c r="E97" s="35" t="str">
        <x:v>L1. Construir una cultura de gestión basada en datos</x:v>
      </x:c>
      <x:c r="F97" s="35" t="str">
        <x:v>BSC EJECUTIVO</x:v>
      </x:c>
      <x:c r="G97" s="35" t="str">
        <x:v>Asegurar una base mínima para gestión por datos.</x:v>
      </x:c>
      <x:c r="H97" s="35" t="str">
        <x:v>Campos/KPIs estratégicos requeridos completos, válidos y actualizados ÷ campos/KPIs requeridos × 100</x:v>
      </x:c>
      <x:c r="I97" s="35" t="str">
        <x:v>RATIO_PCT</x:v>
      </x:c>
      <x:c r="J97" s="35" t="str">
        <x:v>%</x:v>
      </x:c>
      <x:c r="K97" s="35" t="str">
        <x:v>↑</x:v>
      </x:c>
      <x:c r="L97" s="35" t="n">
        <x:v>79</x:v>
      </x:c>
      <x:c r="M97" s="35" t="n">
        <x:v>84.25925925925925</x:v>
      </x:c>
      <x:c r="N97" s="35" t="n">
        <x:v>88.79310344827587</x:v>
      </x:c>
      <x:c r="O97" s="35" t="n">
        <x:v>96</x:v>
      </x:c>
      <x:c r="P97" s="35" t="n">
        <x:v>84.01745423584504</x:v>
      </x:c>
      <x:c r="Q97" s="35" t="str">
        <x:v>≥95%</x:v>
      </x:c>
      <x:c r="R97" s="35" t="str">
        <x:v>90–94.9%</x:v>
      </x:c>
      <x:c r="S97" s="35" t="str">
        <x:v>&lt;90%</x:v>
      </x:c>
      <x:c r="T97" s="54" t="n">
        <x:f>IF(OR(P97="",P97=0,O97=""),"",IF(K97="↑",(O97-P97)/ABS(P97),IF(K97="↓",(P97-O97)/ABS(P97),IF(K97="↔",(ABS(P97)-ABS(O97))/ABS(P97),""))))</x:f>
        <x:v>0.14261971959444059</x:v>
      </x:c>
      <x:c r="U97" s="35" t="str">
        <x:f>IF(T97="","",IF(T97&gt;=0.1,"Strong improvement",IF(T97&gt;=0,"Improving",IF(T97&gt;=-0.1,"Attention","Deteriorating"))))</x:f>
        <x:v>Strong improvement</x:v>
      </x:c>
      <x:c r="V97" s="35" t="str">
        <x:v>Dirección / PMO</x:v>
      </x:c>
      <x:c r="W97" s="35" t="str">
        <x:v>Mensual</x:v>
      </x:c>
      <x:c r="X97" s="35" t="str">
        <x:v>KPI Center</x:v>
      </x:c>
      <x:c r="Y97" s="35" t="str">
        <x:v>Logs de actualización</x:v>
      </x:c>
      <x:c r="Z97" s="35" t="str">
        <x:v>Leading</x:v>
      </x:c>
      <x:c r="AA97" s="35" t="str">
        <x:v>Automatizado</x:v>
      </x:c>
      <x:c r="AB97" s="35" t="str">
        <x:v>Notificar owner y bloquear reporte ejecutivo si faltan datos críticos.</x:v>
      </x:c>
      <x:c r="AC97" s="35" t="str">
        <x:v>Validaciones automáticas + muestreo de evidencia; no medir sólo 'celda no vacía'.</x:v>
      </x:c>
      <x:c r="AD97" s="35" t="str">
        <x:v>REC-L01_NUM | REC-L01_DEN</x:v>
      </x:c>
      <x:c r="AE97" s="35" t="str">
        <x:v>Campos/KPIs estratégicos requeridos completos, válidos y actualizados = 120 # / base; campos/KPIs requeridos = 125 # / base</x:v>
      </x:c>
      <x:c r="AF97" s="35" t="str">
        <x:v>MKT-015 | MKT-016 | REC-P02 | REC-P04 | REC-L05 | REC-L02 | ADM-001 | ADM-002</x:v>
      </x:c>
      <x:c r="AG97" s="35" t="str">
        <x:v>Top-8 heuristic: same strategic objective &gt; strategic-map adjacency &gt; same department &gt; same BSC perspective.</x:v>
      </x:c>
      <x:c r="AH97" s="35" t="str">
        <x:v>YES</x:v>
      </x:c>
      <x:c r="AI97" s="35" t="str">
        <x:v>PROTOTYPE ONLY — human review required</x:v>
      </x:c>
    </x:row>
    <x:row r="98">
      <x:c r="A98" s="35" t="str">
        <x:v>REC-L02</x:v>
      </x:c>
      <x:c r="B98" s="35" t="str">
        <x:v>Adopción de la plataforma de gestión</x:v>
      </x:c>
      <x:c r="C98" s="35" t="str">
        <x:v>Dirección + Administración</x:v>
      </x:c>
      <x:c r="D98" s="35" t="str">
        <x:v>Capacidades y tecnología</x:v>
      </x:c>
      <x:c r="E98" s="35" t="str">
        <x:v>L2. Integrar información en una sola plataforma</x:v>
      </x:c>
      <x:c r="F98" s="35" t="str">
        <x:v>ESTRATÉGICO / TRANSVERSAL</x:v>
      </x:c>
      <x:c r="G98" s="35" t="str">
        <x:v>Medir adopción de la plataforma cuando exista en producción.</x:v>
      </x:c>
      <x:c r="H98" s="35" t="str">
        <x:v>Usuarios objetivo con uso activo relevante en el periodo ÷ usuarios objetivo habilitados × 100</x:v>
      </x:c>
      <x:c r="I98" s="35" t="str">
        <x:v>RATIO_PCT</x:v>
      </x:c>
      <x:c r="J98" s="35" t="str">
        <x:v>%</x:v>
      </x:c>
      <x:c r="K98" s="35" t="str">
        <x:v>↑</x:v>
      </x:c>
      <x:c r="L98" s="35" t="n">
        <x:v>76</x:v>
      </x:c>
      <x:c r="M98" s="35" t="n">
        <x:v>80.55555555555556</x:v>
      </x:c>
      <x:c r="N98" s="35" t="n">
        <x:v>86.20689655172413</x:v>
      </x:c>
      <x:c r="O98" s="35" t="n">
        <x:v>92</x:v>
      </x:c>
      <x:c r="P98" s="35" t="n">
        <x:v>80.92081736909323</x:v>
      </x:c>
      <x:c r="Q98" s="35" t="str">
        <x:v>≥90% una vez desplegada</x:v>
      </x:c>
      <x:c r="R98" s="35" t="str">
        <x:v>75–89.9%</x:v>
      </x:c>
      <x:c r="S98" s="35" t="str">
        <x:v>&lt;75%</x:v>
      </x:c>
      <x:c r="T98" s="54" t="n">
        <x:f>IF(OR(P98="",P98=0,O98=""),"",IF(K98="↑",(O98-P98)/ABS(P98),IF(K98="↓",(P98-O98)/ABS(P98),IF(K98="↔",(ABS(P98)-ABS(O98))/ABS(P98),""))))</x:f>
        <x:v>0.13691387446536518</x:v>
      </x:c>
      <x:c r="U98" s="35" t="str">
        <x:f>IF(T98="","",IF(T98&gt;=0.1,"Strong improvement",IF(T98&gt;=0,"Improving",IF(T98&gt;=-0.1,"Attention","Deteriorating"))))</x:f>
        <x:v>Strong improvement</x:v>
      </x:c>
      <x:c r="V98" s="35" t="str">
        <x:v>Administración / Product Owner</x:v>
      </x:c>
      <x:c r="W98" s="35" t="str">
        <x:v>Mensual</x:v>
      </x:c>
      <x:c r="X98" s="35" t="str">
        <x:v>Logs de plataforma</x:v>
      </x:c>
      <x:c r="Y98" s="35" t="str">
        <x:v>Logs de actividad</x:v>
      </x:c>
      <x:c r="Z98" s="35" t="str">
        <x:v>Leading</x:v>
      </x:c>
      <x:c r="AA98" s="35" t="str">
        <x:v>Automatizado</x:v>
      </x:c>
      <x:c r="AB98" s="35" t="str">
        <x:v>Identificar fricción, capacitación o procesos que siguen fuera del sistema.</x:v>
      </x:c>
      <x:c r="AC98" s="35" t="str">
        <x:v>Uso activo = acción sustantiva, no login.</x:v>
      </x:c>
      <x:c r="AD98" s="35" t="str">
        <x:v>REC-L02_NUM | REC-L02_DEN</x:v>
      </x:c>
      <x:c r="AE98" s="35" t="str">
        <x:v>Usuarios objetivo con uso activo relevante en el periodo = 115 # / base; usuarios objetivo habilitados = 125 # / base</x:v>
      </x:c>
      <x:c r="AF98" s="35" t="str">
        <x:v>REC-L03 | LEG-002 | LEG-008 | REC-P02 | REC-P04 | LEG-009 | REC-P06 | ADM-001</x:v>
      </x:c>
      <x:c r="AG98" s="35" t="str">
        <x:v>Top-8 heuristic: same strategic objective &gt; strategic-map adjacency &gt; same department &gt; same BSC perspective.</x:v>
      </x:c>
      <x:c r="AH98" s="35" t="str">
        <x:v>YES</x:v>
      </x:c>
      <x:c r="AI98" s="35" t="str">
        <x:v>PROTOTYPE ONLY — human review required</x:v>
      </x:c>
    </x:row>
    <x:row r="99">
      <x:c r="A99" s="35" t="str">
        <x:v>REC-L03</x:v>
      </x:c>
      <x:c r="B99" s="35" t="str">
        <x:v>Cobertura de procesos críticos digitalizados</x:v>
      </x:c>
      <x:c r="C99" s="35" t="str">
        <x:v>Administración + Jurídico</x:v>
      </x:c>
      <x:c r="D99" s="35" t="str">
        <x:v>Capacidades y tecnología</x:v>
      </x:c>
      <x:c r="E99" s="35" t="str">
        <x:v>L2. Integrar información en una sola plataforma</x:v>
      </x:c>
      <x:c r="F99" s="35" t="str">
        <x:v>ESTRATÉGICO / TRANSVERSAL</x:v>
      </x:c>
      <x:c r="G99" s="35" t="str">
        <x:v>Medir transformación de procesos, no número de herramientas compradas.</x:v>
      </x:c>
      <x:c r="H99" s="35" t="str">
        <x:v>Procesos críticos con flujo digital end-to-end y trazabilidad ÷ procesos críticos priorizados × 100</x:v>
      </x:c>
      <x:c r="I99" s="35" t="str">
        <x:v>RATIO_PCT</x:v>
      </x:c>
      <x:c r="J99" s="35" t="str">
        <x:v>%</x:v>
      </x:c>
      <x:c r="K99" s="35" t="str">
        <x:v>↑</x:v>
      </x:c>
      <x:c r="L99" s="35" t="n">
        <x:v>66</x:v>
      </x:c>
      <x:c r="M99" s="35" t="n">
        <x:v>71.29629629629629</x:v>
      </x:c>
      <x:c r="N99" s="35" t="n">
        <x:v>75.86206896551724</x:v>
      </x:c>
      <x:c r="O99" s="35" t="n">
        <x:v>81.6</x:v>
      </x:c>
      <x:c r="P99" s="35" t="n">
        <x:v>71.05278842060451</x:v>
      </x:c>
      <x:c r="Q99" s="35" t="str">
        <x:v>≥80%</x:v>
      </x:c>
      <x:c r="R99" s="35" t="str">
        <x:v>60–79.9%</x:v>
      </x:c>
      <x:c r="S99" s="35" t="str">
        <x:v>&lt;60%</x:v>
      </x:c>
      <x:c r="T99" s="54" t="n">
        <x:f>IF(OR(P99="",P99=0,O99=""),"",IF(K99="↑",(O99-P99)/ABS(P99),IF(K99="↓",(P99-O99)/ABS(P99),IF(K99="↔",(ABS(P99)-ABS(O99))/ABS(P99),""))))</x:f>
        <x:v>0.14844190937250967</x:v>
      </x:c>
      <x:c r="U99" s="35" t="str">
        <x:f>IF(T99="","",IF(T99&gt;=0.1,"Strong improvement",IF(T99&gt;=0,"Improving",IF(T99&gt;=-0.1,"Attention","Deteriorating"))))</x:f>
        <x:v>Strong improvement</x:v>
      </x:c>
      <x:c r="V99" s="35" t="str">
        <x:v>Administración</x:v>
      </x:c>
      <x:c r="W99" s="35" t="str">
        <x:v>Trimestral</x:v>
      </x:c>
      <x:c r="X99" s="35" t="str">
        <x:v>Inventario de procesos + plataforma</x:v>
      </x:c>
      <x:c r="Y99" s="35" t="str">
        <x:v>Workflow activo y evidencia de uso</x:v>
      </x:c>
      <x:c r="Z99" s="35" t="str">
        <x:v>Leading</x:v>
      </x:c>
      <x:c r="AA99" s="35" t="str">
        <x:v>Semi-automatizado</x:v>
      </x:c>
      <x:c r="AB99" s="35" t="str">
        <x:v>Priorizar digitalización según riesgo/volumen.</x:v>
      </x:c>
      <x:c r="AC99" s="35" t="str">
        <x:v>Digitalizado exige eliminación del flujo paralelo no controlado y trazabilidad.</x:v>
      </x:c>
      <x:c r="AD99" s="35" t="str">
        <x:v>REC-L03_NUM | REC-L03_DEN</x:v>
      </x:c>
      <x:c r="AE99" s="35" t="str">
        <x:v>Procesos críticos con flujo digital end-to-end y trazabilidad = 102 # / base; procesos críticos priorizados = 125 # / base</x:v>
      </x:c>
      <x:c r="AF99" s="35" t="str">
        <x:v>REC-L02 | LEG-002 | LEG-008 | REC-P02 | REC-P04 | LEG-009 | REC-P06 | ADM-001</x:v>
      </x:c>
      <x:c r="AG99" s="35" t="str">
        <x:v>Top-8 heuristic: same strategic objective &gt; strategic-map adjacency &gt; same department &gt; same BSC perspective.</x:v>
      </x:c>
      <x:c r="AH99" s="35" t="str">
        <x:v>YES</x:v>
      </x:c>
      <x:c r="AI99" s="35" t="str">
        <x:v>PROTOTYPE ONLY — human review required</x:v>
      </x:c>
    </x:row>
    <x:row r="100">
      <x:c r="A100" s="35" t="str">
        <x:v>REC-L04</x:v>
      </x:c>
      <x:c r="B100" s="35" t="str">
        <x:v>Cobertura de capacitación crítica</x:v>
      </x:c>
      <x:c r="C100" s="35" t="str">
        <x:v>Dirección / RH</x:v>
      </x:c>
      <x:c r="D100" s="35" t="str">
        <x:v>Capacidades y tecnología</x:v>
      </x:c>
      <x:c r="E100" s="35" t="str">
        <x:v>L3. Fortalecer capacidades del equipo</x:v>
      </x:c>
      <x:c r="F100" s="35" t="str">
        <x:v>ESTRATÉGICO / TRANSVERSAL</x:v>
      </x:c>
      <x:c r="G100" s="35" t="str">
        <x:v>Medir competencias mínimas en temas críticos.</x:v>
      </x:c>
      <x:c r="H100" s="35" t="str">
        <x:v>Personas que completan y aprueban capacitación obligatoria ÷ personas requeridas × 100</x:v>
      </x:c>
      <x:c r="I100" s="35" t="str">
        <x:v>RATIO_PCT</x:v>
      </x:c>
      <x:c r="J100" s="35" t="str">
        <x:v>%</x:v>
      </x:c>
      <x:c r="K100" s="35" t="str">
        <x:v>↑</x:v>
      </x:c>
      <x:c r="L100" s="35" t="n">
        <x:v>84</x:v>
      </x:c>
      <x:c r="M100" s="35" t="n">
        <x:v>88.88888888888889</x:v>
      </x:c>
      <x:c r="N100" s="35" t="n">
        <x:v>93.96551724137932</x:v>
      </x:c>
      <x:c r="O100" s="35" t="n">
        <x:v>100</x:v>
      </x:c>
      <x:c r="P100" s="35" t="n">
        <x:v>88.9514687100894</x:v>
      </x:c>
      <x:c r="Q100" s="35" t="str">
        <x:v>100%</x:v>
      </x:c>
      <x:c r="R100" s="35" t="str">
        <x:v>90–99.9%</x:v>
      </x:c>
      <x:c r="S100" s="35" t="str">
        <x:v>&lt;90%</x:v>
      </x:c>
      <x:c r="T100" s="54" t="n">
        <x:f>IF(OR(P100="",P100=0,O100=""),"",IF(K100="↑",(O100-P100)/ABS(P100),IF(K100="↓",(P100-O100)/ABS(P100),IF(K100="↔",(ABS(P100)-ABS(O100))/ABS(P100),""))))</x:f>
        <x:v>0.12420853135005526</x:v>
      </x:c>
      <x:c r="U100" s="35" t="str">
        <x:f>IF(T100="","",IF(T100&gt;=0.1,"Strong improvement",IF(T100&gt;=0,"Improving",IF(T100&gt;=-0.1,"Attention","Deteriorating"))))</x:f>
        <x:v>Strong improvement</x:v>
      </x:c>
      <x:c r="V100" s="35" t="str">
        <x:v>Dirección / RH</x:v>
      </x:c>
      <x:c r="W100" s="35" t="str">
        <x:v>Trimestral</x:v>
      </x:c>
      <x:c r="X100" s="35" t="str">
        <x:v>Registro de capacitación</x:v>
      </x:c>
      <x:c r="Y100" s="35" t="str">
        <x:v>Constancias/evaluaciones</x:v>
      </x:c>
      <x:c r="Z100" s="35" t="str">
        <x:v>Leading</x:v>
      </x:c>
      <x:c r="AA100" s="35" t="str">
        <x:v>Semi-automatizado</x:v>
      </x:c>
      <x:c r="AB100" s="35" t="str">
        <x:v>Asignar capacitación pendiente y fecha límite.</x:v>
      </x:c>
      <x:c r="AC100" s="35" t="str">
        <x:v>Requiere evaluación/aprobación cuando corresponda, no sólo asistencia.</x:v>
      </x:c>
      <x:c r="AD100" s="35" t="str">
        <x:v>REC-L04_NUM | REC-L04_DEN</x:v>
      </x:c>
      <x:c r="AE100" s="35" t="str">
        <x:v>Personas que completan y aprueban capacitación obligatoria = 125 # / base; personas requeridas = 125 # / base</x:v>
      </x:c>
      <x:c r="AF100" s="35" t="str">
        <x:v>ADM-014 | LEG-006 | REC-P01 | FND-016 | REC-L01 | MKT-008 | MKT-011 | MKT-013</x:v>
      </x:c>
      <x:c r="AG100" s="35" t="str">
        <x:v>Top-8 heuristic: same strategic objective &gt; strategic-map adjacency &gt; same department &gt; same BSC perspective.</x:v>
      </x:c>
      <x:c r="AH100" s="35" t="str">
        <x:v>YES</x:v>
      </x:c>
      <x:c r="AI100" s="35" t="str">
        <x:v>PROTOTYPE ONLY — human review required</x:v>
      </x:c>
    </x:row>
    <x:row r="101">
      <x:c r="A101" s="35" t="str">
        <x:v>REC-L05</x:v>
      </x:c>
      <x:c r="B101" s="35" t="str">
        <x:v>Cumplimiento de compromisos interárea</x:v>
      </x:c>
      <x:c r="C101" s="35" t="str">
        <x:v>Todas las áreas</x:v>
      </x:c>
      <x:c r="D101" s="35" t="str">
        <x:v>Capacidades y tecnología</x:v>
      </x:c>
      <x:c r="E101" s="35" t="str">
        <x:v>L4. Fortalecer colaboración interdepartamental</x:v>
      </x:c>
      <x:c r="F101" s="35" t="str">
        <x:v>ESTRATÉGICO / TRANSVERSAL</x:v>
      </x:c>
      <x:c r="G101" s="35" t="str">
        <x:v>Medir fricción y confiabilidad entre áreas.</x:v>
      </x:c>
      <x:c r="H101" s="35" t="str">
        <x:v>Compromisos interárea cerrados en fecha y aceptados por receptor ÷ compromisos interárea vencidos × 100</x:v>
      </x:c>
      <x:c r="I101" s="35" t="str">
        <x:v>RATIO_PCT</x:v>
      </x:c>
      <x:c r="J101" s="35" t="str">
        <x:v>%</x:v>
      </x:c>
      <x:c r="K101" s="35" t="str">
        <x:v>↑</x:v>
      </x:c>
      <x:c r="L101" s="35" t="n">
        <x:v>75.55555555555556</x:v>
      </x:c>
      <x:c r="M101" s="35" t="n">
        <x:v>81.63265306122449</x:v>
      </x:c>
      <x:c r="N101" s="35" t="n">
        <x:v>86.53846153846155</x:v>
      </x:c>
      <x:c r="O101" s="35" t="n">
        <x:v>92.85714285714286</x:v>
      </x:c>
      <x:c r="P101" s="35" t="n">
        <x:v>81.24222338508054</x:v>
      </x:c>
      <x:c r="Q101" s="35" t="str">
        <x:v>≥90%</x:v>
      </x:c>
      <x:c r="R101" s="35" t="str">
        <x:v>80–89.9%</x:v>
      </x:c>
      <x:c r="S101" s="35" t="str">
        <x:v>&lt;80%</x:v>
      </x:c>
      <x:c r="T101" s="54" t="n">
        <x:f>IF(OR(P101="",P101=0,O101=""),"",IF(K101="↑",(O101-P101)/ABS(P101),IF(K101="↓",(P101-O101)/ABS(P101),IF(K101="↔",(ABS(P101)-ABS(O101))/ABS(P101),""))))</x:f>
        <x:v>0.14296653868036938</x:v>
      </x:c>
      <x:c r="U101" s="35" t="str">
        <x:f>IF(T101="","",IF(T101&gt;=0.1,"Strong improvement",IF(T101&gt;=0,"Improving",IF(T101&gt;=-0.1,"Attention","Deteriorating"))))</x:f>
        <x:v>Strong improvement</x:v>
      </x:c>
      <x:c r="V101" s="35" t="str">
        <x:v>Dirección / PMO</x:v>
      </x:c>
      <x:c r="W101" s="35" t="str">
        <x:v>Mensual</x:v>
      </x:c>
      <x:c r="X101" s="35" t="str">
        <x:v>Project/Kanban system</x:v>
      </x:c>
      <x:c r="Y101" s="35" t="str">
        <x:v>Tareas/dependencias con timestamps</x:v>
      </x:c>
      <x:c r="Z101" s="35" t="str">
        <x:v>Leading</x:v>
      </x:c>
      <x:c r="AA101" s="35" t="str">
        <x:v>Automatizado</x:v>
      </x:c>
      <x:c r="AB101" s="35" t="str">
        <x:v>Escalar dependencias críticas y reasignar responsables/plazos.</x:v>
      </x:c>
      <x:c r="AC101" s="35" t="str">
        <x:v>Compromiso con owner, fecha y criterio de aceptación; receptor valida cierre.</x:v>
      </x:c>
      <x:c r="AD101" s="35" t="str">
        <x:v>REC-L05_NUM | REC-L05_DEN</x:v>
      </x:c>
      <x:c r="AE101" s="35" t="str">
        <x:v>Compromisos interárea cerrados en fecha y aceptados por receptor = 52.0 días; compromisos interárea vencidos = 56 # / base</x:v>
      </x:c>
      <x:c r="AF101" s="35" t="str">
        <x:v>ADM-004 | ADM-012 | ADM-013 | REC-P04 | ADM-001 | REC-L01 | MKT-001 | MKT-004</x:v>
      </x:c>
      <x:c r="AG101" s="35" t="str">
        <x:v>Top-8 heuristic: same strategic objective &gt; strategic-map adjacency &gt; same department &gt; same BSC perspective.</x:v>
      </x:c>
      <x:c r="AH101" s="35" t="str">
        <x:v>YES</x:v>
      </x:c>
      <x:c r="AI101" s="35" t="str">
        <x:v>PROTOTYPE ONLY — human review required</x:v>
      </x:c>
    </x:row>
    <x:row r="102">
      <x:c r="A102" s="35" t="str">
        <x:v>REC-M02</x:v>
      </x:c>
      <x:c r="B102" s="35" t="str">
        <x:v>Costo de adquisición de nuevo donante</x:v>
      </x:c>
      <x:c r="C102" s="35" t="str">
        <x:v>Marketing y Comunicación</x:v>
      </x:c>
      <x:c r="D102" s="35" t="str">
        <x:v>Procesos internos</x:v>
      </x:c>
      <x:c r="E102" s="35" t="str">
        <x:v>P3. Integrar Marketing + Procuración</x:v>
      </x:c>
      <x:c r="F102" s="35" t="str">
        <x:v>ESTRATÉGICO / TRANSVERSAL</x:v>
      </x:c>
      <x:c r="G102" s="35" t="str">
        <x:v>Comparar eficiencia de adquisición, especialmente cuando crezca inversión en campañas.</x:v>
      </x:c>
      <x:c r="H102" s="35" t="str">
        <x:v>Costo incremental atribuible a captación ÷ nuevos donantes adquiridos atribuibles</x:v>
      </x:c>
      <x:c r="I102" s="35" t="str">
        <x:v>RATIO</x:v>
      </x:c>
      <x:c r="J102" s="35" t="str">
        <x:v>MXN/USD por donante</x:v>
      </x:c>
      <x:c r="K102" s="35" t="str">
        <x:v>↓</x:v>
      </x:c>
      <x:c r="L102" s="35" t="n">
        <x:v>980</x:v>
      </x:c>
      <x:c r="M102" s="35" t="n">
        <x:v>890</x:v>
      </x:c>
      <x:c r="N102" s="35" t="n">
        <x:v>820</x:v>
      </x:c>
      <x:c r="O102" s="35" t="n">
        <x:v>760</x:v>
      </x:c>
      <x:c r="P102" s="35" t="n">
        <x:v>896.6666666666666</x:v>
      </x:c>
      <x:c r="Q102" s="35" t="str">
        <x:v>Baseline 2026 y mejora por canal/campaña</x:v>
      </x:c>
      <x:c r="R102" s="35" t="str">
        <x:v>10% sobre baseline</x:v>
      </x:c>
      <x:c r="S102" s="35" t="str">
        <x:v>20% sobre baseline</x:v>
      </x:c>
      <x:c r="T102" s="54" t="n">
        <x:f>IF(OR(P102="",P102=0,O102=""),"",IF(K102="↑",(O102-P102)/ABS(P102),IF(K102="↓",(P102-O102)/ABS(P102),IF(K102="↔",(ABS(P102)-ABS(O102))/ABS(P102),""))))</x:f>
        <x:v>0.15241635687732338</x:v>
      </x:c>
      <x:c r="U102" s="35" t="str">
        <x:f>IF(T102="","",IF(T102&gt;=0.1,"Strong improvement",IF(T102&gt;=0,"Improving",IF(T102&gt;=-0.1,"Attention","Deteriorating"))))</x:f>
        <x:v>Strong improvement</x:v>
      </x:c>
      <x:c r="V102" s="35" t="str">
        <x:v>Marketing + Procuración</x:v>
      </x:c>
      <x:c r="W102" s="35" t="str">
        <x:v>Por campaña/Mensual</x:v>
      </x:c>
      <x:c r="X102" s="35" t="str">
        <x:v>Marketing spend + CRM</x:v>
      </x:c>
      <x:c r="Y102" s="35" t="str">
        <x:v>Gasto de campaña + altas de donante</x:v>
      </x:c>
      <x:c r="Z102" s="35" t="str">
        <x:v>Lagging</x:v>
      </x:c>
      <x:c r="AA102" s="35" t="str">
        <x:v>Automatizado</x:v>
      </x:c>
      <x:c r="AB102" s="35" t="str">
        <x:v>Optimizar canales/audiencias y comparar con valor del donante.</x:v>
      </x:c>
      <x:c r="AC102" s="35" t="str">
        <x:v>No optimizar CAC sacrificando valor/retención; usar LTV/retención como counter-metric.</x:v>
      </x:c>
      <x:c r="AD102" s="35" t="str">
        <x:v>REC-M02_NUM | REC-M02_DEN</x:v>
      </x:c>
      <x:c r="AE102" s="35" t="str">
        <x:v>Costo incremental atribuible a captación = 171,000 USD; nuevos donantes adquiridos atribuibles = 225 # / base</x:v>
      </x:c>
      <x:c r="AF102" s="35" t="str">
        <x:v>MKT-008 | MKT-011 | MKT-013 | MKT-001 | MKT-004 | MKT-014 | MKT-007 | REC-P03</x:v>
      </x:c>
      <x:c r="AG102" s="35" t="str">
        <x:v>Top-8 heuristic: same strategic objective &gt; strategic-map adjacency &gt; same department &gt; same BSC perspective.</x:v>
      </x:c>
      <x:c r="AH102" s="35" t="str">
        <x:v>YES</x:v>
      </x:c>
      <x:c r="AI102" s="35" t="str">
        <x:v>PROTOTYPE ONLY — human review required</x:v>
      </x:c>
    </x:row>
    <x:row r="103">
      <x:c r="A103" s="35" t="str">
        <x:v>REC-M03</x:v>
      </x:c>
      <x:c r="B103" s="35" t="str">
        <x:v>Contenido de impacto con evidencia verificable</x:v>
      </x:c>
      <x:c r="C103" s="35" t="str">
        <x:v>Marketing y Comunicación</x:v>
      </x:c>
      <x:c r="D103" s="35" t="str">
        <x:v>Beneficiarios y grupos de interés</x:v>
      </x:c>
      <x:c r="E103" s="35" t="str">
        <x:v>C3. Fortalecer confianza y credibilidad institucional</x:v>
      </x:c>
      <x:c r="F103" s="35" t="str">
        <x:v>ESTRATÉGICO / TRANSVERSAL</x:v>
      </x:c>
      <x:c r="G103" s="35" t="str">
        <x:v>Fortalecer credibilidad y evitar storytelling sin sustento.</x:v>
      </x:c>
      <x:c r="H103" s="35" t="str">
        <x:v>Piezas de comunicación de impacto que incluyen dato/evidencia validada ÷ piezas que comunican impacto × 100</x:v>
      </x:c>
      <x:c r="I103" s="35" t="str">
        <x:v>RATIO_PCT</x:v>
      </x:c>
      <x:c r="J103" s="35" t="str">
        <x:v>%</x:v>
      </x:c>
      <x:c r="K103" s="35" t="str">
        <x:v>↑</x:v>
      </x:c>
      <x:c r="L103" s="35" t="n">
        <x:v>84.16666666666667</x:v>
      </x:c>
      <x:c r="M103" s="35" t="n">
        <x:v>89.23076923076924</x:v>
      </x:c>
      <x:c r="N103" s="35" t="n">
        <x:v>94.24460431654677</x:v>
      </x:c>
      <x:c r="O103" s="35" t="n">
        <x:v>100</x:v>
      </x:c>
      <x:c r="P103" s="35" t="n">
        <x:v>89.21401340466089</x:v>
      </x:c>
      <x:c r="Q103" s="35" t="str">
        <x:v>100%</x:v>
      </x:c>
      <x:c r="R103" s="35" t="str">
        <x:v>90–99.9%</x:v>
      </x:c>
      <x:c r="S103" s="35" t="str">
        <x:v>&lt;90%</x:v>
      </x:c>
      <x:c r="T103" s="54" t="n">
        <x:f>IF(OR(P103="",P103=0,O103=""),"",IF(K103="↑",(O103-P103)/ABS(P103),IF(K103="↓",(P103-O103)/ABS(P103),IF(K103="↔",(ABS(P103)-ABS(O103))/ABS(P103),""))))</x:f>
        <x:v>0.12090013870820443</x:v>
      </x:c>
      <x:c r="U103" s="35" t="str">
        <x:f>IF(T103="","",IF(T103&gt;=0.1,"Strong improvement",IF(T103&gt;=0,"Improving",IF(T103&gt;=-0.1,"Attention","Deteriorating"))))</x:f>
        <x:v>Strong improvement</x:v>
      </x:c>
      <x:c r="V103" s="35" t="str">
        <x:v>Marketing</x:v>
      </x:c>
      <x:c r="W103" s="35" t="str">
        <x:v>Mensual</x:v>
      </x:c>
      <x:c r="X103" s="35" t="str">
        <x:v>Calendario editorial + repositorio de evidencia</x:v>
      </x:c>
      <x:c r="Y103" s="35" t="str">
        <x:v>Fuente de dato/consentimientos por pieza</x:v>
      </x:c>
      <x:c r="Z103" s="35" t="str">
        <x:v>Leading</x:v>
      </x:c>
      <x:c r="AA103" s="35" t="str">
        <x:v>Semi-automatizado</x:v>
      </x:c>
      <x:c r="AB103" s="35" t="str">
        <x:v>Retirar/corregir piezas sin evidencia o autorización.</x:v>
      </x:c>
      <x:c r="AC103" s="35" t="str">
        <x:v>Datos validados por Operaciones y periodo claramente identificado.</x:v>
      </x:c>
      <x:c r="AD103" s="35" t="str">
        <x:v>REC-M03_NUM | REC-M03_DEN</x:v>
      </x:c>
      <x:c r="AE103" s="35" t="str">
        <x:v>Piezas de comunicación de impacto que incluyen dato/evidencia validada = 150 # / base; piezas que comunican impacto = 150 # / base</x:v>
      </x:c>
      <x:c r="AF103" s="35" t="str">
        <x:v>MKT-003 | MKT-009 | MKT-010 | MKT-002 | REC-P02 | MKT-012 | MKT-007 | REC-C03</x:v>
      </x:c>
      <x:c r="AG103" s="35" t="str">
        <x:v>Top-8 heuristic: same strategic objective &gt; strategic-map adjacency &gt; same department &gt; same BSC perspective.</x:v>
      </x:c>
      <x:c r="AH103" s="35" t="str">
        <x:v>YES</x:v>
      </x:c>
      <x:c r="AI103" s="35" t="str">
        <x:v>PROTOTYPE ONLY — human review required</x:v>
      </x:c>
    </x:row>
    <x:row r="104">
      <x:c r="A104" s="35" t="str">
        <x:v>REC-F07</x:v>
      </x:c>
      <x:c r="B104" s="35" t="str">
        <x:v>Nuevos donantes recurrentes totales</x:v>
      </x:c>
      <x:c r="C104" s="35" t="str">
        <x:v>Procuración de Fondos</x:v>
      </x:c>
      <x:c r="D104" s="35" t="str">
        <x:v>Sostenibilidad financiera</x:v>
      </x:c>
      <x:c r="E104" s="35" t="str">
        <x:v>F2. Incrementar y retener donantes recurrentes</x:v>
      </x:c>
      <x:c r="F104" s="35" t="str">
        <x:v>BSC EJECUTIVO</x:v>
      </x:c>
      <x:c r="G104" s="35" t="str">
        <x:v>Dar a Dirección una vista consolidada del crecimiento de la base recurrente en los cuatro países.</x:v>
      </x:c>
      <x:c r="H104" s="35" t="str">
        <x:v>Nuevos donantes recurrentes USA + México + Perú + Colombia</x:v>
      </x:c>
      <x:c r="I104" s="35" t="str">
        <x:v>SUM</x:v>
      </x:c>
      <x:c r="J104" s="35" t="str">
        <x:v># donantes</x:v>
      </x:c>
      <x:c r="K104" s="35" t="str">
        <x:v>↑</x:v>
      </x:c>
      <x:c r="L104" s="35" t="n">
        <x:v>32.63999999999999</x:v>
      </x:c>
      <x:c r="M104" s="35" t="n">
        <x:v>37.43000000000001</x:v>
      </x:c>
      <x:c r="N104" s="35" t="n">
        <x:v>42.72999999999999</x:v>
      </x:c>
      <x:c r="O104" s="35" t="n">
        <x:v>48.97</x:v>
      </x:c>
      <x:c r="P104" s="35" t="n">
        <x:v>37.599999999999994</x:v>
      </x:c>
      <x:c r="Q104" s="35" t="str">
        <x:v>≥48</x:v>
      </x:c>
      <x:c r="R104" s="35" t="str">
        <x:v>40–47</x:v>
      </x:c>
      <x:c r="S104" s="35" t="str">
        <x:v>&lt;40</x:v>
      </x:c>
      <x:c r="T104" s="54" t="n">
        <x:f>IF(OR(P104="",P104=0,O104=""),"",IF(K104="↑",(O104-P104)/ABS(P104),IF(K104="↓",(P104-O104)/ABS(P104),IF(K104="↔",(ABS(P104)-ABS(O104))/ABS(P104),""))))</x:f>
        <x:v>0.30239361702127676</x:v>
      </x:c>
      <x:c r="U104" s="35" t="str">
        <x:f>IF(T104="","",IF(T104&gt;=0.1,"Strong improvement",IF(T104&gt;=0,"Improving",IF(T104&gt;=-0.1,"Attention","Deteriorating"))))</x:f>
        <x:v>Strong improvement</x:v>
      </x:c>
      <x:c r="V104" s="35" t="str">
        <x:v>Procuración de Fondos</x:v>
      </x:c>
      <x:c r="W104" s="35" t="str">
        <x:v>Mensual / acumulado</x:v>
      </x:c>
      <x:c r="X104" s="35" t="str">
        <x:v>CRM / registros de donación recurrente</x:v>
      </x:c>
      <x:c r="Y104" s="35" t="str">
        <x:v>Primer cobro exitoso + recurrencia activa</x:v>
      </x:c>
      <x:c r="Z104" s="35" t="str">
        <x:v>Lagging</x:v>
      </x:c>
      <x:c r="AA104" s="35" t="str">
        <x:v>Automatizado ideal / manual temporal</x:v>
      </x:c>
      <x:c r="AB104" s="35" t="str">
        <x:v>Si el ritmo proyectado cae bajo meta, revisar adquisición por país, campaña y conversión.</x:v>
      </x:c>
      <x:c r="AC104" s="35" t="str">
        <x:v>Deduplicar personas; contar sólo primer cobro exitoso y no reactivaciones salvo reporte separado.</x:v>
      </x:c>
      <x:c r="AD104" s="35" t="str">
        <x:v>REC-F07_P1 | REC-F07_P2 | REC-F07_P3 | REC-F07_P4</x:v>
      </x:c>
      <x:c r="AE104" s="35" t="str">
        <x:v>Nuevos donantes recurrentes USA = 6 #; México = 30 #; Perú = 8 #; Colombia = 5 #</x:v>
      </x:c>
      <x:c r="AF104" s="35" t="str">
        <x:v>FND-006 | FND-007 | FND-008 | REC-M02 | REC-P03 | FND-009 | FND-011 | FND-013</x:v>
      </x:c>
      <x:c r="AG104" s="35" t="str">
        <x:v>Top-8 heuristic: same strategic objective &gt; strategic-map adjacency &gt; same department &gt; same BSC perspective.</x:v>
      </x:c>
      <x:c r="AH104" s="35" t="str">
        <x:v>YES</x:v>
      </x:c>
      <x:c r="AI104" s="35" t="str">
        <x:v>PROTOTYPE ONLY — human review required</x:v>
      </x:c>
    </x:row>
  </x:sheetData>
  <x:conditionalFormatting sqref="T2:T104">
    <x:cfRule type="expression" dxfId="0" priority="1">
      <x:formula>T2&gt;=0.1</x:formula>
    </x:cfRule>
    <x:cfRule type="expression" dxfId="1" priority="2">
      <x:formula>AND(T2&gt;=0,T2&lt;0.1)</x:formula>
    </x:cfRule>
    <x:cfRule type="expression" dxfId="2" priority="3">
      <x:formula>AND(T2&lt;0,T2&gt;=-0.1)</x:formula>
    </x:cfRule>
    <x:cfRule type="expression" dxfId="3" priority="4">
      <x:formula>T2&lt;-0.1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7d26bd59f041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8" hidden="0" customWidth="1"/>
    <x:col min="4" max="4" width="14" hidden="0" customWidth="1"/>
    <x:col min="5" max="5" width="40" hidden="0" customWidth="1"/>
    <x:col min="6" max="6" width="36" hidden="0" customWidth="1"/>
    <x:col min="7" max="7" width="14" hidden="0" customWidth="1"/>
    <x:col min="8" max="8" width="24" hidden="0" customWidth="1"/>
    <x:col min="9" max="9" width="24" hidden="0" customWidth="1"/>
    <x:col min="10" max="10" width="42" hidden="0" customWidth="1"/>
    <x:col min="11" max="11" width="14" hidden="0" customWidth="1"/>
    <x:col min="12" max="12" width="16" hidden="0" customWidth="1"/>
    <x:col min="13" max="13" width="18" hidden="0" customWidth="1"/>
    <x:col min="14" max="14" width="20" hidden="0" customWidth="1"/>
    <x:col min="15" max="15" width="52" hidden="0" customWidth="1"/>
    <x:col min="16" max="16" width="14" hidden="0" customWidth="1"/>
  </x:cols>
  <x:sheetData>
    <x:row r="1" ht="32" customHeight="1">
      <x:c r="A1" s="47" t="str">
        <x:v>Focal_KPI_ID</x:v>
      </x:c>
      <x:c r="B1" s="47" t="str">
        <x:v>Focal_KPI_Name</x:v>
      </x:c>
      <x:c r="C1" s="47" t="str">
        <x:v>Rank</x:v>
      </x:c>
      <x:c r="D1" s="47" t="str">
        <x:v>Related_KPI_ID</x:v>
      </x:c>
      <x:c r="E1" s="47" t="str">
        <x:v>Related_KPI_Name</x:v>
      </x:c>
      <x:c r="F1" s="47" t="str">
        <x:v>Relation_Type</x:v>
      </x:c>
      <x:c r="G1" s="47" t="str">
        <x:v>Relation_Score</x:v>
      </x:c>
      <x:c r="H1" s="47" t="str">
        <x:v>Related_Department</x:v>
      </x:c>
      <x:c r="I1" s="47" t="str">
        <x:v>Related_BSC_Perspective</x:v>
      </x:c>
      <x:c r="J1" s="47" t="str">
        <x:v>Related_Strategic_Objective</x:v>
      </x:c>
      <x:c r="K1" s="47" t="str">
        <x:v>Related_2026</x:v>
      </x:c>
      <x:c r="L1" s="47" t="str">
        <x:v>Related_Baseline_3Y</x:v>
      </x:c>
      <x:c r="M1" s="47" t="str">
        <x:v>Related_Performance_Change</x:v>
      </x:c>
      <x:c r="N1" s="47" t="str">
        <x:v>Related_Trend_Health</x:v>
      </x:c>
      <x:c r="O1" s="47" t="str">
        <x:v>Why_Included</x:v>
      </x:c>
      <x:c r="P1" s="47" t="str">
        <x:v>Synthetic_Data</x:v>
      </x:c>
    </x:row>
    <x:row r="2">
      <x:c r="A2" s="20" t="str">
        <x:v>ADM-001</x:v>
      </x:c>
      <x:c r="B2" s="20" t="str">
        <x:v>Facturación de donativos emitida dentro del SLA</x:v>
      </x:c>
      <x:c r="C2" s="20" t="n">
        <x:v>1</x:v>
      </x:c>
      <x:c r="D2" s="20" t="str">
        <x:v>ADM-002</x:v>
      </x:c>
      <x:c r="E2" s="20" t="str">
        <x:v>Solicitudes de compra procesadas dentro del SLA</x:v>
      </x:c>
      <x:c r="F2" s="20" t="str">
        <x:v>Same strategic objective; Same department; Same BSC perspective</x:v>
      </x:c>
      <x:c r="G2" s="20" t="n">
        <x:v>87</x:v>
      </x:c>
      <x:c r="H2" s="20" t="str">
        <x:v>Administración</x:v>
      </x:c>
      <x:c r="I2" s="20" t="str">
        <x:v>Procesos internos</x:v>
      </x:c>
      <x:c r="J2" s="20" t="str">
        <x:v>P4. Simplificar y digitalizar procesos</x:v>
      </x:c>
      <x:c r="K2" s="20" t="n">
        <x:v>100</x:v>
      </x:c>
      <x:c r="L2" s="20" t="n">
        <x:v>89.08024931406226</x:v>
      </x:c>
      <x:c r="M2" s="52" t="n">
        <x:v>0.12258329730801444</x:v>
      </x:c>
      <x:c r="N2" s="20" t="str">
        <x:v>Strong improvement</x:v>
      </x:c>
      <x:c r="O2" s="20" t="str">
        <x:v>Prototype retrieval heuristic; association is not proof of causality.</x:v>
      </x:c>
      <x:c r="P2" s="20" t="str">
        <x:v>YES</x:v>
      </x:c>
    </x:row>
    <x:row r="3">
      <x:c r="A3" s="20" t="str">
        <x:v>ADM-001</x:v>
      </x:c>
      <x:c r="B3" s="20" t="str">
        <x:v>Facturación de donativos emitida dentro del SLA</x:v>
      </x:c>
      <x:c r="C3" s="20" t="n">
        <x:v>2</x:v>
      </x:c>
      <x:c r="D3" s="20" t="str">
        <x:v>ADM-003</x:v>
      </x:c>
      <x:c r="E3" s="20" t="str">
        <x:v>Pagos realizados en la fecha programada</x:v>
      </x:c>
      <x:c r="F3" s="20" t="str">
        <x:v>Same strategic objective; Same department; Same BSC perspective</x:v>
      </x:c>
      <x:c r="G3" s="20" t="n">
        <x:v>87</x:v>
      </x:c>
      <x:c r="H3" s="20" t="str">
        <x:v>Administración</x:v>
      </x:c>
      <x:c r="I3" s="20" t="str">
        <x:v>Procesos internos</x:v>
      </x:c>
      <x:c r="J3" s="20" t="str">
        <x:v>P4. Simplificar y digitalizar procesos</x:v>
      </x:c>
      <x:c r="K3" s="20" t="n">
        <x:v>100</x:v>
      </x:c>
      <x:c r="L3" s="20" t="n">
        <x:v>89.49938949938951</x:v>
      </x:c>
      <x:c r="M3" s="52" t="n">
        <x:v>0.11732605729877206</x:v>
      </x:c>
      <x:c r="N3" s="20" t="str">
        <x:v>Strong improvement</x:v>
      </x:c>
      <x:c r="O3" s="20" t="str">
        <x:v>Prototype retrieval heuristic; association is not proof of causality.</x:v>
      </x:c>
      <x:c r="P3" s="20" t="str">
        <x:v>YES</x:v>
      </x:c>
    </x:row>
    <x:row r="4">
      <x:c r="A4" s="20" t="str">
        <x:v>ADM-001</x:v>
      </x:c>
      <x:c r="B4" s="20" t="str">
        <x:v>Facturación de donativos emitida dentro del SLA</x:v>
      </x:c>
      <x:c r="C4" s="20" t="n">
        <x:v>3</x:v>
      </x:c>
      <x:c r="D4" s="20" t="str">
        <x:v>ADM-016</x:v>
      </x:c>
      <x:c r="E4" s="20" t="str">
        <x:v>Viajes gestionados dentro de una semana</x:v>
      </x:c>
      <x:c r="F4" s="20" t="str">
        <x:v>Same strategic objective; Same department; Same BSC perspective</x:v>
      </x:c>
      <x:c r="G4" s="20" t="n">
        <x:v>87</x:v>
      </x:c>
      <x:c r="H4" s="20" t="str">
        <x:v>Administración</x:v>
      </x:c>
      <x:c r="I4" s="20" t="str">
        <x:v>Procesos internos</x:v>
      </x:c>
      <x:c r="J4" s="20" t="str">
        <x:v>P4. Simplificar y digitalizar procesos</x:v>
      </x:c>
      <x:c r="K4" s="20" t="n">
        <x:v>100</x:v>
      </x:c>
      <x:c r="L4" s="20" t="n">
        <x:v>88.9514687100894</x:v>
      </x:c>
      <x:c r="M4" s="52" t="n">
        <x:v>0.12420853135005526</x:v>
      </x:c>
      <x:c r="N4" s="20" t="str">
        <x:v>Strong improvement</x:v>
      </x:c>
      <x:c r="O4" s="20" t="str">
        <x:v>Prototype retrieval heuristic; association is not proof of causality.</x:v>
      </x:c>
      <x:c r="P4" s="20" t="str">
        <x:v>YES</x:v>
      </x:c>
    </x:row>
    <x:row r="5">
      <x:c r="A5" s="20" t="str">
        <x:v>ADM-001</x:v>
      </x:c>
      <x:c r="B5" s="20" t="str">
        <x:v>Facturación de donativos emitida dentro del SLA</x:v>
      </x:c>
      <x:c r="C5" s="20" t="n">
        <x:v>4</x:v>
      </x:c>
      <x:c r="D5" s="20" t="str">
        <x:v>ADM-004</x:v>
      </x:c>
      <x:c r="E5" s="20" t="str">
        <x:v>Presupuestos anuales aprobados dentro del calendario</x:v>
      </x:c>
      <x:c r="F5" s="20" t="str">
        <x:v>Strategic-map adjacent objective; Same department</x:v>
      </x:c>
      <x:c r="G5" s="20" t="n">
        <x:v>67</x:v>
      </x:c>
      <x:c r="H5" s="20" t="str">
        <x:v>Administración</x:v>
      </x:c>
      <x:c r="I5" s="20" t="str">
        <x:v>Capacidades y tecnología</x:v>
      </x:c>
      <x:c r="J5" s="20" t="str">
        <x:v>L4. Fortalecer colaboración interdepartamental</x:v>
      </x:c>
      <x:c r="K5" s="20" t="n">
        <x:v>100</x:v>
      </x:c>
      <x:c r="L5" s="20" t="n">
        <x:v>88.9514687100894</x:v>
      </x:c>
      <x:c r="M5" s="52" t="n">
        <x:v>0.12420853135005526</x:v>
      </x:c>
      <x:c r="N5" s="20" t="str">
        <x:v>Strong improvement</x:v>
      </x:c>
      <x:c r="O5" s="20" t="str">
        <x:v>Prototype retrieval heuristic; association is not proof of causality.</x:v>
      </x:c>
      <x:c r="P5" s="20" t="str">
        <x:v>YES</x:v>
      </x:c>
    </x:row>
    <x:row r="6">
      <x:c r="A6" s="20" t="str">
        <x:v>ADM-001</x:v>
      </x:c>
      <x:c r="B6" s="20" t="str">
        <x:v>Facturación de donativos emitida dentro del SLA</x:v>
      </x:c>
      <x:c r="C6" s="20" t="n">
        <x:v>5</x:v>
      </x:c>
      <x:c r="D6" s="20" t="str">
        <x:v>ADM-006</x:v>
      </x:c>
      <x:c r="E6" s="20" t="str">
        <x:v>Informes regulatorios presentados en tiempo y forma</x:v>
      </x:c>
      <x:c r="F6" s="20" t="str">
        <x:v>Strategic-map adjacent objective; Same department</x:v>
      </x:c>
      <x:c r="G6" s="20" t="n">
        <x:v>67</x:v>
      </x:c>
      <x:c r="H6" s="20" t="str">
        <x:v>Administración</x:v>
      </x:c>
      <x:c r="I6" s="20" t="str">
        <x:v>Beneficiarios y grupos de interés</x:v>
      </x:c>
      <x:c r="J6" s="20" t="str">
        <x:v>C3. Fortalecer confianza y credibilidad institucional</x:v>
      </x:c>
      <x:c r="K6" s="20" t="n">
        <x:v>100</x:v>
      </x:c>
      <x:c r="L6" s="20" t="n">
        <x:v>88.9514687100894</x:v>
      </x:c>
      <x:c r="M6" s="52" t="n">
        <x:v>0.12420853135005526</x:v>
      </x:c>
      <x:c r="N6" s="20" t="str">
        <x:v>Strong improvement</x:v>
      </x:c>
      <x:c r="O6" s="20" t="str">
        <x:v>Prototype retrieval heuristic; association is not proof of causality.</x:v>
      </x:c>
      <x:c r="P6" s="20" t="str">
        <x:v>YES</x:v>
      </x:c>
    </x:row>
    <x:row r="7">
      <x:c r="A7" s="20" t="str">
        <x:v>ADM-001</x:v>
      </x:c>
      <x:c r="B7" s="20" t="str">
        <x:v>Facturación de donativos emitida dentro del SLA</x:v>
      </x:c>
      <x:c r="C7" s="20" t="n">
        <x:v>6</x:v>
      </x:c>
      <x:c r="D7" s="20" t="str">
        <x:v>ADM-017</x:v>
      </x:c>
      <x:c r="E7" s="20" t="str">
        <x:v>Viáticos comprobados dentro de 30 días</x:v>
      </x:c>
      <x:c r="F7" s="20" t="str">
        <x:v>Same strategic objective; Same department; Same BSC perspective</x:v>
      </x:c>
      <x:c r="G7" s="20" t="n">
        <x:v>87</x:v>
      </x:c>
      <x:c r="H7" s="20" t="str">
        <x:v>Administración</x:v>
      </x:c>
      <x:c r="I7" s="20" t="str">
        <x:v>Procesos internos</x:v>
      </x:c>
      <x:c r="J7" s="20" t="str">
        <x:v>P4. Simplificar y digitalizar procesos</x:v>
      </x:c>
      <x:c r="K7" s="20" t="n">
        <x:v>100</x:v>
      </x:c>
      <x:c r="L7" s="20" t="n">
        <x:v>88.9514687100894</x:v>
      </x:c>
      <x:c r="M7" s="52" t="n">
        <x:v>0.12420853135005526</x:v>
      </x:c>
      <x:c r="N7" s="20" t="str">
        <x:v>Strong improvement</x:v>
      </x:c>
      <x:c r="O7" s="20" t="str">
        <x:v>Prototype retrieval heuristic; association is not proof of causality.</x:v>
      </x:c>
      <x:c r="P7" s="20" t="str">
        <x:v>YES</x:v>
      </x:c>
    </x:row>
    <x:row r="8">
      <x:c r="A8" s="20" t="str">
        <x:v>ADM-001</x:v>
      </x:c>
      <x:c r="B8" s="20" t="str">
        <x:v>Facturación de donativos emitida dentro del SLA</x:v>
      </x:c>
      <x:c r="C8" s="20" t="n">
        <x:v>7</x:v>
      </x:c>
      <x:c r="D8" s="20" t="str">
        <x:v>REC-P04</x:v>
      </x:c>
      <x:c r="E8" s="20" t="str">
        <x:v>Cumplimiento agregado de SLA administrativos</x:v>
      </x:c>
      <x:c r="F8" s="20" t="str">
        <x:v>Same strategic objective; Same department; Same BSC perspective</x:v>
      </x:c>
      <x:c r="G8" s="20" t="n">
        <x:v>85</x:v>
      </x:c>
      <x:c r="H8" s="20" t="str">
        <x:v>Administración</x:v>
      </x:c>
      <x:c r="I8" s="20" t="str">
        <x:v>Procesos internos</x:v>
      </x:c>
      <x:c r="J8" s="20" t="str">
        <x:v>P4. Simplificar y digitalizar procesos</x:v>
      </x:c>
      <x:c r="K8" s="20" t="n">
        <x:v>96</x:v>
      </x:c>
      <x:c r="L8" s="20" t="n">
        <x:v>84.01745423584504</x:v>
      </x:c>
      <x:c r="M8" s="52" t="n">
        <x:v>0.14261971959444059</x:v>
      </x:c>
      <x:c r="N8" s="20" t="str">
        <x:v>Strong improvement</x:v>
      </x:c>
      <x:c r="O8" s="20" t="str">
        <x:v>Prototype retrieval heuristic; association is not proof of causality.</x:v>
      </x:c>
      <x:c r="P8" s="20" t="str">
        <x:v>YES</x:v>
      </x:c>
    </x:row>
    <x:row r="9">
      <x:c r="A9" s="20" t="str">
        <x:v>ADM-001</x:v>
      </x:c>
      <x:c r="B9" s="20" t="str">
        <x:v>Facturación de donativos emitida dentro del SLA</x:v>
      </x:c>
      <x:c r="C9" s="20" t="n">
        <x:v>8</x:v>
      </x:c>
      <x:c r="D9" s="20" t="str">
        <x:v>LEG-001</x:v>
      </x:c>
      <x:c r="E9" s="20" t="str">
        <x:v>Tiempo de ciclo para liberación contractual</x:v>
      </x:c>
      <x:c r="F9" s="20" t="str">
        <x:v>Same strategic objective; Same BSC perspective</x:v>
      </x:c>
      <x:c r="G9" s="20" t="n">
        <x:v>62</x:v>
      </x:c>
      <x:c r="H9" s="20" t="str">
        <x:v>Jurídico</x:v>
      </x:c>
      <x:c r="I9" s="20" t="str">
        <x:v>Procesos internos</x:v>
      </x:c>
      <x:c r="J9" s="20" t="str">
        <x:v>P4. Simplificar y digitalizar procesos</x:v>
      </x:c>
      <x:c r="K9" s="20" t="n">
        <x:v>3.1</x:v>
      </x:c>
      <x:c r="L9" s="20" t="n">
        <x:v>4.8999999999999995</x:v>
      </x:c>
      <x:c r="M9" s="52" t="n">
        <x:v>0.3673469387755101</x:v>
      </x:c>
      <x:c r="N9" s="20" t="str">
        <x:v>Strong improvement</x:v>
      </x:c>
      <x:c r="O9" s="20" t="str">
        <x:v>Prototype retrieval heuristic; association is not proof of causality.</x:v>
      </x:c>
      <x:c r="P9" s="20" t="str">
        <x:v>YES</x:v>
      </x:c>
    </x:row>
    <x:row r="10">
      <x:c r="A10" s="20" t="str">
        <x:v>ADM-002</x:v>
      </x:c>
      <x:c r="B10" s="20" t="str">
        <x:v>Solicitudes de compra procesadas dentro del SLA</x:v>
      </x:c>
      <x:c r="C10" s="20" t="n">
        <x:v>1</x:v>
      </x:c>
      <x:c r="D10" s="20" t="str">
        <x:v>ADM-001</x:v>
      </x:c>
      <x:c r="E10" s="20" t="str">
        <x:v>Facturación de donativos emitida dentro del SLA</x:v>
      </x:c>
      <x:c r="F10" s="20" t="str">
        <x:v>Same strategic objective; Same department; Same BSC perspective</x:v>
      </x:c>
      <x:c r="G10" s="20" t="n">
        <x:v>87</x:v>
      </x:c>
      <x:c r="H10" s="20" t="str">
        <x:v>Administración</x:v>
      </x:c>
      <x:c r="I10" s="20" t="str">
        <x:v>Procesos internos</x:v>
      </x:c>
      <x:c r="J10" s="20" t="str">
        <x:v>P4. Simplificar y digitalizar procesos</x:v>
      </x:c>
      <x:c r="K10" s="20" t="n">
        <x:v>100</x:v>
      </x:c>
      <x:c r="L10" s="20" t="n">
        <x:v>89.08024931406226</x:v>
      </x:c>
      <x:c r="M10" s="52" t="n">
        <x:v>0.12258329730801444</x:v>
      </x:c>
      <x:c r="N10" s="20" t="str">
        <x:v>Strong improvement</x:v>
      </x:c>
      <x:c r="O10" s="20" t="str">
        <x:v>Prototype retrieval heuristic; association is not proof of causality.</x:v>
      </x:c>
      <x:c r="P10" s="20" t="str">
        <x:v>YES</x:v>
      </x:c>
    </x:row>
    <x:row r="11">
      <x:c r="A11" s="20" t="str">
        <x:v>ADM-002</x:v>
      </x:c>
      <x:c r="B11" s="20" t="str">
        <x:v>Solicitudes de compra procesadas dentro del SLA</x:v>
      </x:c>
      <x:c r="C11" s="20" t="n">
        <x:v>2</x:v>
      </x:c>
      <x:c r="D11" s="20" t="str">
        <x:v>ADM-003</x:v>
      </x:c>
      <x:c r="E11" s="20" t="str">
        <x:v>Pagos realizados en la fecha programada</x:v>
      </x:c>
      <x:c r="F11" s="20" t="str">
        <x:v>Same strategic objective; Same department; Same BSC perspective</x:v>
      </x:c>
      <x:c r="G11" s="20" t="n">
        <x:v>87</x:v>
      </x:c>
      <x:c r="H11" s="20" t="str">
        <x:v>Administración</x:v>
      </x:c>
      <x:c r="I11" s="20" t="str">
        <x:v>Procesos internos</x:v>
      </x:c>
      <x:c r="J11" s="20" t="str">
        <x:v>P4. Simplificar y digitalizar procesos</x:v>
      </x:c>
      <x:c r="K11" s="20" t="n">
        <x:v>100</x:v>
      </x:c>
      <x:c r="L11" s="20" t="n">
        <x:v>89.49938949938951</x:v>
      </x:c>
      <x:c r="M11" s="52" t="n">
        <x:v>0.11732605729877206</x:v>
      </x:c>
      <x:c r="N11" s="20" t="str">
        <x:v>Strong improvement</x:v>
      </x:c>
      <x:c r="O11" s="20" t="str">
        <x:v>Prototype retrieval heuristic; association is not proof of causality.</x:v>
      </x:c>
      <x:c r="P11" s="20" t="str">
        <x:v>YES</x:v>
      </x:c>
    </x:row>
    <x:row r="12">
      <x:c r="A12" s="20" t="str">
        <x:v>ADM-002</x:v>
      </x:c>
      <x:c r="B12" s="20" t="str">
        <x:v>Solicitudes de compra procesadas dentro del SLA</x:v>
      </x:c>
      <x:c r="C12" s="20" t="n">
        <x:v>3</x:v>
      </x:c>
      <x:c r="D12" s="20" t="str">
        <x:v>ADM-016</x:v>
      </x:c>
      <x:c r="E12" s="20" t="str">
        <x:v>Viajes gestionados dentro de una semana</x:v>
      </x:c>
      <x:c r="F12" s="20" t="str">
        <x:v>Same strategic objective; Same department; Same BSC perspective</x:v>
      </x:c>
      <x:c r="G12" s="20" t="n">
        <x:v>87</x:v>
      </x:c>
      <x:c r="H12" s="20" t="str">
        <x:v>Administración</x:v>
      </x:c>
      <x:c r="I12" s="20" t="str">
        <x:v>Procesos internos</x:v>
      </x:c>
      <x:c r="J12" s="20" t="str">
        <x:v>P4. Simplificar y digitalizar procesos</x:v>
      </x:c>
      <x:c r="K12" s="20" t="n">
        <x:v>100</x:v>
      </x:c>
      <x:c r="L12" s="20" t="n">
        <x:v>88.9514687100894</x:v>
      </x:c>
      <x:c r="M12" s="52" t="n">
        <x:v>0.12420853135005526</x:v>
      </x:c>
      <x:c r="N12" s="20" t="str">
        <x:v>Strong improvement</x:v>
      </x:c>
      <x:c r="O12" s="20" t="str">
        <x:v>Prototype retrieval heuristic; association is not proof of causality.</x:v>
      </x:c>
      <x:c r="P12" s="20" t="str">
        <x:v>YES</x:v>
      </x:c>
    </x:row>
    <x:row r="13">
      <x:c r="A13" s="20" t="str">
        <x:v>ADM-002</x:v>
      </x:c>
      <x:c r="B13" s="20" t="str">
        <x:v>Solicitudes de compra procesadas dentro del SLA</x:v>
      </x:c>
      <x:c r="C13" s="20" t="n">
        <x:v>4</x:v>
      </x:c>
      <x:c r="D13" s="20" t="str">
        <x:v>ADM-004</x:v>
      </x:c>
      <x:c r="E13" s="20" t="str">
        <x:v>Presupuestos anuales aprobados dentro del calendario</x:v>
      </x:c>
      <x:c r="F13" s="20" t="str">
        <x:v>Strategic-map adjacent objective; Same department</x:v>
      </x:c>
      <x:c r="G13" s="20" t="n">
        <x:v>67</x:v>
      </x:c>
      <x:c r="H13" s="20" t="str">
        <x:v>Administración</x:v>
      </x:c>
      <x:c r="I13" s="20" t="str">
        <x:v>Capacidades y tecnología</x:v>
      </x:c>
      <x:c r="J13" s="20" t="str">
        <x:v>L4. Fortalecer colaboración interdepartamental</x:v>
      </x:c>
      <x:c r="K13" s="20" t="n">
        <x:v>100</x:v>
      </x:c>
      <x:c r="L13" s="20" t="n">
        <x:v>88.9514687100894</x:v>
      </x:c>
      <x:c r="M13" s="52" t="n">
        <x:v>0.12420853135005526</x:v>
      </x:c>
      <x:c r="N13" s="20" t="str">
        <x:v>Strong improvement</x:v>
      </x:c>
      <x:c r="O13" s="20" t="str">
        <x:v>Prototype retrieval heuristic; association is not proof of causality.</x:v>
      </x:c>
      <x:c r="P13" s="20" t="str">
        <x:v>YES</x:v>
      </x:c>
    </x:row>
    <x:row r="14">
      <x:c r="A14" s="20" t="str">
        <x:v>ADM-002</x:v>
      </x:c>
      <x:c r="B14" s="20" t="str">
        <x:v>Solicitudes de compra procesadas dentro del SLA</x:v>
      </x:c>
      <x:c r="C14" s="20" t="n">
        <x:v>5</x:v>
      </x:c>
      <x:c r="D14" s="20" t="str">
        <x:v>ADM-006</x:v>
      </x:c>
      <x:c r="E14" s="20" t="str">
        <x:v>Informes regulatorios presentados en tiempo y forma</x:v>
      </x:c>
      <x:c r="F14" s="20" t="str">
        <x:v>Strategic-map adjacent objective; Same department</x:v>
      </x:c>
      <x:c r="G14" s="20" t="n">
        <x:v>67</x:v>
      </x:c>
      <x:c r="H14" s="20" t="str">
        <x:v>Administración</x:v>
      </x:c>
      <x:c r="I14" s="20" t="str">
        <x:v>Beneficiarios y grupos de interés</x:v>
      </x:c>
      <x:c r="J14" s="20" t="str">
        <x:v>C3. Fortalecer confianza y credibilidad institucional</x:v>
      </x:c>
      <x:c r="K14" s="20" t="n">
        <x:v>100</x:v>
      </x:c>
      <x:c r="L14" s="20" t="n">
        <x:v>88.9514687100894</x:v>
      </x:c>
      <x:c r="M14" s="52" t="n">
        <x:v>0.12420853135005526</x:v>
      </x:c>
      <x:c r="N14" s="20" t="str">
        <x:v>Strong improvement</x:v>
      </x:c>
      <x:c r="O14" s="20" t="str">
        <x:v>Prototype retrieval heuristic; association is not proof of causality.</x:v>
      </x:c>
      <x:c r="P14" s="20" t="str">
        <x:v>YES</x:v>
      </x:c>
    </x:row>
    <x:row r="15">
      <x:c r="A15" s="20" t="str">
        <x:v>ADM-002</x:v>
      </x:c>
      <x:c r="B15" s="20" t="str">
        <x:v>Solicitudes de compra procesadas dentro del SLA</x:v>
      </x:c>
      <x:c r="C15" s="20" t="n">
        <x:v>6</x:v>
      </x:c>
      <x:c r="D15" s="20" t="str">
        <x:v>ADM-017</x:v>
      </x:c>
      <x:c r="E15" s="20" t="str">
        <x:v>Viáticos comprobados dentro de 30 días</x:v>
      </x:c>
      <x:c r="F15" s="20" t="str">
        <x:v>Same strategic objective; Same department; Same BSC perspective</x:v>
      </x:c>
      <x:c r="G15" s="20" t="n">
        <x:v>87</x:v>
      </x:c>
      <x:c r="H15" s="20" t="str">
        <x:v>Administración</x:v>
      </x:c>
      <x:c r="I15" s="20" t="str">
        <x:v>Procesos internos</x:v>
      </x:c>
      <x:c r="J15" s="20" t="str">
        <x:v>P4. Simplificar y digitalizar procesos</x:v>
      </x:c>
      <x:c r="K15" s="20" t="n">
        <x:v>100</x:v>
      </x:c>
      <x:c r="L15" s="20" t="n">
        <x:v>88.9514687100894</x:v>
      </x:c>
      <x:c r="M15" s="52" t="n">
        <x:v>0.12420853135005526</x:v>
      </x:c>
      <x:c r="N15" s="20" t="str">
        <x:v>Strong improvement</x:v>
      </x:c>
      <x:c r="O15" s="20" t="str">
        <x:v>Prototype retrieval heuristic; association is not proof of causality.</x:v>
      </x:c>
      <x:c r="P15" s="20" t="str">
        <x:v>YES</x:v>
      </x:c>
    </x:row>
    <x:row r="16">
      <x:c r="A16" s="20" t="str">
        <x:v>ADM-002</x:v>
      </x:c>
      <x:c r="B16" s="20" t="str">
        <x:v>Solicitudes de compra procesadas dentro del SLA</x:v>
      </x:c>
      <x:c r="C16" s="20" t="n">
        <x:v>7</x:v>
      </x:c>
      <x:c r="D16" s="20" t="str">
        <x:v>REC-P04</x:v>
      </x:c>
      <x:c r="E16" s="20" t="str">
        <x:v>Cumplimiento agregado de SLA administrativos</x:v>
      </x:c>
      <x:c r="F16" s="20" t="str">
        <x:v>Same strategic objective; Same department; Same BSC perspective</x:v>
      </x:c>
      <x:c r="G16" s="20" t="n">
        <x:v>85</x:v>
      </x:c>
      <x:c r="H16" s="20" t="str">
        <x:v>Administración</x:v>
      </x:c>
      <x:c r="I16" s="20" t="str">
        <x:v>Procesos internos</x:v>
      </x:c>
      <x:c r="J16" s="20" t="str">
        <x:v>P4. Simplificar y digitalizar procesos</x:v>
      </x:c>
      <x:c r="K16" s="20" t="n">
        <x:v>96</x:v>
      </x:c>
      <x:c r="L16" s="20" t="n">
        <x:v>84.01745423584504</x:v>
      </x:c>
      <x:c r="M16" s="52" t="n">
        <x:v>0.14261971959444059</x:v>
      </x:c>
      <x:c r="N16" s="20" t="str">
        <x:v>Strong improvement</x:v>
      </x:c>
      <x:c r="O16" s="20" t="str">
        <x:v>Prototype retrieval heuristic; association is not proof of causality.</x:v>
      </x:c>
      <x:c r="P16" s="20" t="str">
        <x:v>YES</x:v>
      </x:c>
    </x:row>
    <x:row r="17">
      <x:c r="A17" s="20" t="str">
        <x:v>ADM-002</x:v>
      </x:c>
      <x:c r="B17" s="20" t="str">
        <x:v>Solicitudes de compra procesadas dentro del SLA</x:v>
      </x:c>
      <x:c r="C17" s="20" t="n">
        <x:v>8</x:v>
      </x:c>
      <x:c r="D17" s="20" t="str">
        <x:v>LEG-001</x:v>
      </x:c>
      <x:c r="E17" s="20" t="str">
        <x:v>Tiempo de ciclo para liberación contractual</x:v>
      </x:c>
      <x:c r="F17" s="20" t="str">
        <x:v>Same strategic objective; Same BSC perspective</x:v>
      </x:c>
      <x:c r="G17" s="20" t="n">
        <x:v>62</x:v>
      </x:c>
      <x:c r="H17" s="20" t="str">
        <x:v>Jurídico</x:v>
      </x:c>
      <x:c r="I17" s="20" t="str">
        <x:v>Procesos internos</x:v>
      </x:c>
      <x:c r="J17" s="20" t="str">
        <x:v>P4. Simplificar y digitalizar procesos</x:v>
      </x:c>
      <x:c r="K17" s="20" t="n">
        <x:v>3.1</x:v>
      </x:c>
      <x:c r="L17" s="20" t="n">
        <x:v>4.8999999999999995</x:v>
      </x:c>
      <x:c r="M17" s="52" t="n">
        <x:v>0.3673469387755101</x:v>
      </x:c>
      <x:c r="N17" s="20" t="str">
        <x:v>Strong improvement</x:v>
      </x:c>
      <x:c r="O17" s="20" t="str">
        <x:v>Prototype retrieval heuristic; association is not proof of causality.</x:v>
      </x:c>
      <x:c r="P17" s="20" t="str">
        <x:v>YES</x:v>
      </x:c>
    </x:row>
    <x:row r="18">
      <x:c r="A18" s="20" t="str">
        <x:v>ADM-003</x:v>
      </x:c>
      <x:c r="B18" s="20" t="str">
        <x:v>Pagos realizados en la fecha programada</x:v>
      </x:c>
      <x:c r="C18" s="20" t="n">
        <x:v>1</x:v>
      </x:c>
      <x:c r="D18" s="20" t="str">
        <x:v>ADM-001</x:v>
      </x:c>
      <x:c r="E18" s="20" t="str">
        <x:v>Facturación de donativos emitida dentro del SLA</x:v>
      </x:c>
      <x:c r="F18" s="20" t="str">
        <x:v>Same strategic objective; Same department; Same BSC perspective</x:v>
      </x:c>
      <x:c r="G18" s="20" t="n">
        <x:v>87</x:v>
      </x:c>
      <x:c r="H18" s="20" t="str">
        <x:v>Administración</x:v>
      </x:c>
      <x:c r="I18" s="20" t="str">
        <x:v>Procesos internos</x:v>
      </x:c>
      <x:c r="J18" s="20" t="str">
        <x:v>P4. Simplificar y digitalizar procesos</x:v>
      </x:c>
      <x:c r="K18" s="20" t="n">
        <x:v>100</x:v>
      </x:c>
      <x:c r="L18" s="20" t="n">
        <x:v>89.08024931406226</x:v>
      </x:c>
      <x:c r="M18" s="52" t="n">
        <x:v>0.12258329730801444</x:v>
      </x:c>
      <x:c r="N18" s="20" t="str">
        <x:v>Strong improvement</x:v>
      </x:c>
      <x:c r="O18" s="20" t="str">
        <x:v>Prototype retrieval heuristic; association is not proof of causality.</x:v>
      </x:c>
      <x:c r="P18" s="20" t="str">
        <x:v>YES</x:v>
      </x:c>
    </x:row>
    <x:row r="19">
      <x:c r="A19" s="20" t="str">
        <x:v>ADM-003</x:v>
      </x:c>
      <x:c r="B19" s="20" t="str">
        <x:v>Pagos realizados en la fecha programada</x:v>
      </x:c>
      <x:c r="C19" s="20" t="n">
        <x:v>2</x:v>
      </x:c>
      <x:c r="D19" s="20" t="str">
        <x:v>ADM-002</x:v>
      </x:c>
      <x:c r="E19" s="20" t="str">
        <x:v>Solicitudes de compra procesadas dentro del SLA</x:v>
      </x:c>
      <x:c r="F19" s="20" t="str">
        <x:v>Same strategic objective; Same department; Same BSC perspective</x:v>
      </x:c>
      <x:c r="G19" s="20" t="n">
        <x:v>87</x:v>
      </x:c>
      <x:c r="H19" s="20" t="str">
        <x:v>Administración</x:v>
      </x:c>
      <x:c r="I19" s="20" t="str">
        <x:v>Procesos internos</x:v>
      </x:c>
      <x:c r="J19" s="20" t="str">
        <x:v>P4. Simplificar y digitalizar procesos</x:v>
      </x:c>
      <x:c r="K19" s="20" t="n">
        <x:v>100</x:v>
      </x:c>
      <x:c r="L19" s="20" t="n">
        <x:v>89.08024931406226</x:v>
      </x:c>
      <x:c r="M19" s="52" t="n">
        <x:v>0.12258329730801444</x:v>
      </x:c>
      <x:c r="N19" s="20" t="str">
        <x:v>Strong improvement</x:v>
      </x:c>
      <x:c r="O19" s="20" t="str">
        <x:v>Prototype retrieval heuristic; association is not proof of causality.</x:v>
      </x:c>
      <x:c r="P19" s="20" t="str">
        <x:v>YES</x:v>
      </x:c>
    </x:row>
    <x:row r="20">
      <x:c r="A20" s="20" t="str">
        <x:v>ADM-003</x:v>
      </x:c>
      <x:c r="B20" s="20" t="str">
        <x:v>Pagos realizados en la fecha programada</x:v>
      </x:c>
      <x:c r="C20" s="20" t="n">
        <x:v>3</x:v>
      </x:c>
      <x:c r="D20" s="20" t="str">
        <x:v>ADM-016</x:v>
      </x:c>
      <x:c r="E20" s="20" t="str">
        <x:v>Viajes gestionados dentro de una semana</x:v>
      </x:c>
      <x:c r="F20" s="20" t="str">
        <x:v>Same strategic objective; Same department; Same BSC perspective</x:v>
      </x:c>
      <x:c r="G20" s="20" t="n">
        <x:v>87</x:v>
      </x:c>
      <x:c r="H20" s="20" t="str">
        <x:v>Administración</x:v>
      </x:c>
      <x:c r="I20" s="20" t="str">
        <x:v>Procesos internos</x:v>
      </x:c>
      <x:c r="J20" s="20" t="str">
        <x:v>P4. Simplificar y digitalizar procesos</x:v>
      </x:c>
      <x:c r="K20" s="20" t="n">
        <x:v>100</x:v>
      </x:c>
      <x:c r="L20" s="20" t="n">
        <x:v>88.9514687100894</x:v>
      </x:c>
      <x:c r="M20" s="52" t="n">
        <x:v>0.12420853135005526</x:v>
      </x:c>
      <x:c r="N20" s="20" t="str">
        <x:v>Strong improvement</x:v>
      </x:c>
      <x:c r="O20" s="20" t="str">
        <x:v>Prototype retrieval heuristic; association is not proof of causality.</x:v>
      </x:c>
      <x:c r="P20" s="20" t="str">
        <x:v>YES</x:v>
      </x:c>
    </x:row>
    <x:row r="21">
      <x:c r="A21" s="20" t="str">
        <x:v>ADM-003</x:v>
      </x:c>
      <x:c r="B21" s="20" t="str">
        <x:v>Pagos realizados en la fecha programada</x:v>
      </x:c>
      <x:c r="C21" s="20" t="n">
        <x:v>4</x:v>
      </x:c>
      <x:c r="D21" s="20" t="str">
        <x:v>ADM-004</x:v>
      </x:c>
      <x:c r="E21" s="20" t="str">
        <x:v>Presupuestos anuales aprobados dentro del calendario</x:v>
      </x:c>
      <x:c r="F21" s="20" t="str">
        <x:v>Strategic-map adjacent objective; Same department</x:v>
      </x:c>
      <x:c r="G21" s="20" t="n">
        <x:v>67</x:v>
      </x:c>
      <x:c r="H21" s="20" t="str">
        <x:v>Administración</x:v>
      </x:c>
      <x:c r="I21" s="20" t="str">
        <x:v>Capacidades y tecnología</x:v>
      </x:c>
      <x:c r="J21" s="20" t="str">
        <x:v>L4. Fortalecer colaboración interdepartamental</x:v>
      </x:c>
      <x:c r="K21" s="20" t="n">
        <x:v>100</x:v>
      </x:c>
      <x:c r="L21" s="20" t="n">
        <x:v>88.9514687100894</x:v>
      </x:c>
      <x:c r="M21" s="52" t="n">
        <x:v>0.12420853135005526</x:v>
      </x:c>
      <x:c r="N21" s="20" t="str">
        <x:v>Strong improvement</x:v>
      </x:c>
      <x:c r="O21" s="20" t="str">
        <x:v>Prototype retrieval heuristic; association is not proof of causality.</x:v>
      </x:c>
      <x:c r="P21" s="20" t="str">
        <x:v>YES</x:v>
      </x:c>
    </x:row>
    <x:row r="22">
      <x:c r="A22" s="20" t="str">
        <x:v>ADM-003</x:v>
      </x:c>
      <x:c r="B22" s="20" t="str">
        <x:v>Pagos realizados en la fecha programada</x:v>
      </x:c>
      <x:c r="C22" s="20" t="n">
        <x:v>5</x:v>
      </x:c>
      <x:c r="D22" s="20" t="str">
        <x:v>ADM-006</x:v>
      </x:c>
      <x:c r="E22" s="20" t="str">
        <x:v>Informes regulatorios presentados en tiempo y forma</x:v>
      </x:c>
      <x:c r="F22" s="20" t="str">
        <x:v>Strategic-map adjacent objective; Same department</x:v>
      </x:c>
      <x:c r="G22" s="20" t="n">
        <x:v>67</x:v>
      </x:c>
      <x:c r="H22" s="20" t="str">
        <x:v>Administración</x:v>
      </x:c>
      <x:c r="I22" s="20" t="str">
        <x:v>Beneficiarios y grupos de interés</x:v>
      </x:c>
      <x:c r="J22" s="20" t="str">
        <x:v>C3. Fortalecer confianza y credibilidad institucional</x:v>
      </x:c>
      <x:c r="K22" s="20" t="n">
        <x:v>100</x:v>
      </x:c>
      <x:c r="L22" s="20" t="n">
        <x:v>88.9514687100894</x:v>
      </x:c>
      <x:c r="M22" s="52" t="n">
        <x:v>0.12420853135005526</x:v>
      </x:c>
      <x:c r="N22" s="20" t="str">
        <x:v>Strong improvement</x:v>
      </x:c>
      <x:c r="O22" s="20" t="str">
        <x:v>Prototype retrieval heuristic; association is not proof of causality.</x:v>
      </x:c>
      <x:c r="P22" s="20" t="str">
        <x:v>YES</x:v>
      </x:c>
    </x:row>
    <x:row r="23">
      <x:c r="A23" s="20" t="str">
        <x:v>ADM-003</x:v>
      </x:c>
      <x:c r="B23" s="20" t="str">
        <x:v>Pagos realizados en la fecha programada</x:v>
      </x:c>
      <x:c r="C23" s="20" t="n">
        <x:v>6</x:v>
      </x:c>
      <x:c r="D23" s="20" t="str">
        <x:v>ADM-017</x:v>
      </x:c>
      <x:c r="E23" s="20" t="str">
        <x:v>Viáticos comprobados dentro de 30 días</x:v>
      </x:c>
      <x:c r="F23" s="20" t="str">
        <x:v>Same strategic objective; Same department; Same BSC perspective</x:v>
      </x:c>
      <x:c r="G23" s="20" t="n">
        <x:v>87</x:v>
      </x:c>
      <x:c r="H23" s="20" t="str">
        <x:v>Administración</x:v>
      </x:c>
      <x:c r="I23" s="20" t="str">
        <x:v>Procesos internos</x:v>
      </x:c>
      <x:c r="J23" s="20" t="str">
        <x:v>P4. Simplificar y digitalizar procesos</x:v>
      </x:c>
      <x:c r="K23" s="20" t="n">
        <x:v>100</x:v>
      </x:c>
      <x:c r="L23" s="20" t="n">
        <x:v>88.9514687100894</x:v>
      </x:c>
      <x:c r="M23" s="52" t="n">
        <x:v>0.12420853135005526</x:v>
      </x:c>
      <x:c r="N23" s="20" t="str">
        <x:v>Strong improvement</x:v>
      </x:c>
      <x:c r="O23" s="20" t="str">
        <x:v>Prototype retrieval heuristic; association is not proof of causality.</x:v>
      </x:c>
      <x:c r="P23" s="20" t="str">
        <x:v>YES</x:v>
      </x:c>
    </x:row>
    <x:row r="24">
      <x:c r="A24" s="20" t="str">
        <x:v>ADM-003</x:v>
      </x:c>
      <x:c r="B24" s="20" t="str">
        <x:v>Pagos realizados en la fecha programada</x:v>
      </x:c>
      <x:c r="C24" s="20" t="n">
        <x:v>7</x:v>
      </x:c>
      <x:c r="D24" s="20" t="str">
        <x:v>REC-P04</x:v>
      </x:c>
      <x:c r="E24" s="20" t="str">
        <x:v>Cumplimiento agregado de SLA administrativos</x:v>
      </x:c>
      <x:c r="F24" s="20" t="str">
        <x:v>Same strategic objective; Same department; Same BSC perspective</x:v>
      </x:c>
      <x:c r="G24" s="20" t="n">
        <x:v>85</x:v>
      </x:c>
      <x:c r="H24" s="20" t="str">
        <x:v>Administración</x:v>
      </x:c>
      <x:c r="I24" s="20" t="str">
        <x:v>Procesos internos</x:v>
      </x:c>
      <x:c r="J24" s="20" t="str">
        <x:v>P4. Simplificar y digitalizar procesos</x:v>
      </x:c>
      <x:c r="K24" s="20" t="n">
        <x:v>96</x:v>
      </x:c>
      <x:c r="L24" s="20" t="n">
        <x:v>84.01745423584504</x:v>
      </x:c>
      <x:c r="M24" s="52" t="n">
        <x:v>0.14261971959444059</x:v>
      </x:c>
      <x:c r="N24" s="20" t="str">
        <x:v>Strong improvement</x:v>
      </x:c>
      <x:c r="O24" s="20" t="str">
        <x:v>Prototype retrieval heuristic; association is not proof of causality.</x:v>
      </x:c>
      <x:c r="P24" s="20" t="str">
        <x:v>YES</x:v>
      </x:c>
    </x:row>
    <x:row r="25">
      <x:c r="A25" s="20" t="str">
        <x:v>ADM-003</x:v>
      </x:c>
      <x:c r="B25" s="20" t="str">
        <x:v>Pagos realizados en la fecha programada</x:v>
      </x:c>
      <x:c r="C25" s="20" t="n">
        <x:v>8</x:v>
      </x:c>
      <x:c r="D25" s="20" t="str">
        <x:v>LEG-001</x:v>
      </x:c>
      <x:c r="E25" s="20" t="str">
        <x:v>Tiempo de ciclo para liberación contractual</x:v>
      </x:c>
      <x:c r="F25" s="20" t="str">
        <x:v>Same strategic objective; Same BSC perspective</x:v>
      </x:c>
      <x:c r="G25" s="20" t="n">
        <x:v>62</x:v>
      </x:c>
      <x:c r="H25" s="20" t="str">
        <x:v>Jurídico</x:v>
      </x:c>
      <x:c r="I25" s="20" t="str">
        <x:v>Procesos internos</x:v>
      </x:c>
      <x:c r="J25" s="20" t="str">
        <x:v>P4. Simplificar y digitalizar procesos</x:v>
      </x:c>
      <x:c r="K25" s="20" t="n">
        <x:v>3.1</x:v>
      </x:c>
      <x:c r="L25" s="20" t="n">
        <x:v>4.8999999999999995</x:v>
      </x:c>
      <x:c r="M25" s="52" t="n">
        <x:v>0.3673469387755101</x:v>
      </x:c>
      <x:c r="N25" s="20" t="str">
        <x:v>Strong improvement</x:v>
      </x:c>
      <x:c r="O25" s="20" t="str">
        <x:v>Prototype retrieval heuristic; association is not proof of causality.</x:v>
      </x:c>
      <x:c r="P25" s="20" t="str">
        <x:v>YES</x:v>
      </x:c>
    </x:row>
    <x:row r="26">
      <x:c r="A26" s="20" t="str">
        <x:v>ADM-004</x:v>
      </x:c>
      <x:c r="B26" s="20" t="str">
        <x:v>Presupuestos anuales aprobados dentro del calendario</x:v>
      </x:c>
      <x:c r="C26" s="20" t="n">
        <x:v>1</x:v>
      </x:c>
      <x:c r="D26" s="20" t="str">
        <x:v>ADM-012</x:v>
      </x:c>
      <x:c r="E26" s="20" t="str">
        <x:v>Nuevos convenios universitarios activados</x:v>
      </x:c>
      <x:c r="F26" s="20" t="str">
        <x:v>Same strategic objective; Same department; Same BSC perspective</x:v>
      </x:c>
      <x:c r="G26" s="20" t="n">
        <x:v>87</x:v>
      </x:c>
      <x:c r="H26" s="20" t="str">
        <x:v>Administración</x:v>
      </x:c>
      <x:c r="I26" s="20" t="str">
        <x:v>Capacidades y tecnología</x:v>
      </x:c>
      <x:c r="J26" s="20" t="str">
        <x:v>L4. Fortalecer colaboración interdepartamental</x:v>
      </x:c>
      <x:c r="K26" s="20" t="n">
        <x:v>2</x:v>
      </x:c>
      <x:c r="L26" s="20" t="n">
        <x:v>1.3333333333333333</x:v>
      </x:c>
      <x:c r="M26" s="52" t="n">
        <x:v>0.5000000000000001</x:v>
      </x:c>
      <x:c r="N26" s="20" t="str">
        <x:v>Strong improvement</x:v>
      </x:c>
      <x:c r="O26" s="20" t="str">
        <x:v>Prototype retrieval heuristic; association is not proof of causality.</x:v>
      </x:c>
      <x:c r="P26" s="20" t="str">
        <x:v>YES</x:v>
      </x:c>
    </x:row>
    <x:row r="27">
      <x:c r="A27" s="20" t="str">
        <x:v>ADM-004</x:v>
      </x:c>
      <x:c r="B27" s="20" t="str">
        <x:v>Presupuestos anuales aprobados dentro del calendario</x:v>
      </x:c>
      <x:c r="C27" s="20" t="n">
        <x:v>2</x:v>
      </x:c>
      <x:c r="D27" s="20" t="str">
        <x:v>ADM-013</x:v>
      </x:c>
      <x:c r="E27" s="20" t="str">
        <x:v>Convenios universitarios renovados antes de vencimiento</x:v>
      </x:c>
      <x:c r="F27" s="20" t="str">
        <x:v>Same strategic objective; Same department; Same BSC perspective</x:v>
      </x:c>
      <x:c r="G27" s="20" t="n">
        <x:v>87</x:v>
      </x:c>
      <x:c r="H27" s="20" t="str">
        <x:v>Administración</x:v>
      </x:c>
      <x:c r="I27" s="20" t="str">
        <x:v>Capacidades y tecnología</x:v>
      </x:c>
      <x:c r="J27" s="20" t="str">
        <x:v>L4. Fortalecer colaboración interdepartamental</x:v>
      </x:c>
      <x:c r="K27" s="20" t="n">
        <x:v>100</x:v>
      </x:c>
      <x:c r="L27" s="20" t="n">
        <x:v>89.19551966335592</x:v>
      </x:c>
      <x:c r="M27" s="52" t="n">
        <x:v>0.12113254541733295</x:v>
      </x:c>
      <x:c r="N27" s="20" t="str">
        <x:v>Strong improvement</x:v>
      </x:c>
      <x:c r="O27" s="20" t="str">
        <x:v>Prototype retrieval heuristic; association is not proof of causality.</x:v>
      </x:c>
      <x:c r="P27" s="20" t="str">
        <x:v>YES</x:v>
      </x:c>
    </x:row>
    <x:row r="28">
      <x:c r="A28" s="20" t="str">
        <x:v>ADM-004</x:v>
      </x:c>
      <x:c r="B28" s="20" t="str">
        <x:v>Presupuestos anuales aprobados dentro del calendario</x:v>
      </x:c>
      <x:c r="C28" s="20" t="n">
        <x:v>3</x:v>
      </x:c>
      <x:c r="D28" s="20" t="str">
        <x:v>MKT-001</x:v>
      </x:c>
      <x:c r="E28" s="20" t="str">
        <x:v>Cumplimiento del manual/protocolo de comunicación global</x:v>
      </x:c>
      <x:c r="F28" s="20" t="str">
        <x:v>Same strategic objective; Same BSC perspective</x:v>
      </x:c>
      <x:c r="G28" s="20" t="n">
        <x:v>62</x:v>
      </x:c>
      <x:c r="H28" s="20" t="str">
        <x:v>Marketing y Comunicación</x:v>
      </x:c>
      <x:c r="I28" s="20" t="str">
        <x:v>Capacidades y tecnología</x:v>
      </x:c>
      <x:c r="J28" s="20" t="str">
        <x:v>L4. Fortalecer colaboración interdepartamental</x:v>
      </x:c>
      <x:c r="K28" s="20" t="n">
        <x:v>96</x:v>
      </x:c>
      <x:c r="L28" s="20" t="n">
        <x:v>84.07381786878189</x:v>
      </x:c>
      <x:c r="M28" s="52" t="n">
        <x:v>0.14185369992156044</x:v>
      </x:c>
      <x:c r="N28" s="20" t="str">
        <x:v>Strong improvement</x:v>
      </x:c>
      <x:c r="O28" s="20" t="str">
        <x:v>Prototype retrieval heuristic; association is not proof of causality.</x:v>
      </x:c>
      <x:c r="P28" s="20" t="str">
        <x:v>YES</x:v>
      </x:c>
    </x:row>
    <x:row r="29">
      <x:c r="A29" s="20" t="str">
        <x:v>ADM-004</x:v>
      </x:c>
      <x:c r="B29" s="20" t="str">
        <x:v>Presupuestos anuales aprobados dentro del calendario</x:v>
      </x:c>
      <x:c r="C29" s="20" t="n">
        <x:v>4</x:v>
      </x:c>
      <x:c r="D29" s="20" t="str">
        <x:v>ADM-001</x:v>
      </x:c>
      <x:c r="E29" s="20" t="str">
        <x:v>Facturación de donativos emitida dentro del SLA</x:v>
      </x:c>
      <x:c r="F29" s="20" t="str">
        <x:v>Strategic-map adjacent objective; Same department</x:v>
      </x:c>
      <x:c r="G29" s="20" t="n">
        <x:v>67</x:v>
      </x:c>
      <x:c r="H29" s="20" t="str">
        <x:v>Administración</x:v>
      </x:c>
      <x:c r="I29" s="20" t="str">
        <x:v>Procesos internos</x:v>
      </x:c>
      <x:c r="J29" s="20" t="str">
        <x:v>P4. Simplificar y digitalizar procesos</x:v>
      </x:c>
      <x:c r="K29" s="20" t="n">
        <x:v>100</x:v>
      </x:c>
      <x:c r="L29" s="20" t="n">
        <x:v>89.08024931406226</x:v>
      </x:c>
      <x:c r="M29" s="52" t="n">
        <x:v>0.12258329730801444</x:v>
      </x:c>
      <x:c r="N29" s="20" t="str">
        <x:v>Strong improvement</x:v>
      </x:c>
      <x:c r="O29" s="20" t="str">
        <x:v>Prototype retrieval heuristic; association is not proof of causality.</x:v>
      </x:c>
      <x:c r="P29" s="20" t="str">
        <x:v>YES</x:v>
      </x:c>
    </x:row>
    <x:row r="30">
      <x:c r="A30" s="20" t="str">
        <x:v>ADM-004</x:v>
      </x:c>
      <x:c r="B30" s="20" t="str">
        <x:v>Presupuestos anuales aprobados dentro del calendario</x:v>
      </x:c>
      <x:c r="C30" s="20" t="n">
        <x:v>5</x:v>
      </x:c>
      <x:c r="D30" s="20" t="str">
        <x:v>ADM-002</x:v>
      </x:c>
      <x:c r="E30" s="20" t="str">
        <x:v>Solicitudes de compra procesadas dentro del SLA</x:v>
      </x:c>
      <x:c r="F30" s="20" t="str">
        <x:v>Strategic-map adjacent objective; Same department</x:v>
      </x:c>
      <x:c r="G30" s="20" t="n">
        <x:v>67</x:v>
      </x:c>
      <x:c r="H30" s="20" t="str">
        <x:v>Administración</x:v>
      </x:c>
      <x:c r="I30" s="20" t="str">
        <x:v>Procesos internos</x:v>
      </x:c>
      <x:c r="J30" s="20" t="str">
        <x:v>P4. Simplificar y digitalizar procesos</x:v>
      </x:c>
      <x:c r="K30" s="20" t="n">
        <x:v>100</x:v>
      </x:c>
      <x:c r="L30" s="20" t="n">
        <x:v>89.08024931406226</x:v>
      </x:c>
      <x:c r="M30" s="52" t="n">
        <x:v>0.12258329730801444</x:v>
      </x:c>
      <x:c r="N30" s="20" t="str">
        <x:v>Strong improvement</x:v>
      </x:c>
      <x:c r="O30" s="20" t="str">
        <x:v>Prototype retrieval heuristic; association is not proof of causality.</x:v>
      </x:c>
      <x:c r="P30" s="20" t="str">
        <x:v>YES</x:v>
      </x:c>
    </x:row>
    <x:row r="31">
      <x:c r="A31" s="20" t="str">
        <x:v>ADM-004</x:v>
      </x:c>
      <x:c r="B31" s="20" t="str">
        <x:v>Presupuestos anuales aprobados dentro del calendario</x:v>
      </x:c>
      <x:c r="C31" s="20" t="n">
        <x:v>6</x:v>
      </x:c>
      <x:c r="D31" s="20" t="str">
        <x:v>ADM-003</x:v>
      </x:c>
      <x:c r="E31" s="20" t="str">
        <x:v>Pagos realizados en la fecha programada</x:v>
      </x:c>
      <x:c r="F31" s="20" t="str">
        <x:v>Strategic-map adjacent objective; Same department</x:v>
      </x:c>
      <x:c r="G31" s="20" t="n">
        <x:v>67</x:v>
      </x:c>
      <x:c r="H31" s="20" t="str">
        <x:v>Administración</x:v>
      </x:c>
      <x:c r="I31" s="20" t="str">
        <x:v>Procesos internos</x:v>
      </x:c>
      <x:c r="J31" s="20" t="str">
        <x:v>P4. Simplificar y digitalizar procesos</x:v>
      </x:c>
      <x:c r="K31" s="20" t="n">
        <x:v>100</x:v>
      </x:c>
      <x:c r="L31" s="20" t="n">
        <x:v>89.49938949938951</x:v>
      </x:c>
      <x:c r="M31" s="52" t="n">
        <x:v>0.11732605729877206</x:v>
      </x:c>
      <x:c r="N31" s="20" t="str">
        <x:v>Strong improvement</x:v>
      </x:c>
      <x:c r="O31" s="20" t="str">
        <x:v>Prototype retrieval heuristic; association is not proof of causality.</x:v>
      </x:c>
      <x:c r="P31" s="20" t="str">
        <x:v>YES</x:v>
      </x:c>
    </x:row>
    <x:row r="32">
      <x:c r="A32" s="20" t="str">
        <x:v>ADM-004</x:v>
      </x:c>
      <x:c r="B32" s="20" t="str">
        <x:v>Presupuestos anuales aprobados dentro del calendario</x:v>
      </x:c>
      <x:c r="C32" s="20" t="n">
        <x:v>7</x:v>
      </x:c>
      <x:c r="D32" s="20" t="str">
        <x:v>ADM-016</x:v>
      </x:c>
      <x:c r="E32" s="20" t="str">
        <x:v>Viajes gestionados dentro de una semana</x:v>
      </x:c>
      <x:c r="F32" s="20" t="str">
        <x:v>Strategic-map adjacent objective; Same department</x:v>
      </x:c>
      <x:c r="G32" s="20" t="n">
        <x:v>67</x:v>
      </x:c>
      <x:c r="H32" s="20" t="str">
        <x:v>Administración</x:v>
      </x:c>
      <x:c r="I32" s="20" t="str">
        <x:v>Procesos internos</x:v>
      </x:c>
      <x:c r="J32" s="20" t="str">
        <x:v>P4. Simplificar y digitalizar procesos</x:v>
      </x:c>
      <x:c r="K32" s="20" t="n">
        <x:v>100</x:v>
      </x:c>
      <x:c r="L32" s="20" t="n">
        <x:v>88.9514687100894</x:v>
      </x:c>
      <x:c r="M32" s="52" t="n">
        <x:v>0.12420853135005526</x:v>
      </x:c>
      <x:c r="N32" s="20" t="str">
        <x:v>Strong improvement</x:v>
      </x:c>
      <x:c r="O32" s="20" t="str">
        <x:v>Prototype retrieval heuristic; association is not proof of causality.</x:v>
      </x:c>
      <x:c r="P32" s="20" t="str">
        <x:v>YES</x:v>
      </x:c>
    </x:row>
    <x:row r="33">
      <x:c r="A33" s="20" t="str">
        <x:v>ADM-004</x:v>
      </x:c>
      <x:c r="B33" s="20" t="str">
        <x:v>Presupuestos anuales aprobados dentro del calendario</x:v>
      </x:c>
      <x:c r="C33" s="20" t="n">
        <x:v>8</x:v>
      </x:c>
      <x:c r="D33" s="20" t="str">
        <x:v>MKT-004</x:v>
      </x:c>
      <x:c r="E33" s="20" t="str">
        <x:v>Compromisos de mejora de comunicación cerrados en plazo</x:v>
      </x:c>
      <x:c r="F33" s="20" t="str">
        <x:v>Same strategic objective; Same BSC perspective</x:v>
      </x:c>
      <x:c r="G33" s="20" t="n">
        <x:v>62</x:v>
      </x:c>
      <x:c r="H33" s="20" t="str">
        <x:v>Marketing y Comunicación</x:v>
      </x:c>
      <x:c r="I33" s="20" t="str">
        <x:v>Capacidades y tecnología</x:v>
      </x:c>
      <x:c r="J33" s="20" t="str">
        <x:v>L4. Fortalecer colaboración interdepartamental</x:v>
      </x:c>
      <x:c r="K33" s="20" t="n">
        <x:v>92</x:v>
      </x:c>
      <x:c r="L33" s="20" t="n">
        <x:v>80.97783311812088</x:v>
      </x:c>
      <x:c r="M33" s="52" t="n">
        <x:v>0.13611338384173954</x:v>
      </x:c>
      <x:c r="N33" s="20" t="str">
        <x:v>Strong improvement</x:v>
      </x:c>
      <x:c r="O33" s="20" t="str">
        <x:v>Prototype retrieval heuristic; association is not proof of causality.</x:v>
      </x:c>
      <x:c r="P33" s="20" t="str">
        <x:v>YES</x:v>
      </x:c>
    </x:row>
    <x:row r="34">
      <x:c r="A34" s="20" t="str">
        <x:v>ADM-006</x:v>
      </x:c>
      <x:c r="B34" s="20" t="str">
        <x:v>Informes regulatorios presentados en tiempo y forma</x:v>
      </x:c>
      <x:c r="C34" s="20" t="n">
        <x:v>1</x:v>
      </x:c>
      <x:c r="D34" s="20" t="str">
        <x:v>ADM-008</x:v>
      </x:c>
      <x:c r="E34" s="20" t="str">
        <x:v>Acreditaciones institucionales renovadas antes de vencimiento</x:v>
      </x:c>
      <x:c r="F34" s="20" t="str">
        <x:v>Same strategic objective; Same department; Same BSC perspective</x:v>
      </x:c>
      <x:c r="G34" s="20" t="n">
        <x:v>87</x:v>
      </x:c>
      <x:c r="H34" s="20" t="str">
        <x:v>Administración</x:v>
      </x:c>
      <x:c r="I34" s="20" t="str">
        <x:v>Beneficiarios y grupos de interés</x:v>
      </x:c>
      <x:c r="J34" s="20" t="str">
        <x:v>C3. Fortalecer confianza y credibilidad institucional</x:v>
      </x:c>
      <x:c r="K34" s="20" t="n">
        <x:v>100</x:v>
      </x:c>
      <x:c r="L34" s="20" t="n">
        <x:v>89.3483709273183</x:v>
      </x:c>
      <x:c r="M34" s="52" t="n">
        <x:v>0.11921458625525942</x:v>
      </x:c>
      <x:c r="N34" s="20" t="str">
        <x:v>Strong improvement</x:v>
      </x:c>
      <x:c r="O34" s="20" t="str">
        <x:v>Prototype retrieval heuristic; association is not proof of causality.</x:v>
      </x:c>
      <x:c r="P34" s="20" t="str">
        <x:v>YES</x:v>
      </x:c>
    </x:row>
    <x:row r="35">
      <x:c r="A35" s="20" t="str">
        <x:v>ADM-006</x:v>
      </x:c>
      <x:c r="B35" s="20" t="str">
        <x:v>Informes regulatorios presentados en tiempo y forma</x:v>
      </x:c>
      <x:c r="C35" s="20" t="n">
        <x:v>2</x:v>
      </x:c>
      <x:c r="D35" s="20" t="str">
        <x:v>ADM-010</x:v>
      </x:c>
      <x:c r="E35" s="20" t="str">
        <x:v>Países con ruta de acreditación regulatoria definida y validada</x:v>
      </x:c>
      <x:c r="F35" s="20" t="str">
        <x:v>Same strategic objective; Same department; Same BSC perspective</x:v>
      </x:c>
      <x:c r="G35" s="20" t="n">
        <x:v>87</x:v>
      </x:c>
      <x:c r="H35" s="20" t="str">
        <x:v>Administración</x:v>
      </x:c>
      <x:c r="I35" s="20" t="str">
        <x:v>Beneficiarios y grupos de interés</x:v>
      </x:c>
      <x:c r="J35" s="20" t="str">
        <x:v>C3. Fortalecer confianza y credibilidad institucional</x:v>
      </x:c>
      <x:c r="K35" s="20" t="n">
        <x:v>100</x:v>
      </x:c>
      <x:c r="L35" s="20" t="n">
        <x:v>91.66666666666667</x:v>
      </x:c>
      <x:c r="M35" s="52" t="n">
        <x:v>0.09090909090909086</x:v>
      </x:c>
      <x:c r="N35" s="20" t="str">
        <x:v>Improving</x:v>
      </x:c>
      <x:c r="O35" s="20" t="str">
        <x:v>Prototype retrieval heuristic; association is not proof of causality.</x:v>
      </x:c>
      <x:c r="P35" s="20" t="str">
        <x:v>YES</x:v>
      </x:c>
    </x:row>
    <x:row r="36">
      <x:c r="A36" s="20" t="str">
        <x:v>ADM-006</x:v>
      </x:c>
      <x:c r="B36" s="20" t="str">
        <x:v>Informes regulatorios presentados en tiempo y forma</x:v>
      </x:c>
      <x:c r="C36" s="20" t="n">
        <x:v>3</x:v>
      </x:c>
      <x:c r="D36" s="20" t="str">
        <x:v>LEG-010</x:v>
      </x:c>
      <x:c r="E36" s="20" t="str">
        <x:v>Cumplimiento jurídico-fiscal de comunicaciones institucionales</x:v>
      </x:c>
      <x:c r="F36" s="20" t="str">
        <x:v>Same strategic objective; Same BSC perspective</x:v>
      </x:c>
      <x:c r="G36" s="20" t="n">
        <x:v>62</x:v>
      </x:c>
      <x:c r="H36" s="20" t="str">
        <x:v>Jurídico</x:v>
      </x:c>
      <x:c r="I36" s="20" t="str">
        <x:v>Beneficiarios y grupos de interés</x:v>
      </x:c>
      <x:c r="J36" s="20" t="str">
        <x:v>C3. Fortalecer confianza y credibilidad institucional</x:v>
      </x:c>
      <x:c r="K36" s="20" t="n">
        <x:v>100</x:v>
      </x:c>
      <x:c r="L36" s="20" t="n">
        <x:v>89.21401340466089</x:v>
      </x:c>
      <x:c r="M36" s="52" t="n">
        <x:v>0.12090013870820443</x:v>
      </x:c>
      <x:c r="N36" s="20" t="str">
        <x:v>Strong improvement</x:v>
      </x:c>
      <x:c r="O36" s="20" t="str">
        <x:v>Prototype retrieval heuristic; association is not proof of causality.</x:v>
      </x:c>
      <x:c r="P36" s="20" t="str">
        <x:v>YES</x:v>
      </x:c>
    </x:row>
    <x:row r="37">
      <x:c r="A37" s="20" t="str">
        <x:v>ADM-006</x:v>
      </x:c>
      <x:c r="B37" s="20" t="str">
        <x:v>Informes regulatorios presentados en tiempo y forma</x:v>
      </x:c>
      <x:c r="C37" s="20" t="n">
        <x:v>4</x:v>
      </x:c>
      <x:c r="D37" s="20" t="str">
        <x:v>ADM-001</x:v>
      </x:c>
      <x:c r="E37" s="20" t="str">
        <x:v>Facturación de donativos emitida dentro del SLA</x:v>
      </x:c>
      <x:c r="F37" s="20" t="str">
        <x:v>Strategic-map adjacent objective; Same department</x:v>
      </x:c>
      <x:c r="G37" s="20" t="n">
        <x:v>67</x:v>
      </x:c>
      <x:c r="H37" s="20" t="str">
        <x:v>Administración</x:v>
      </x:c>
      <x:c r="I37" s="20" t="str">
        <x:v>Procesos internos</x:v>
      </x:c>
      <x:c r="J37" s="20" t="str">
        <x:v>P4. Simplificar y digitalizar procesos</x:v>
      </x:c>
      <x:c r="K37" s="20" t="n">
        <x:v>100</x:v>
      </x:c>
      <x:c r="L37" s="20" t="n">
        <x:v>89.08024931406226</x:v>
      </x:c>
      <x:c r="M37" s="52" t="n">
        <x:v>0.12258329730801444</x:v>
      </x:c>
      <x:c r="N37" s="20" t="str">
        <x:v>Strong improvement</x:v>
      </x:c>
      <x:c r="O37" s="20" t="str">
        <x:v>Prototype retrieval heuristic; association is not proof of causality.</x:v>
      </x:c>
      <x:c r="P37" s="20" t="str">
        <x:v>YES</x:v>
      </x:c>
    </x:row>
    <x:row r="38">
      <x:c r="A38" s="20" t="str">
        <x:v>ADM-006</x:v>
      </x:c>
      <x:c r="B38" s="20" t="str">
        <x:v>Informes regulatorios presentados en tiempo y forma</x:v>
      </x:c>
      <x:c r="C38" s="20" t="n">
        <x:v>5</x:v>
      </x:c>
      <x:c r="D38" s="20" t="str">
        <x:v>ADM-002</x:v>
      </x:c>
      <x:c r="E38" s="20" t="str">
        <x:v>Solicitudes de compra procesadas dentro del SLA</x:v>
      </x:c>
      <x:c r="F38" s="20" t="str">
        <x:v>Strategic-map adjacent objective; Same department</x:v>
      </x:c>
      <x:c r="G38" s="20" t="n">
        <x:v>67</x:v>
      </x:c>
      <x:c r="H38" s="20" t="str">
        <x:v>Administración</x:v>
      </x:c>
      <x:c r="I38" s="20" t="str">
        <x:v>Procesos internos</x:v>
      </x:c>
      <x:c r="J38" s="20" t="str">
        <x:v>P4. Simplificar y digitalizar procesos</x:v>
      </x:c>
      <x:c r="K38" s="20" t="n">
        <x:v>100</x:v>
      </x:c>
      <x:c r="L38" s="20" t="n">
        <x:v>89.08024931406226</x:v>
      </x:c>
      <x:c r="M38" s="52" t="n">
        <x:v>0.12258329730801444</x:v>
      </x:c>
      <x:c r="N38" s="20" t="str">
        <x:v>Strong improvement</x:v>
      </x:c>
      <x:c r="O38" s="20" t="str">
        <x:v>Prototype retrieval heuristic; association is not proof of causality.</x:v>
      </x:c>
      <x:c r="P38" s="20" t="str">
        <x:v>YES</x:v>
      </x:c>
    </x:row>
    <x:row r="39">
      <x:c r="A39" s="20" t="str">
        <x:v>ADM-006</x:v>
      </x:c>
      <x:c r="B39" s="20" t="str">
        <x:v>Informes regulatorios presentados en tiempo y forma</x:v>
      </x:c>
      <x:c r="C39" s="20" t="n">
        <x:v>6</x:v>
      </x:c>
      <x:c r="D39" s="20" t="str">
        <x:v>ADM-003</x:v>
      </x:c>
      <x:c r="E39" s="20" t="str">
        <x:v>Pagos realizados en la fecha programada</x:v>
      </x:c>
      <x:c r="F39" s="20" t="str">
        <x:v>Strategic-map adjacent objective; Same department</x:v>
      </x:c>
      <x:c r="G39" s="20" t="n">
        <x:v>67</x:v>
      </x:c>
      <x:c r="H39" s="20" t="str">
        <x:v>Administración</x:v>
      </x:c>
      <x:c r="I39" s="20" t="str">
        <x:v>Procesos internos</x:v>
      </x:c>
      <x:c r="J39" s="20" t="str">
        <x:v>P4. Simplificar y digitalizar procesos</x:v>
      </x:c>
      <x:c r="K39" s="20" t="n">
        <x:v>100</x:v>
      </x:c>
      <x:c r="L39" s="20" t="n">
        <x:v>89.49938949938951</x:v>
      </x:c>
      <x:c r="M39" s="52" t="n">
        <x:v>0.11732605729877206</x:v>
      </x:c>
      <x:c r="N39" s="20" t="str">
        <x:v>Strong improvement</x:v>
      </x:c>
      <x:c r="O39" s="20" t="str">
        <x:v>Prototype retrieval heuristic; association is not proof of causality.</x:v>
      </x:c>
      <x:c r="P39" s="20" t="str">
        <x:v>YES</x:v>
      </x:c>
    </x:row>
    <x:row r="40">
      <x:c r="A40" s="20" t="str">
        <x:v>ADM-006</x:v>
      </x:c>
      <x:c r="B40" s="20" t="str">
        <x:v>Informes regulatorios presentados en tiempo y forma</x:v>
      </x:c>
      <x:c r="C40" s="20" t="n">
        <x:v>7</x:v>
      </x:c>
      <x:c r="D40" s="20" t="str">
        <x:v>ADM-016</x:v>
      </x:c>
      <x:c r="E40" s="20" t="str">
        <x:v>Viajes gestionados dentro de una semana</x:v>
      </x:c>
      <x:c r="F40" s="20" t="str">
        <x:v>Strategic-map adjacent objective; Same department</x:v>
      </x:c>
      <x:c r="G40" s="20" t="n">
        <x:v>67</x:v>
      </x:c>
      <x:c r="H40" s="20" t="str">
        <x:v>Administración</x:v>
      </x:c>
      <x:c r="I40" s="20" t="str">
        <x:v>Procesos internos</x:v>
      </x:c>
      <x:c r="J40" s="20" t="str">
        <x:v>P4. Simplificar y digitalizar procesos</x:v>
      </x:c>
      <x:c r="K40" s="20" t="n">
        <x:v>100</x:v>
      </x:c>
      <x:c r="L40" s="20" t="n">
        <x:v>88.9514687100894</x:v>
      </x:c>
      <x:c r="M40" s="52" t="n">
        <x:v>0.12420853135005526</x:v>
      </x:c>
      <x:c r="N40" s="20" t="str">
        <x:v>Strong improvement</x:v>
      </x:c>
      <x:c r="O40" s="20" t="str">
        <x:v>Prototype retrieval heuristic; association is not proof of causality.</x:v>
      </x:c>
      <x:c r="P40" s="20" t="str">
        <x:v>YES</x:v>
      </x:c>
    </x:row>
    <x:row r="41">
      <x:c r="A41" s="20" t="str">
        <x:v>ADM-006</x:v>
      </x:c>
      <x:c r="B41" s="20" t="str">
        <x:v>Informes regulatorios presentados en tiempo y forma</x:v>
      </x:c>
      <x:c r="C41" s="20" t="n">
        <x:v>8</x:v>
      </x:c>
      <x:c r="D41" s="20" t="str">
        <x:v>LEG-012</x:v>
      </x:c>
      <x:c r="E41" s="20" t="str">
        <x:v>Países objetivo con autorización fiscal para recibir donativos deducibles</x:v>
      </x:c>
      <x:c r="F41" s="20" t="str">
        <x:v>Same strategic objective; Same BSC perspective</x:v>
      </x:c>
      <x:c r="G41" s="20" t="n">
        <x:v>62</x:v>
      </x:c>
      <x:c r="H41" s="20" t="str">
        <x:v>Jurídico</x:v>
      </x:c>
      <x:c r="I41" s="20" t="str">
        <x:v>Beneficiarios y grupos de interés</x:v>
      </x:c>
      <x:c r="J41" s="20" t="str">
        <x:v>C3. Fortalecer confianza y credibilidad institucional</x:v>
      </x:c>
      <x:c r="K41" s="20" t="n">
        <x:v>100</x:v>
      </x:c>
      <x:c r="L41" s="20" t="n">
        <x:v>91.66666666666667</x:v>
      </x:c>
      <x:c r="M41" s="52" t="n">
        <x:v>0.09090909090909086</x:v>
      </x:c>
      <x:c r="N41" s="20" t="str">
        <x:v>Improving</x:v>
      </x:c>
      <x:c r="O41" s="20" t="str">
        <x:v>Prototype retrieval heuristic; association is not proof of causality.</x:v>
      </x:c>
      <x:c r="P41" s="20" t="str">
        <x:v>YES</x:v>
      </x:c>
    </x:row>
    <x:row r="42">
      <x:c r="A42" s="20" t="str">
        <x:v>ADM-008</x:v>
      </x:c>
      <x:c r="B42" s="20" t="str">
        <x:v>Acreditaciones institucionales renovadas antes de vencimiento</x:v>
      </x:c>
      <x:c r="C42" s="20" t="n">
        <x:v>1</x:v>
      </x:c>
      <x:c r="D42" s="20" t="str">
        <x:v>ADM-006</x:v>
      </x:c>
      <x:c r="E42" s="20" t="str">
        <x:v>Informes regulatorios presentados en tiempo y forma</x:v>
      </x:c>
      <x:c r="F42" s="20" t="str">
        <x:v>Same strategic objective; Same department; Same BSC perspective</x:v>
      </x:c>
      <x:c r="G42" s="20" t="n">
        <x:v>87</x:v>
      </x:c>
      <x:c r="H42" s="20" t="str">
        <x:v>Administración</x:v>
      </x:c>
      <x:c r="I42" s="20" t="str">
        <x:v>Beneficiarios y grupos de interés</x:v>
      </x:c>
      <x:c r="J42" s="20" t="str">
        <x:v>C3. Fortalecer confianza y credibilidad institucional</x:v>
      </x:c>
      <x:c r="K42" s="20" t="n">
        <x:v>100</x:v>
      </x:c>
      <x:c r="L42" s="20" t="n">
        <x:v>88.9514687100894</x:v>
      </x:c>
      <x:c r="M42" s="52" t="n">
        <x:v>0.12420853135005526</x:v>
      </x:c>
      <x:c r="N42" s="20" t="str">
        <x:v>Strong improvement</x:v>
      </x:c>
      <x:c r="O42" s="20" t="str">
        <x:v>Prototype retrieval heuristic; association is not proof of causality.</x:v>
      </x:c>
      <x:c r="P42" s="20" t="str">
        <x:v>YES</x:v>
      </x:c>
    </x:row>
    <x:row r="43">
      <x:c r="A43" s="20" t="str">
        <x:v>ADM-008</x:v>
      </x:c>
      <x:c r="B43" s="20" t="str">
        <x:v>Acreditaciones institucionales renovadas antes de vencimiento</x:v>
      </x:c>
      <x:c r="C43" s="20" t="n">
        <x:v>2</x:v>
      </x:c>
      <x:c r="D43" s="20" t="str">
        <x:v>ADM-010</x:v>
      </x:c>
      <x:c r="E43" s="20" t="str">
        <x:v>Países con ruta de acreditación regulatoria definida y validada</x:v>
      </x:c>
      <x:c r="F43" s="20" t="str">
        <x:v>Same strategic objective; Same department; Same BSC perspective</x:v>
      </x:c>
      <x:c r="G43" s="20" t="n">
        <x:v>87</x:v>
      </x:c>
      <x:c r="H43" s="20" t="str">
        <x:v>Administración</x:v>
      </x:c>
      <x:c r="I43" s="20" t="str">
        <x:v>Beneficiarios y grupos de interés</x:v>
      </x:c>
      <x:c r="J43" s="20" t="str">
        <x:v>C3. Fortalecer confianza y credibilidad institucional</x:v>
      </x:c>
      <x:c r="K43" s="20" t="n">
        <x:v>100</x:v>
      </x:c>
      <x:c r="L43" s="20" t="n">
        <x:v>91.66666666666667</x:v>
      </x:c>
      <x:c r="M43" s="52" t="n">
        <x:v>0.09090909090909086</x:v>
      </x:c>
      <x:c r="N43" s="20" t="str">
        <x:v>Improving</x:v>
      </x:c>
      <x:c r="O43" s="20" t="str">
        <x:v>Prototype retrieval heuristic; association is not proof of causality.</x:v>
      </x:c>
      <x:c r="P43" s="20" t="str">
        <x:v>YES</x:v>
      </x:c>
    </x:row>
    <x:row r="44">
      <x:c r="A44" s="20" t="str">
        <x:v>ADM-008</x:v>
      </x:c>
      <x:c r="B44" s="20" t="str">
        <x:v>Acreditaciones institucionales renovadas antes de vencimiento</x:v>
      </x:c>
      <x:c r="C44" s="20" t="n">
        <x:v>3</x:v>
      </x:c>
      <x:c r="D44" s="20" t="str">
        <x:v>LEG-010</x:v>
      </x:c>
      <x:c r="E44" s="20" t="str">
        <x:v>Cumplimiento jurídico-fiscal de comunicaciones institucionales</x:v>
      </x:c>
      <x:c r="F44" s="20" t="str">
        <x:v>Same strategic objective; Same BSC perspective</x:v>
      </x:c>
      <x:c r="G44" s="20" t="n">
        <x:v>62</x:v>
      </x:c>
      <x:c r="H44" s="20" t="str">
        <x:v>Jurídico</x:v>
      </x:c>
      <x:c r="I44" s="20" t="str">
        <x:v>Beneficiarios y grupos de interés</x:v>
      </x:c>
      <x:c r="J44" s="20" t="str">
        <x:v>C3. Fortalecer confianza y credibilidad institucional</x:v>
      </x:c>
      <x:c r="K44" s="20" t="n">
        <x:v>100</x:v>
      </x:c>
      <x:c r="L44" s="20" t="n">
        <x:v>89.21401340466089</x:v>
      </x:c>
      <x:c r="M44" s="52" t="n">
        <x:v>0.12090013870820443</x:v>
      </x:c>
      <x:c r="N44" s="20" t="str">
        <x:v>Strong improvement</x:v>
      </x:c>
      <x:c r="O44" s="20" t="str">
        <x:v>Prototype retrieval heuristic; association is not proof of causality.</x:v>
      </x:c>
      <x:c r="P44" s="20" t="str">
        <x:v>YES</x:v>
      </x:c>
    </x:row>
    <x:row r="45">
      <x:c r="A45" s="20" t="str">
        <x:v>ADM-008</x:v>
      </x:c>
      <x:c r="B45" s="20" t="str">
        <x:v>Acreditaciones institucionales renovadas antes de vencimiento</x:v>
      </x:c>
      <x:c r="C45" s="20" t="n">
        <x:v>4</x:v>
      </x:c>
      <x:c r="D45" s="20" t="str">
        <x:v>ADM-001</x:v>
      </x:c>
      <x:c r="E45" s="20" t="str">
        <x:v>Facturación de donativos emitida dentro del SLA</x:v>
      </x:c>
      <x:c r="F45" s="20" t="str">
        <x:v>Strategic-map adjacent objective; Same department</x:v>
      </x:c>
      <x:c r="G45" s="20" t="n">
        <x:v>67</x:v>
      </x:c>
      <x:c r="H45" s="20" t="str">
        <x:v>Administración</x:v>
      </x:c>
      <x:c r="I45" s="20" t="str">
        <x:v>Procesos internos</x:v>
      </x:c>
      <x:c r="J45" s="20" t="str">
        <x:v>P4. Simplificar y digitalizar procesos</x:v>
      </x:c>
      <x:c r="K45" s="20" t="n">
        <x:v>100</x:v>
      </x:c>
      <x:c r="L45" s="20" t="n">
        <x:v>89.08024931406226</x:v>
      </x:c>
      <x:c r="M45" s="52" t="n">
        <x:v>0.12258329730801444</x:v>
      </x:c>
      <x:c r="N45" s="20" t="str">
        <x:v>Strong improvement</x:v>
      </x:c>
      <x:c r="O45" s="20" t="str">
        <x:v>Prototype retrieval heuristic; association is not proof of causality.</x:v>
      </x:c>
      <x:c r="P45" s="20" t="str">
        <x:v>YES</x:v>
      </x:c>
    </x:row>
    <x:row r="46">
      <x:c r="A46" s="20" t="str">
        <x:v>ADM-008</x:v>
      </x:c>
      <x:c r="B46" s="20" t="str">
        <x:v>Acreditaciones institucionales renovadas antes de vencimiento</x:v>
      </x:c>
      <x:c r="C46" s="20" t="n">
        <x:v>5</x:v>
      </x:c>
      <x:c r="D46" s="20" t="str">
        <x:v>ADM-002</x:v>
      </x:c>
      <x:c r="E46" s="20" t="str">
        <x:v>Solicitudes de compra procesadas dentro del SLA</x:v>
      </x:c>
      <x:c r="F46" s="20" t="str">
        <x:v>Strategic-map adjacent objective; Same department</x:v>
      </x:c>
      <x:c r="G46" s="20" t="n">
        <x:v>67</x:v>
      </x:c>
      <x:c r="H46" s="20" t="str">
        <x:v>Administración</x:v>
      </x:c>
      <x:c r="I46" s="20" t="str">
        <x:v>Procesos internos</x:v>
      </x:c>
      <x:c r="J46" s="20" t="str">
        <x:v>P4. Simplificar y digitalizar procesos</x:v>
      </x:c>
      <x:c r="K46" s="20" t="n">
        <x:v>100</x:v>
      </x:c>
      <x:c r="L46" s="20" t="n">
        <x:v>89.08024931406226</x:v>
      </x:c>
      <x:c r="M46" s="52" t="n">
        <x:v>0.12258329730801444</x:v>
      </x:c>
      <x:c r="N46" s="20" t="str">
        <x:v>Strong improvement</x:v>
      </x:c>
      <x:c r="O46" s="20" t="str">
        <x:v>Prototype retrieval heuristic; association is not proof of causality.</x:v>
      </x:c>
      <x:c r="P46" s="20" t="str">
        <x:v>YES</x:v>
      </x:c>
    </x:row>
    <x:row r="47">
      <x:c r="A47" s="20" t="str">
        <x:v>ADM-008</x:v>
      </x:c>
      <x:c r="B47" s="20" t="str">
        <x:v>Acreditaciones institucionales renovadas antes de vencimiento</x:v>
      </x:c>
      <x:c r="C47" s="20" t="n">
        <x:v>6</x:v>
      </x:c>
      <x:c r="D47" s="20" t="str">
        <x:v>ADM-003</x:v>
      </x:c>
      <x:c r="E47" s="20" t="str">
        <x:v>Pagos realizados en la fecha programada</x:v>
      </x:c>
      <x:c r="F47" s="20" t="str">
        <x:v>Strategic-map adjacent objective; Same department</x:v>
      </x:c>
      <x:c r="G47" s="20" t="n">
        <x:v>67</x:v>
      </x:c>
      <x:c r="H47" s="20" t="str">
        <x:v>Administración</x:v>
      </x:c>
      <x:c r="I47" s="20" t="str">
        <x:v>Procesos internos</x:v>
      </x:c>
      <x:c r="J47" s="20" t="str">
        <x:v>P4. Simplificar y digitalizar procesos</x:v>
      </x:c>
      <x:c r="K47" s="20" t="n">
        <x:v>100</x:v>
      </x:c>
      <x:c r="L47" s="20" t="n">
        <x:v>89.49938949938951</x:v>
      </x:c>
      <x:c r="M47" s="52" t="n">
        <x:v>0.11732605729877206</x:v>
      </x:c>
      <x:c r="N47" s="20" t="str">
        <x:v>Strong improvement</x:v>
      </x:c>
      <x:c r="O47" s="20" t="str">
        <x:v>Prototype retrieval heuristic; association is not proof of causality.</x:v>
      </x:c>
      <x:c r="P47" s="20" t="str">
        <x:v>YES</x:v>
      </x:c>
    </x:row>
    <x:row r="48">
      <x:c r="A48" s="20" t="str">
        <x:v>ADM-008</x:v>
      </x:c>
      <x:c r="B48" s="20" t="str">
        <x:v>Acreditaciones institucionales renovadas antes de vencimiento</x:v>
      </x:c>
      <x:c r="C48" s="20" t="n">
        <x:v>7</x:v>
      </x:c>
      <x:c r="D48" s="20" t="str">
        <x:v>ADM-016</x:v>
      </x:c>
      <x:c r="E48" s="20" t="str">
        <x:v>Viajes gestionados dentro de una semana</x:v>
      </x:c>
      <x:c r="F48" s="20" t="str">
        <x:v>Strategic-map adjacent objective; Same department</x:v>
      </x:c>
      <x:c r="G48" s="20" t="n">
        <x:v>67</x:v>
      </x:c>
      <x:c r="H48" s="20" t="str">
        <x:v>Administración</x:v>
      </x:c>
      <x:c r="I48" s="20" t="str">
        <x:v>Procesos internos</x:v>
      </x:c>
      <x:c r="J48" s="20" t="str">
        <x:v>P4. Simplificar y digitalizar procesos</x:v>
      </x:c>
      <x:c r="K48" s="20" t="n">
        <x:v>100</x:v>
      </x:c>
      <x:c r="L48" s="20" t="n">
        <x:v>88.9514687100894</x:v>
      </x:c>
      <x:c r="M48" s="52" t="n">
        <x:v>0.12420853135005526</x:v>
      </x:c>
      <x:c r="N48" s="20" t="str">
        <x:v>Strong improvement</x:v>
      </x:c>
      <x:c r="O48" s="20" t="str">
        <x:v>Prototype retrieval heuristic; association is not proof of causality.</x:v>
      </x:c>
      <x:c r="P48" s="20" t="str">
        <x:v>YES</x:v>
      </x:c>
    </x:row>
    <x:row r="49">
      <x:c r="A49" s="20" t="str">
        <x:v>ADM-008</x:v>
      </x:c>
      <x:c r="B49" s="20" t="str">
        <x:v>Acreditaciones institucionales renovadas antes de vencimiento</x:v>
      </x:c>
      <x:c r="C49" s="20" t="n">
        <x:v>8</x:v>
      </x:c>
      <x:c r="D49" s="20" t="str">
        <x:v>LEG-012</x:v>
      </x:c>
      <x:c r="E49" s="20" t="str">
        <x:v>Países objetivo con autorización fiscal para recibir donativos deducibles</x:v>
      </x:c>
      <x:c r="F49" s="20" t="str">
        <x:v>Same strategic objective; Same BSC perspective</x:v>
      </x:c>
      <x:c r="G49" s="20" t="n">
        <x:v>62</x:v>
      </x:c>
      <x:c r="H49" s="20" t="str">
        <x:v>Jurídico</x:v>
      </x:c>
      <x:c r="I49" s="20" t="str">
        <x:v>Beneficiarios y grupos de interés</x:v>
      </x:c>
      <x:c r="J49" s="20" t="str">
        <x:v>C3. Fortalecer confianza y credibilidad institucional</x:v>
      </x:c>
      <x:c r="K49" s="20" t="n">
        <x:v>100</x:v>
      </x:c>
      <x:c r="L49" s="20" t="n">
        <x:v>91.66666666666667</x:v>
      </x:c>
      <x:c r="M49" s="52" t="n">
        <x:v>0.09090909090909086</x:v>
      </x:c>
      <x:c r="N49" s="20" t="str">
        <x:v>Improving</x:v>
      </x:c>
      <x:c r="O49" s="20" t="str">
        <x:v>Prototype retrieval heuristic; association is not proof of causality.</x:v>
      </x:c>
      <x:c r="P49" s="20" t="str">
        <x:v>YES</x:v>
      </x:c>
    </x:row>
    <x:row r="50">
      <x:c r="A50" s="20" t="str">
        <x:v>ADM-010</x:v>
      </x:c>
      <x:c r="B50" s="20" t="str">
        <x:v>Países con ruta de acreditación regulatoria definida y validada</x:v>
      </x:c>
      <x:c r="C50" s="20" t="n">
        <x:v>1</x:v>
      </x:c>
      <x:c r="D50" s="20" t="str">
        <x:v>ADM-006</x:v>
      </x:c>
      <x:c r="E50" s="20" t="str">
        <x:v>Informes regulatorios presentados en tiempo y forma</x:v>
      </x:c>
      <x:c r="F50" s="20" t="str">
        <x:v>Same strategic objective; Same department; Same BSC perspective</x:v>
      </x:c>
      <x:c r="G50" s="20" t="n">
        <x:v>87</x:v>
      </x:c>
      <x:c r="H50" s="20" t="str">
        <x:v>Administración</x:v>
      </x:c>
      <x:c r="I50" s="20" t="str">
        <x:v>Beneficiarios y grupos de interés</x:v>
      </x:c>
      <x:c r="J50" s="20" t="str">
        <x:v>C3. Fortalecer confianza y credibilidad institucional</x:v>
      </x:c>
      <x:c r="K50" s="20" t="n">
        <x:v>100</x:v>
      </x:c>
      <x:c r="L50" s="20" t="n">
        <x:v>88.9514687100894</x:v>
      </x:c>
      <x:c r="M50" s="52" t="n">
        <x:v>0.12420853135005526</x:v>
      </x:c>
      <x:c r="N50" s="20" t="str">
        <x:v>Strong improvement</x:v>
      </x:c>
      <x:c r="O50" s="20" t="str">
        <x:v>Prototype retrieval heuristic; association is not proof of causality.</x:v>
      </x:c>
      <x:c r="P50" s="20" t="str">
        <x:v>YES</x:v>
      </x:c>
    </x:row>
    <x:row r="51">
      <x:c r="A51" s="20" t="str">
        <x:v>ADM-010</x:v>
      </x:c>
      <x:c r="B51" s="20" t="str">
        <x:v>Países con ruta de acreditación regulatoria definida y validada</x:v>
      </x:c>
      <x:c r="C51" s="20" t="n">
        <x:v>2</x:v>
      </x:c>
      <x:c r="D51" s="20" t="str">
        <x:v>ADM-008</x:v>
      </x:c>
      <x:c r="E51" s="20" t="str">
        <x:v>Acreditaciones institucionales renovadas antes de vencimiento</x:v>
      </x:c>
      <x:c r="F51" s="20" t="str">
        <x:v>Same strategic objective; Same department; Same BSC perspective</x:v>
      </x:c>
      <x:c r="G51" s="20" t="n">
        <x:v>87</x:v>
      </x:c>
      <x:c r="H51" s="20" t="str">
        <x:v>Administración</x:v>
      </x:c>
      <x:c r="I51" s="20" t="str">
        <x:v>Beneficiarios y grupos de interés</x:v>
      </x:c>
      <x:c r="J51" s="20" t="str">
        <x:v>C3. Fortalecer confianza y credibilidad institucional</x:v>
      </x:c>
      <x:c r="K51" s="20" t="n">
        <x:v>100</x:v>
      </x:c>
      <x:c r="L51" s="20" t="n">
        <x:v>89.3483709273183</x:v>
      </x:c>
      <x:c r="M51" s="52" t="n">
        <x:v>0.11921458625525942</x:v>
      </x:c>
      <x:c r="N51" s="20" t="str">
        <x:v>Strong improvement</x:v>
      </x:c>
      <x:c r="O51" s="20" t="str">
        <x:v>Prototype retrieval heuristic; association is not proof of causality.</x:v>
      </x:c>
      <x:c r="P51" s="20" t="str">
        <x:v>YES</x:v>
      </x:c>
    </x:row>
    <x:row r="52">
      <x:c r="A52" s="20" t="str">
        <x:v>ADM-010</x:v>
      </x:c>
      <x:c r="B52" s="20" t="str">
        <x:v>Países con ruta de acreditación regulatoria definida y validada</x:v>
      </x:c>
      <x:c r="C52" s="20" t="n">
        <x:v>3</x:v>
      </x:c>
      <x:c r="D52" s="20" t="str">
        <x:v>LEG-010</x:v>
      </x:c>
      <x:c r="E52" s="20" t="str">
        <x:v>Cumplimiento jurídico-fiscal de comunicaciones institucionales</x:v>
      </x:c>
      <x:c r="F52" s="20" t="str">
        <x:v>Same strategic objective; Same BSC perspective</x:v>
      </x:c>
      <x:c r="G52" s="20" t="n">
        <x:v>62</x:v>
      </x:c>
      <x:c r="H52" s="20" t="str">
        <x:v>Jurídico</x:v>
      </x:c>
      <x:c r="I52" s="20" t="str">
        <x:v>Beneficiarios y grupos de interés</x:v>
      </x:c>
      <x:c r="J52" s="20" t="str">
        <x:v>C3. Fortalecer confianza y credibilidad institucional</x:v>
      </x:c>
      <x:c r="K52" s="20" t="n">
        <x:v>100</x:v>
      </x:c>
      <x:c r="L52" s="20" t="n">
        <x:v>89.21401340466089</x:v>
      </x:c>
      <x:c r="M52" s="52" t="n">
        <x:v>0.12090013870820443</x:v>
      </x:c>
      <x:c r="N52" s="20" t="str">
        <x:v>Strong improvement</x:v>
      </x:c>
      <x:c r="O52" s="20" t="str">
        <x:v>Prototype retrieval heuristic; association is not proof of causality.</x:v>
      </x:c>
      <x:c r="P52" s="20" t="str">
        <x:v>YES</x:v>
      </x:c>
    </x:row>
    <x:row r="53">
      <x:c r="A53" s="20" t="str">
        <x:v>ADM-010</x:v>
      </x:c>
      <x:c r="B53" s="20" t="str">
        <x:v>Países con ruta de acreditación regulatoria definida y validada</x:v>
      </x:c>
      <x:c r="C53" s="20" t="n">
        <x:v>4</x:v>
      </x:c>
      <x:c r="D53" s="20" t="str">
        <x:v>ADM-001</x:v>
      </x:c>
      <x:c r="E53" s="20" t="str">
        <x:v>Facturación de donativos emitida dentro del SLA</x:v>
      </x:c>
      <x:c r="F53" s="20" t="str">
        <x:v>Strategic-map adjacent objective; Same department</x:v>
      </x:c>
      <x:c r="G53" s="20" t="n">
        <x:v>67</x:v>
      </x:c>
      <x:c r="H53" s="20" t="str">
        <x:v>Administración</x:v>
      </x:c>
      <x:c r="I53" s="20" t="str">
        <x:v>Procesos internos</x:v>
      </x:c>
      <x:c r="J53" s="20" t="str">
        <x:v>P4. Simplificar y digitalizar procesos</x:v>
      </x:c>
      <x:c r="K53" s="20" t="n">
        <x:v>100</x:v>
      </x:c>
      <x:c r="L53" s="20" t="n">
        <x:v>89.08024931406226</x:v>
      </x:c>
      <x:c r="M53" s="52" t="n">
        <x:v>0.12258329730801444</x:v>
      </x:c>
      <x:c r="N53" s="20" t="str">
        <x:v>Strong improvement</x:v>
      </x:c>
      <x:c r="O53" s="20" t="str">
        <x:v>Prototype retrieval heuristic; association is not proof of causality.</x:v>
      </x:c>
      <x:c r="P53" s="20" t="str">
        <x:v>YES</x:v>
      </x:c>
    </x:row>
    <x:row r="54">
      <x:c r="A54" s="20" t="str">
        <x:v>ADM-010</x:v>
      </x:c>
      <x:c r="B54" s="20" t="str">
        <x:v>Países con ruta de acreditación regulatoria definida y validada</x:v>
      </x:c>
      <x:c r="C54" s="20" t="n">
        <x:v>5</x:v>
      </x:c>
      <x:c r="D54" s="20" t="str">
        <x:v>ADM-002</x:v>
      </x:c>
      <x:c r="E54" s="20" t="str">
        <x:v>Solicitudes de compra procesadas dentro del SLA</x:v>
      </x:c>
      <x:c r="F54" s="20" t="str">
        <x:v>Strategic-map adjacent objective; Same department</x:v>
      </x:c>
      <x:c r="G54" s="20" t="n">
        <x:v>67</x:v>
      </x:c>
      <x:c r="H54" s="20" t="str">
        <x:v>Administración</x:v>
      </x:c>
      <x:c r="I54" s="20" t="str">
        <x:v>Procesos internos</x:v>
      </x:c>
      <x:c r="J54" s="20" t="str">
        <x:v>P4. Simplificar y digitalizar procesos</x:v>
      </x:c>
      <x:c r="K54" s="20" t="n">
        <x:v>100</x:v>
      </x:c>
      <x:c r="L54" s="20" t="n">
        <x:v>89.08024931406226</x:v>
      </x:c>
      <x:c r="M54" s="52" t="n">
        <x:v>0.12258329730801444</x:v>
      </x:c>
      <x:c r="N54" s="20" t="str">
        <x:v>Strong improvement</x:v>
      </x:c>
      <x:c r="O54" s="20" t="str">
        <x:v>Prototype retrieval heuristic; association is not proof of causality.</x:v>
      </x:c>
      <x:c r="P54" s="20" t="str">
        <x:v>YES</x:v>
      </x:c>
    </x:row>
    <x:row r="55">
      <x:c r="A55" s="20" t="str">
        <x:v>ADM-010</x:v>
      </x:c>
      <x:c r="B55" s="20" t="str">
        <x:v>Países con ruta de acreditación regulatoria definida y validada</x:v>
      </x:c>
      <x:c r="C55" s="20" t="n">
        <x:v>6</x:v>
      </x:c>
      <x:c r="D55" s="20" t="str">
        <x:v>ADM-003</x:v>
      </x:c>
      <x:c r="E55" s="20" t="str">
        <x:v>Pagos realizados en la fecha programada</x:v>
      </x:c>
      <x:c r="F55" s="20" t="str">
        <x:v>Strategic-map adjacent objective; Same department</x:v>
      </x:c>
      <x:c r="G55" s="20" t="n">
        <x:v>67</x:v>
      </x:c>
      <x:c r="H55" s="20" t="str">
        <x:v>Administración</x:v>
      </x:c>
      <x:c r="I55" s="20" t="str">
        <x:v>Procesos internos</x:v>
      </x:c>
      <x:c r="J55" s="20" t="str">
        <x:v>P4. Simplificar y digitalizar procesos</x:v>
      </x:c>
      <x:c r="K55" s="20" t="n">
        <x:v>100</x:v>
      </x:c>
      <x:c r="L55" s="20" t="n">
        <x:v>89.49938949938951</x:v>
      </x:c>
      <x:c r="M55" s="52" t="n">
        <x:v>0.11732605729877206</x:v>
      </x:c>
      <x:c r="N55" s="20" t="str">
        <x:v>Strong improvement</x:v>
      </x:c>
      <x:c r="O55" s="20" t="str">
        <x:v>Prototype retrieval heuristic; association is not proof of causality.</x:v>
      </x:c>
      <x:c r="P55" s="20" t="str">
        <x:v>YES</x:v>
      </x:c>
    </x:row>
    <x:row r="56">
      <x:c r="A56" s="20" t="str">
        <x:v>ADM-010</x:v>
      </x:c>
      <x:c r="B56" s="20" t="str">
        <x:v>Países con ruta de acreditación regulatoria definida y validada</x:v>
      </x:c>
      <x:c r="C56" s="20" t="n">
        <x:v>7</x:v>
      </x:c>
      <x:c r="D56" s="20" t="str">
        <x:v>ADM-016</x:v>
      </x:c>
      <x:c r="E56" s="20" t="str">
        <x:v>Viajes gestionados dentro de una semana</x:v>
      </x:c>
      <x:c r="F56" s="20" t="str">
        <x:v>Strategic-map adjacent objective; Same department</x:v>
      </x:c>
      <x:c r="G56" s="20" t="n">
        <x:v>67</x:v>
      </x:c>
      <x:c r="H56" s="20" t="str">
        <x:v>Administración</x:v>
      </x:c>
      <x:c r="I56" s="20" t="str">
        <x:v>Procesos internos</x:v>
      </x:c>
      <x:c r="J56" s="20" t="str">
        <x:v>P4. Simplificar y digitalizar procesos</x:v>
      </x:c>
      <x:c r="K56" s="20" t="n">
        <x:v>100</x:v>
      </x:c>
      <x:c r="L56" s="20" t="n">
        <x:v>88.9514687100894</x:v>
      </x:c>
      <x:c r="M56" s="52" t="n">
        <x:v>0.12420853135005526</x:v>
      </x:c>
      <x:c r="N56" s="20" t="str">
        <x:v>Strong improvement</x:v>
      </x:c>
      <x:c r="O56" s="20" t="str">
        <x:v>Prototype retrieval heuristic; association is not proof of causality.</x:v>
      </x:c>
      <x:c r="P56" s="20" t="str">
        <x:v>YES</x:v>
      </x:c>
    </x:row>
    <x:row r="57">
      <x:c r="A57" s="20" t="str">
        <x:v>ADM-010</x:v>
      </x:c>
      <x:c r="B57" s="20" t="str">
        <x:v>Países con ruta de acreditación regulatoria definida y validada</x:v>
      </x:c>
      <x:c r="C57" s="20" t="n">
        <x:v>8</x:v>
      </x:c>
      <x:c r="D57" s="20" t="str">
        <x:v>LEG-012</x:v>
      </x:c>
      <x:c r="E57" s="20" t="str">
        <x:v>Países objetivo con autorización fiscal para recibir donativos deducibles</x:v>
      </x:c>
      <x:c r="F57" s="20" t="str">
        <x:v>Same strategic objective; Same BSC perspective</x:v>
      </x:c>
      <x:c r="G57" s="20" t="n">
        <x:v>62</x:v>
      </x:c>
      <x:c r="H57" s="20" t="str">
        <x:v>Jurídico</x:v>
      </x:c>
      <x:c r="I57" s="20" t="str">
        <x:v>Beneficiarios y grupos de interés</x:v>
      </x:c>
      <x:c r="J57" s="20" t="str">
        <x:v>C3. Fortalecer confianza y credibilidad institucional</x:v>
      </x:c>
      <x:c r="K57" s="20" t="n">
        <x:v>100</x:v>
      </x:c>
      <x:c r="L57" s="20" t="n">
        <x:v>91.66666666666667</x:v>
      </x:c>
      <x:c r="M57" s="52" t="n">
        <x:v>0.09090909090909086</x:v>
      </x:c>
      <x:c r="N57" s="20" t="str">
        <x:v>Improving</x:v>
      </x:c>
      <x:c r="O57" s="20" t="str">
        <x:v>Prototype retrieval heuristic; association is not proof of causality.</x:v>
      </x:c>
      <x:c r="P57" s="20" t="str">
        <x:v>YES</x:v>
      </x:c>
    </x:row>
    <x:row r="58">
      <x:c r="A58" s="20" t="str">
        <x:v>ADM-012</x:v>
      </x:c>
      <x:c r="B58" s="20" t="str">
        <x:v>Nuevos convenios universitarios activados</x:v>
      </x:c>
      <x:c r="C58" s="20" t="n">
        <x:v>1</x:v>
      </x:c>
      <x:c r="D58" s="20" t="str">
        <x:v>ADM-004</x:v>
      </x:c>
      <x:c r="E58" s="20" t="str">
        <x:v>Presupuestos anuales aprobados dentro del calendario</x:v>
      </x:c>
      <x:c r="F58" s="20" t="str">
        <x:v>Same strategic objective; Same department; Same BSC perspective</x:v>
      </x:c>
      <x:c r="G58" s="20" t="n">
        <x:v>87</x:v>
      </x:c>
      <x:c r="H58" s="20" t="str">
        <x:v>Administración</x:v>
      </x:c>
      <x:c r="I58" s="20" t="str">
        <x:v>Capacidades y tecnología</x:v>
      </x:c>
      <x:c r="J58" s="20" t="str">
        <x:v>L4. Fortalecer colaboración interdepartamental</x:v>
      </x:c>
      <x:c r="K58" s="20" t="n">
        <x:v>100</x:v>
      </x:c>
      <x:c r="L58" s="20" t="n">
        <x:v>88.9514687100894</x:v>
      </x:c>
      <x:c r="M58" s="52" t="n">
        <x:v>0.12420853135005526</x:v>
      </x:c>
      <x:c r="N58" s="20" t="str">
        <x:v>Strong improvement</x:v>
      </x:c>
      <x:c r="O58" s="20" t="str">
        <x:v>Prototype retrieval heuristic; association is not proof of causality.</x:v>
      </x:c>
      <x:c r="P58" s="20" t="str">
        <x:v>YES</x:v>
      </x:c>
    </x:row>
    <x:row r="59">
      <x:c r="A59" s="20" t="str">
        <x:v>ADM-012</x:v>
      </x:c>
      <x:c r="B59" s="20" t="str">
        <x:v>Nuevos convenios universitarios activados</x:v>
      </x:c>
      <x:c r="C59" s="20" t="n">
        <x:v>2</x:v>
      </x:c>
      <x:c r="D59" s="20" t="str">
        <x:v>ADM-013</x:v>
      </x:c>
      <x:c r="E59" s="20" t="str">
        <x:v>Convenios universitarios renovados antes de vencimiento</x:v>
      </x:c>
      <x:c r="F59" s="20" t="str">
        <x:v>Same strategic objective; Same department; Same BSC perspective</x:v>
      </x:c>
      <x:c r="G59" s="20" t="n">
        <x:v>87</x:v>
      </x:c>
      <x:c r="H59" s="20" t="str">
        <x:v>Administración</x:v>
      </x:c>
      <x:c r="I59" s="20" t="str">
        <x:v>Capacidades y tecnología</x:v>
      </x:c>
      <x:c r="J59" s="20" t="str">
        <x:v>L4. Fortalecer colaboración interdepartamental</x:v>
      </x:c>
      <x:c r="K59" s="20" t="n">
        <x:v>100</x:v>
      </x:c>
      <x:c r="L59" s="20" t="n">
        <x:v>89.19551966335592</x:v>
      </x:c>
      <x:c r="M59" s="52" t="n">
        <x:v>0.12113254541733295</x:v>
      </x:c>
      <x:c r="N59" s="20" t="str">
        <x:v>Strong improvement</x:v>
      </x:c>
      <x:c r="O59" s="20" t="str">
        <x:v>Prototype retrieval heuristic; association is not proof of causality.</x:v>
      </x:c>
      <x:c r="P59" s="20" t="str">
        <x:v>YES</x:v>
      </x:c>
    </x:row>
    <x:row r="60">
      <x:c r="A60" s="20" t="str">
        <x:v>ADM-012</x:v>
      </x:c>
      <x:c r="B60" s="20" t="str">
        <x:v>Nuevos convenios universitarios activados</x:v>
      </x:c>
      <x:c r="C60" s="20" t="n">
        <x:v>3</x:v>
      </x:c>
      <x:c r="D60" s="20" t="str">
        <x:v>MKT-001</x:v>
      </x:c>
      <x:c r="E60" s="20" t="str">
        <x:v>Cumplimiento del manual/protocolo de comunicación global</x:v>
      </x:c>
      <x:c r="F60" s="20" t="str">
        <x:v>Same strategic objective; Same BSC perspective</x:v>
      </x:c>
      <x:c r="G60" s="20" t="n">
        <x:v>62</x:v>
      </x:c>
      <x:c r="H60" s="20" t="str">
        <x:v>Marketing y Comunicación</x:v>
      </x:c>
      <x:c r="I60" s="20" t="str">
        <x:v>Capacidades y tecnología</x:v>
      </x:c>
      <x:c r="J60" s="20" t="str">
        <x:v>L4. Fortalecer colaboración interdepartamental</x:v>
      </x:c>
      <x:c r="K60" s="20" t="n">
        <x:v>96</x:v>
      </x:c>
      <x:c r="L60" s="20" t="n">
        <x:v>84.07381786878189</x:v>
      </x:c>
      <x:c r="M60" s="52" t="n">
        <x:v>0.14185369992156044</x:v>
      </x:c>
      <x:c r="N60" s="20" t="str">
        <x:v>Strong improvement</x:v>
      </x:c>
      <x:c r="O60" s="20" t="str">
        <x:v>Prototype retrieval heuristic; association is not proof of causality.</x:v>
      </x:c>
      <x:c r="P60" s="20" t="str">
        <x:v>YES</x:v>
      </x:c>
    </x:row>
    <x:row r="61">
      <x:c r="A61" s="20" t="str">
        <x:v>ADM-012</x:v>
      </x:c>
      <x:c r="B61" s="20" t="str">
        <x:v>Nuevos convenios universitarios activados</x:v>
      </x:c>
      <x:c r="C61" s="20" t="n">
        <x:v>4</x:v>
      </x:c>
      <x:c r="D61" s="20" t="str">
        <x:v>ADM-001</x:v>
      </x:c>
      <x:c r="E61" s="20" t="str">
        <x:v>Facturación de donativos emitida dentro del SLA</x:v>
      </x:c>
      <x:c r="F61" s="20" t="str">
        <x:v>Strategic-map adjacent objective; Same department</x:v>
      </x:c>
      <x:c r="G61" s="20" t="n">
        <x:v>67</x:v>
      </x:c>
      <x:c r="H61" s="20" t="str">
        <x:v>Administración</x:v>
      </x:c>
      <x:c r="I61" s="20" t="str">
        <x:v>Procesos internos</x:v>
      </x:c>
      <x:c r="J61" s="20" t="str">
        <x:v>P4. Simplificar y digitalizar procesos</x:v>
      </x:c>
      <x:c r="K61" s="20" t="n">
        <x:v>100</x:v>
      </x:c>
      <x:c r="L61" s="20" t="n">
        <x:v>89.08024931406226</x:v>
      </x:c>
      <x:c r="M61" s="52" t="n">
        <x:v>0.12258329730801444</x:v>
      </x:c>
      <x:c r="N61" s="20" t="str">
        <x:v>Strong improvement</x:v>
      </x:c>
      <x:c r="O61" s="20" t="str">
        <x:v>Prototype retrieval heuristic; association is not proof of causality.</x:v>
      </x:c>
      <x:c r="P61" s="20" t="str">
        <x:v>YES</x:v>
      </x:c>
    </x:row>
    <x:row r="62">
      <x:c r="A62" s="20" t="str">
        <x:v>ADM-012</x:v>
      </x:c>
      <x:c r="B62" s="20" t="str">
        <x:v>Nuevos convenios universitarios activados</x:v>
      </x:c>
      <x:c r="C62" s="20" t="n">
        <x:v>5</x:v>
      </x:c>
      <x:c r="D62" s="20" t="str">
        <x:v>ADM-002</x:v>
      </x:c>
      <x:c r="E62" s="20" t="str">
        <x:v>Solicitudes de compra procesadas dentro del SLA</x:v>
      </x:c>
      <x:c r="F62" s="20" t="str">
        <x:v>Strategic-map adjacent objective; Same department</x:v>
      </x:c>
      <x:c r="G62" s="20" t="n">
        <x:v>67</x:v>
      </x:c>
      <x:c r="H62" s="20" t="str">
        <x:v>Administración</x:v>
      </x:c>
      <x:c r="I62" s="20" t="str">
        <x:v>Procesos internos</x:v>
      </x:c>
      <x:c r="J62" s="20" t="str">
        <x:v>P4. Simplificar y digitalizar procesos</x:v>
      </x:c>
      <x:c r="K62" s="20" t="n">
        <x:v>100</x:v>
      </x:c>
      <x:c r="L62" s="20" t="n">
        <x:v>89.08024931406226</x:v>
      </x:c>
      <x:c r="M62" s="52" t="n">
        <x:v>0.12258329730801444</x:v>
      </x:c>
      <x:c r="N62" s="20" t="str">
        <x:v>Strong improvement</x:v>
      </x:c>
      <x:c r="O62" s="20" t="str">
        <x:v>Prototype retrieval heuristic; association is not proof of causality.</x:v>
      </x:c>
      <x:c r="P62" s="20" t="str">
        <x:v>YES</x:v>
      </x:c>
    </x:row>
    <x:row r="63">
      <x:c r="A63" s="20" t="str">
        <x:v>ADM-012</x:v>
      </x:c>
      <x:c r="B63" s="20" t="str">
        <x:v>Nuevos convenios universitarios activados</x:v>
      </x:c>
      <x:c r="C63" s="20" t="n">
        <x:v>6</x:v>
      </x:c>
      <x:c r="D63" s="20" t="str">
        <x:v>ADM-003</x:v>
      </x:c>
      <x:c r="E63" s="20" t="str">
        <x:v>Pagos realizados en la fecha programada</x:v>
      </x:c>
      <x:c r="F63" s="20" t="str">
        <x:v>Strategic-map adjacent objective; Same department</x:v>
      </x:c>
      <x:c r="G63" s="20" t="n">
        <x:v>67</x:v>
      </x:c>
      <x:c r="H63" s="20" t="str">
        <x:v>Administración</x:v>
      </x:c>
      <x:c r="I63" s="20" t="str">
        <x:v>Procesos internos</x:v>
      </x:c>
      <x:c r="J63" s="20" t="str">
        <x:v>P4. Simplificar y digitalizar procesos</x:v>
      </x:c>
      <x:c r="K63" s="20" t="n">
        <x:v>100</x:v>
      </x:c>
      <x:c r="L63" s="20" t="n">
        <x:v>89.49938949938951</x:v>
      </x:c>
      <x:c r="M63" s="52" t="n">
        <x:v>0.11732605729877206</x:v>
      </x:c>
      <x:c r="N63" s="20" t="str">
        <x:v>Strong improvement</x:v>
      </x:c>
      <x:c r="O63" s="20" t="str">
        <x:v>Prototype retrieval heuristic; association is not proof of causality.</x:v>
      </x:c>
      <x:c r="P63" s="20" t="str">
        <x:v>YES</x:v>
      </x:c>
    </x:row>
    <x:row r="64">
      <x:c r="A64" s="20" t="str">
        <x:v>ADM-012</x:v>
      </x:c>
      <x:c r="B64" s="20" t="str">
        <x:v>Nuevos convenios universitarios activados</x:v>
      </x:c>
      <x:c r="C64" s="20" t="n">
        <x:v>7</x:v>
      </x:c>
      <x:c r="D64" s="20" t="str">
        <x:v>ADM-016</x:v>
      </x:c>
      <x:c r="E64" s="20" t="str">
        <x:v>Viajes gestionados dentro de una semana</x:v>
      </x:c>
      <x:c r="F64" s="20" t="str">
        <x:v>Strategic-map adjacent objective; Same department</x:v>
      </x:c>
      <x:c r="G64" s="20" t="n">
        <x:v>67</x:v>
      </x:c>
      <x:c r="H64" s="20" t="str">
        <x:v>Administración</x:v>
      </x:c>
      <x:c r="I64" s="20" t="str">
        <x:v>Procesos internos</x:v>
      </x:c>
      <x:c r="J64" s="20" t="str">
        <x:v>P4. Simplificar y digitalizar procesos</x:v>
      </x:c>
      <x:c r="K64" s="20" t="n">
        <x:v>100</x:v>
      </x:c>
      <x:c r="L64" s="20" t="n">
        <x:v>88.9514687100894</x:v>
      </x:c>
      <x:c r="M64" s="52" t="n">
        <x:v>0.12420853135005526</x:v>
      </x:c>
      <x:c r="N64" s="20" t="str">
        <x:v>Strong improvement</x:v>
      </x:c>
      <x:c r="O64" s="20" t="str">
        <x:v>Prototype retrieval heuristic; association is not proof of causality.</x:v>
      </x:c>
      <x:c r="P64" s="20" t="str">
        <x:v>YES</x:v>
      </x:c>
    </x:row>
    <x:row r="65">
      <x:c r="A65" s="20" t="str">
        <x:v>ADM-012</x:v>
      </x:c>
      <x:c r="B65" s="20" t="str">
        <x:v>Nuevos convenios universitarios activados</x:v>
      </x:c>
      <x:c r="C65" s="20" t="n">
        <x:v>8</x:v>
      </x:c>
      <x:c r="D65" s="20" t="str">
        <x:v>MKT-004</x:v>
      </x:c>
      <x:c r="E65" s="20" t="str">
        <x:v>Compromisos de mejora de comunicación cerrados en plazo</x:v>
      </x:c>
      <x:c r="F65" s="20" t="str">
        <x:v>Same strategic objective; Same BSC perspective</x:v>
      </x:c>
      <x:c r="G65" s="20" t="n">
        <x:v>62</x:v>
      </x:c>
      <x:c r="H65" s="20" t="str">
        <x:v>Marketing y Comunicación</x:v>
      </x:c>
      <x:c r="I65" s="20" t="str">
        <x:v>Capacidades y tecnología</x:v>
      </x:c>
      <x:c r="J65" s="20" t="str">
        <x:v>L4. Fortalecer colaboración interdepartamental</x:v>
      </x:c>
      <x:c r="K65" s="20" t="n">
        <x:v>92</x:v>
      </x:c>
      <x:c r="L65" s="20" t="n">
        <x:v>80.97783311812088</x:v>
      </x:c>
      <x:c r="M65" s="52" t="n">
        <x:v>0.13611338384173954</x:v>
      </x:c>
      <x:c r="N65" s="20" t="str">
        <x:v>Strong improvement</x:v>
      </x:c>
      <x:c r="O65" s="20" t="str">
        <x:v>Prototype retrieval heuristic; association is not proof of causality.</x:v>
      </x:c>
      <x:c r="P65" s="20" t="str">
        <x:v>YES</x:v>
      </x:c>
    </x:row>
    <x:row r="66">
      <x:c r="A66" s="20" t="str">
        <x:v>ADM-013</x:v>
      </x:c>
      <x:c r="B66" s="20" t="str">
        <x:v>Convenios universitarios renovados antes de vencimiento</x:v>
      </x:c>
      <x:c r="C66" s="20" t="n">
        <x:v>1</x:v>
      </x:c>
      <x:c r="D66" s="20" t="str">
        <x:v>ADM-004</x:v>
      </x:c>
      <x:c r="E66" s="20" t="str">
        <x:v>Presupuestos anuales aprobados dentro del calendario</x:v>
      </x:c>
      <x:c r="F66" s="20" t="str">
        <x:v>Same strategic objective; Same department; Same BSC perspective</x:v>
      </x:c>
      <x:c r="G66" s="20" t="n">
        <x:v>87</x:v>
      </x:c>
      <x:c r="H66" s="20" t="str">
        <x:v>Administración</x:v>
      </x:c>
      <x:c r="I66" s="20" t="str">
        <x:v>Capacidades y tecnología</x:v>
      </x:c>
      <x:c r="J66" s="20" t="str">
        <x:v>L4. Fortalecer colaboración interdepartamental</x:v>
      </x:c>
      <x:c r="K66" s="20" t="n">
        <x:v>100</x:v>
      </x:c>
      <x:c r="L66" s="20" t="n">
        <x:v>88.9514687100894</x:v>
      </x:c>
      <x:c r="M66" s="52" t="n">
        <x:v>0.12420853135005526</x:v>
      </x:c>
      <x:c r="N66" s="20" t="str">
        <x:v>Strong improvement</x:v>
      </x:c>
      <x:c r="O66" s="20" t="str">
        <x:v>Prototype retrieval heuristic; association is not proof of causality.</x:v>
      </x:c>
      <x:c r="P66" s="20" t="str">
        <x:v>YES</x:v>
      </x:c>
    </x:row>
    <x:row r="67">
      <x:c r="A67" s="20" t="str">
        <x:v>ADM-013</x:v>
      </x:c>
      <x:c r="B67" s="20" t="str">
        <x:v>Convenios universitarios renovados antes de vencimiento</x:v>
      </x:c>
      <x:c r="C67" s="20" t="n">
        <x:v>2</x:v>
      </x:c>
      <x:c r="D67" s="20" t="str">
        <x:v>ADM-012</x:v>
      </x:c>
      <x:c r="E67" s="20" t="str">
        <x:v>Nuevos convenios universitarios activados</x:v>
      </x:c>
      <x:c r="F67" s="20" t="str">
        <x:v>Same strategic objective; Same department; Same BSC perspective</x:v>
      </x:c>
      <x:c r="G67" s="20" t="n">
        <x:v>87</x:v>
      </x:c>
      <x:c r="H67" s="20" t="str">
        <x:v>Administración</x:v>
      </x:c>
      <x:c r="I67" s="20" t="str">
        <x:v>Capacidades y tecnología</x:v>
      </x:c>
      <x:c r="J67" s="20" t="str">
        <x:v>L4. Fortalecer colaboración interdepartamental</x:v>
      </x:c>
      <x:c r="K67" s="20" t="n">
        <x:v>2</x:v>
      </x:c>
      <x:c r="L67" s="20" t="n">
        <x:v>1.3333333333333333</x:v>
      </x:c>
      <x:c r="M67" s="52" t="n">
        <x:v>0.5000000000000001</x:v>
      </x:c>
      <x:c r="N67" s="20" t="str">
        <x:v>Strong improvement</x:v>
      </x:c>
      <x:c r="O67" s="20" t="str">
        <x:v>Prototype retrieval heuristic; association is not proof of causality.</x:v>
      </x:c>
      <x:c r="P67" s="20" t="str">
        <x:v>YES</x:v>
      </x:c>
    </x:row>
    <x:row r="68">
      <x:c r="A68" s="20" t="str">
        <x:v>ADM-013</x:v>
      </x:c>
      <x:c r="B68" s="20" t="str">
        <x:v>Convenios universitarios renovados antes de vencimiento</x:v>
      </x:c>
      <x:c r="C68" s="20" t="n">
        <x:v>3</x:v>
      </x:c>
      <x:c r="D68" s="20" t="str">
        <x:v>MKT-001</x:v>
      </x:c>
      <x:c r="E68" s="20" t="str">
        <x:v>Cumplimiento del manual/protocolo de comunicación global</x:v>
      </x:c>
      <x:c r="F68" s="20" t="str">
        <x:v>Same strategic objective; Same BSC perspective</x:v>
      </x:c>
      <x:c r="G68" s="20" t="n">
        <x:v>62</x:v>
      </x:c>
      <x:c r="H68" s="20" t="str">
        <x:v>Marketing y Comunicación</x:v>
      </x:c>
      <x:c r="I68" s="20" t="str">
        <x:v>Capacidades y tecnología</x:v>
      </x:c>
      <x:c r="J68" s="20" t="str">
        <x:v>L4. Fortalecer colaboración interdepartamental</x:v>
      </x:c>
      <x:c r="K68" s="20" t="n">
        <x:v>96</x:v>
      </x:c>
      <x:c r="L68" s="20" t="n">
        <x:v>84.07381786878189</x:v>
      </x:c>
      <x:c r="M68" s="52" t="n">
        <x:v>0.14185369992156044</x:v>
      </x:c>
      <x:c r="N68" s="20" t="str">
        <x:v>Strong improvement</x:v>
      </x:c>
      <x:c r="O68" s="20" t="str">
        <x:v>Prototype retrieval heuristic; association is not proof of causality.</x:v>
      </x:c>
      <x:c r="P68" s="20" t="str">
        <x:v>YES</x:v>
      </x:c>
    </x:row>
    <x:row r="69">
      <x:c r="A69" s="20" t="str">
        <x:v>ADM-013</x:v>
      </x:c>
      <x:c r="B69" s="20" t="str">
        <x:v>Convenios universitarios renovados antes de vencimiento</x:v>
      </x:c>
      <x:c r="C69" s="20" t="n">
        <x:v>4</x:v>
      </x:c>
      <x:c r="D69" s="20" t="str">
        <x:v>ADM-001</x:v>
      </x:c>
      <x:c r="E69" s="20" t="str">
        <x:v>Facturación de donativos emitida dentro del SLA</x:v>
      </x:c>
      <x:c r="F69" s="20" t="str">
        <x:v>Strategic-map adjacent objective; Same department</x:v>
      </x:c>
      <x:c r="G69" s="20" t="n">
        <x:v>67</x:v>
      </x:c>
      <x:c r="H69" s="20" t="str">
        <x:v>Administración</x:v>
      </x:c>
      <x:c r="I69" s="20" t="str">
        <x:v>Procesos internos</x:v>
      </x:c>
      <x:c r="J69" s="20" t="str">
        <x:v>P4. Simplificar y digitalizar procesos</x:v>
      </x:c>
      <x:c r="K69" s="20" t="n">
        <x:v>100</x:v>
      </x:c>
      <x:c r="L69" s="20" t="n">
        <x:v>89.08024931406226</x:v>
      </x:c>
      <x:c r="M69" s="52" t="n">
        <x:v>0.12258329730801444</x:v>
      </x:c>
      <x:c r="N69" s="20" t="str">
        <x:v>Strong improvement</x:v>
      </x:c>
      <x:c r="O69" s="20" t="str">
        <x:v>Prototype retrieval heuristic; association is not proof of causality.</x:v>
      </x:c>
      <x:c r="P69" s="20" t="str">
        <x:v>YES</x:v>
      </x:c>
    </x:row>
    <x:row r="70">
      <x:c r="A70" s="20" t="str">
        <x:v>ADM-013</x:v>
      </x:c>
      <x:c r="B70" s="20" t="str">
        <x:v>Convenios universitarios renovados antes de vencimiento</x:v>
      </x:c>
      <x:c r="C70" s="20" t="n">
        <x:v>5</x:v>
      </x:c>
      <x:c r="D70" s="20" t="str">
        <x:v>ADM-002</x:v>
      </x:c>
      <x:c r="E70" s="20" t="str">
        <x:v>Solicitudes de compra procesadas dentro del SLA</x:v>
      </x:c>
      <x:c r="F70" s="20" t="str">
        <x:v>Strategic-map adjacent objective; Same department</x:v>
      </x:c>
      <x:c r="G70" s="20" t="n">
        <x:v>67</x:v>
      </x:c>
      <x:c r="H70" s="20" t="str">
        <x:v>Administración</x:v>
      </x:c>
      <x:c r="I70" s="20" t="str">
        <x:v>Procesos internos</x:v>
      </x:c>
      <x:c r="J70" s="20" t="str">
        <x:v>P4. Simplificar y digitalizar procesos</x:v>
      </x:c>
      <x:c r="K70" s="20" t="n">
        <x:v>100</x:v>
      </x:c>
      <x:c r="L70" s="20" t="n">
        <x:v>89.08024931406226</x:v>
      </x:c>
      <x:c r="M70" s="52" t="n">
        <x:v>0.12258329730801444</x:v>
      </x:c>
      <x:c r="N70" s="20" t="str">
        <x:v>Strong improvement</x:v>
      </x:c>
      <x:c r="O70" s="20" t="str">
        <x:v>Prototype retrieval heuristic; association is not proof of causality.</x:v>
      </x:c>
      <x:c r="P70" s="20" t="str">
        <x:v>YES</x:v>
      </x:c>
    </x:row>
    <x:row r="71">
      <x:c r="A71" s="20" t="str">
        <x:v>ADM-013</x:v>
      </x:c>
      <x:c r="B71" s="20" t="str">
        <x:v>Convenios universitarios renovados antes de vencimiento</x:v>
      </x:c>
      <x:c r="C71" s="20" t="n">
        <x:v>6</x:v>
      </x:c>
      <x:c r="D71" s="20" t="str">
        <x:v>ADM-003</x:v>
      </x:c>
      <x:c r="E71" s="20" t="str">
        <x:v>Pagos realizados en la fecha programada</x:v>
      </x:c>
      <x:c r="F71" s="20" t="str">
        <x:v>Strategic-map adjacent objective; Same department</x:v>
      </x:c>
      <x:c r="G71" s="20" t="n">
        <x:v>67</x:v>
      </x:c>
      <x:c r="H71" s="20" t="str">
        <x:v>Administración</x:v>
      </x:c>
      <x:c r="I71" s="20" t="str">
        <x:v>Procesos internos</x:v>
      </x:c>
      <x:c r="J71" s="20" t="str">
        <x:v>P4. Simplificar y digitalizar procesos</x:v>
      </x:c>
      <x:c r="K71" s="20" t="n">
        <x:v>100</x:v>
      </x:c>
      <x:c r="L71" s="20" t="n">
        <x:v>89.49938949938951</x:v>
      </x:c>
      <x:c r="M71" s="52" t="n">
        <x:v>0.11732605729877206</x:v>
      </x:c>
      <x:c r="N71" s="20" t="str">
        <x:v>Strong improvement</x:v>
      </x:c>
      <x:c r="O71" s="20" t="str">
        <x:v>Prototype retrieval heuristic; association is not proof of causality.</x:v>
      </x:c>
      <x:c r="P71" s="20" t="str">
        <x:v>YES</x:v>
      </x:c>
    </x:row>
    <x:row r="72">
      <x:c r="A72" s="20" t="str">
        <x:v>ADM-013</x:v>
      </x:c>
      <x:c r="B72" s="20" t="str">
        <x:v>Convenios universitarios renovados antes de vencimiento</x:v>
      </x:c>
      <x:c r="C72" s="20" t="n">
        <x:v>7</x:v>
      </x:c>
      <x:c r="D72" s="20" t="str">
        <x:v>ADM-016</x:v>
      </x:c>
      <x:c r="E72" s="20" t="str">
        <x:v>Viajes gestionados dentro de una semana</x:v>
      </x:c>
      <x:c r="F72" s="20" t="str">
        <x:v>Strategic-map adjacent objective; Same department</x:v>
      </x:c>
      <x:c r="G72" s="20" t="n">
        <x:v>67</x:v>
      </x:c>
      <x:c r="H72" s="20" t="str">
        <x:v>Administración</x:v>
      </x:c>
      <x:c r="I72" s="20" t="str">
        <x:v>Procesos internos</x:v>
      </x:c>
      <x:c r="J72" s="20" t="str">
        <x:v>P4. Simplificar y digitalizar procesos</x:v>
      </x:c>
      <x:c r="K72" s="20" t="n">
        <x:v>100</x:v>
      </x:c>
      <x:c r="L72" s="20" t="n">
        <x:v>88.9514687100894</x:v>
      </x:c>
      <x:c r="M72" s="52" t="n">
        <x:v>0.12420853135005526</x:v>
      </x:c>
      <x:c r="N72" s="20" t="str">
        <x:v>Strong improvement</x:v>
      </x:c>
      <x:c r="O72" s="20" t="str">
        <x:v>Prototype retrieval heuristic; association is not proof of causality.</x:v>
      </x:c>
      <x:c r="P72" s="20" t="str">
        <x:v>YES</x:v>
      </x:c>
    </x:row>
    <x:row r="73">
      <x:c r="A73" s="20" t="str">
        <x:v>ADM-013</x:v>
      </x:c>
      <x:c r="B73" s="20" t="str">
        <x:v>Convenios universitarios renovados antes de vencimiento</x:v>
      </x:c>
      <x:c r="C73" s="20" t="n">
        <x:v>8</x:v>
      </x:c>
      <x:c r="D73" s="20" t="str">
        <x:v>MKT-004</x:v>
      </x:c>
      <x:c r="E73" s="20" t="str">
        <x:v>Compromisos de mejora de comunicación cerrados en plazo</x:v>
      </x:c>
      <x:c r="F73" s="20" t="str">
        <x:v>Same strategic objective; Same BSC perspective</x:v>
      </x:c>
      <x:c r="G73" s="20" t="n">
        <x:v>62</x:v>
      </x:c>
      <x:c r="H73" s="20" t="str">
        <x:v>Marketing y Comunicación</x:v>
      </x:c>
      <x:c r="I73" s="20" t="str">
        <x:v>Capacidades y tecnología</x:v>
      </x:c>
      <x:c r="J73" s="20" t="str">
        <x:v>L4. Fortalecer colaboración interdepartamental</x:v>
      </x:c>
      <x:c r="K73" s="20" t="n">
        <x:v>92</x:v>
      </x:c>
      <x:c r="L73" s="20" t="n">
        <x:v>80.97783311812088</x:v>
      </x:c>
      <x:c r="M73" s="52" t="n">
        <x:v>0.13611338384173954</x:v>
      </x:c>
      <x:c r="N73" s="20" t="str">
        <x:v>Strong improvement</x:v>
      </x:c>
      <x:c r="O73" s="20" t="str">
        <x:v>Prototype retrieval heuristic; association is not proof of causality.</x:v>
      </x:c>
      <x:c r="P73" s="20" t="str">
        <x:v>YES</x:v>
      </x:c>
    </x:row>
    <x:row r="74">
      <x:c r="A74" s="20" t="str">
        <x:v>ADM-014</x:v>
      </x:c>
      <x:c r="B74" s="20" t="str">
        <x:v>Prestadores de servicio social incorporados</x:v>
      </x:c>
      <x:c r="C74" s="20" t="n">
        <x:v>1</x:v>
      </x:c>
      <x:c r="D74" s="20" t="str">
        <x:v>LEG-006</x:v>
      </x:c>
      <x:c r="E74" s="20" t="str">
        <x:v>Cobertura de certificación antilavado del equipo Jurídico</x:v>
      </x:c>
      <x:c r="F74" s="20" t="str">
        <x:v>Same strategic objective; Same BSC perspective</x:v>
      </x:c>
      <x:c r="G74" s="20" t="n">
        <x:v>62</x:v>
      </x:c>
      <x:c r="H74" s="20" t="str">
        <x:v>Jurídico</x:v>
      </x:c>
      <x:c r="I74" s="20" t="str">
        <x:v>Capacidades y tecnología</x:v>
      </x:c>
      <x:c r="J74" s="20" t="str">
        <x:v>L3. Fortalecer capacidades del equipo</x:v>
      </x:c>
      <x:c r="K74" s="20" t="n">
        <x:v>100</x:v>
      </x:c>
      <x:c r="L74" s="20" t="n">
        <x:v>89.15092609572713</x:v>
      </x:c>
      <x:c r="M74" s="52" t="n">
        <x:v>0.12169333936726037</x:v>
      </x:c>
      <x:c r="N74" s="20" t="str">
        <x:v>Strong improvement</x:v>
      </x:c>
      <x:c r="O74" s="20" t="str">
        <x:v>Prototype retrieval heuristic; association is not proof of causality.</x:v>
      </x:c>
      <x:c r="P74" s="20" t="str">
        <x:v>YES</x:v>
      </x:c>
    </x:row>
    <x:row r="75">
      <x:c r="A75" s="20" t="str">
        <x:v>ADM-014</x:v>
      </x:c>
      <x:c r="B75" s="20" t="str">
        <x:v>Prestadores de servicio social incorporados</x:v>
      </x:c>
      <x:c r="C75" s="20" t="n">
        <x:v>2</x:v>
      </x:c>
      <x:c r="D75" s="20" t="str">
        <x:v>REC-L04</x:v>
      </x:c>
      <x:c r="E75" s="20" t="str">
        <x:v>Cobertura de capacitación crítica</x:v>
      </x:c>
      <x:c r="F75" s="20" t="str">
        <x:v>Same strategic objective; Same BSC perspective</x:v>
      </x:c>
      <x:c r="G75" s="20" t="n">
        <x:v>60</x:v>
      </x:c>
      <x:c r="H75" s="20" t="str">
        <x:v>Dirección / RH</x:v>
      </x:c>
      <x:c r="I75" s="20" t="str">
        <x:v>Capacidades y tecnología</x:v>
      </x:c>
      <x:c r="J75" s="20" t="str">
        <x:v>L3. Fortalecer capacidades del equipo</x:v>
      </x:c>
      <x:c r="K75" s="20" t="n">
        <x:v>100</x:v>
      </x:c>
      <x:c r="L75" s="20" t="n">
        <x:v>88.9514687100894</x:v>
      </x:c>
      <x:c r="M75" s="52" t="n">
        <x:v>0.12420853135005526</x:v>
      </x:c>
      <x:c r="N75" s="20" t="str">
        <x:v>Strong improvement</x:v>
      </x:c>
      <x:c r="O75" s="20" t="str">
        <x:v>Prototype retrieval heuristic; association is not proof of causality.</x:v>
      </x:c>
      <x:c r="P75" s="20" t="str">
        <x:v>YES</x:v>
      </x:c>
    </x:row>
    <x:row r="76">
      <x:c r="A76" s="20" t="str">
        <x:v>ADM-014</x:v>
      </x:c>
      <x:c r="B76" s="20" t="str">
        <x:v>Prestadores de servicio social incorporados</x:v>
      </x:c>
      <x:c r="C76" s="20" t="n">
        <x:v>3</x:v>
      </x:c>
      <x:c r="D76" s="20" t="str">
        <x:v>FND-016</x:v>
      </x:c>
      <x:c r="E76" s="20" t="str">
        <x:v>Nuevas alianzas estratégicas activas por país</x:v>
      </x:c>
      <x:c r="F76" s="20" t="str">
        <x:v>Strategic-map adjacent objective</x:v>
      </x:c>
      <x:c r="G76" s="20" t="n">
        <x:v>42</x:v>
      </x:c>
      <x:c r="H76" s="20" t="str">
        <x:v>Procuración de Fondos</x:v>
      </x:c>
      <x:c r="I76" s="20" t="str">
        <x:v>Procesos internos</x:v>
      </x:c>
      <x:c r="J76" s="20" t="str">
        <x:v>P6. Construir ecosistema de alianzas</x:v>
      </x:c>
      <x:c r="K76" s="20" t="n">
        <x:v>4</x:v>
      </x:c>
      <x:c r="L76" s="20" t="n">
        <x:v>2.6666666666666665</x:v>
      </x:c>
      <x:c r="M76" s="52" t="n">
        <x:v>0.5000000000000001</x:v>
      </x:c>
      <x:c r="N76" s="20" t="str">
        <x:v>Strong improvement</x:v>
      </x:c>
      <x:c r="O76" s="20" t="str">
        <x:v>Prototype retrieval heuristic; association is not proof of causality.</x:v>
      </x:c>
      <x:c r="P76" s="20" t="str">
        <x:v>YES</x:v>
      </x:c>
    </x:row>
    <x:row r="77">
      <x:c r="A77" s="20" t="str">
        <x:v>ADM-014</x:v>
      </x:c>
      <x:c r="B77" s="20" t="str">
        <x:v>Prestadores de servicio social incorporados</x:v>
      </x:c>
      <x:c r="C77" s="20" t="n">
        <x:v>4</x:v>
      </x:c>
      <x:c r="D77" s="20" t="str">
        <x:v>MKT-008</x:v>
      </x:c>
      <x:c r="E77" s="20" t="str">
        <x:v>Cumplimiento de ejecución multicanal del lanzamiento</x:v>
      </x:c>
      <x:c r="F77" s="20" t="str">
        <x:v>Strategic-map adjacent objective</x:v>
      </x:c>
      <x:c r="G77" s="20" t="n">
        <x:v>42</x:v>
      </x:c>
      <x:c r="H77" s="20" t="str">
        <x:v>Marketing y Comunicación</x:v>
      </x:c>
      <x:c r="I77" s="20" t="str">
        <x:v>Procesos internos</x:v>
      </x:c>
      <x:c r="J77" s="20" t="str">
        <x:v>P3. Integrar Marketing + Procuración</x:v>
      </x:c>
      <x:c r="K77" s="20" t="n">
        <x:v>100</x:v>
      </x:c>
      <x:c r="L77" s="20" t="n">
        <x:v>88.9514687100894</x:v>
      </x:c>
      <x:c r="M77" s="52" t="n">
        <x:v>0.12420853135005526</x:v>
      </x:c>
      <x:c r="N77" s="20" t="str">
        <x:v>Strong improvement</x:v>
      </x:c>
      <x:c r="O77" s="20" t="str">
        <x:v>Prototype retrieval heuristic; association is not proof of causality.</x:v>
      </x:c>
      <x:c r="P77" s="20" t="str">
        <x:v>YES</x:v>
      </x:c>
    </x:row>
    <x:row r="78">
      <x:c r="A78" s="20" t="str">
        <x:v>ADM-014</x:v>
      </x:c>
      <x:c r="B78" s="20" t="str">
        <x:v>Prestadores de servicio social incorporados</x:v>
      </x:c>
      <x:c r="C78" s="20" t="n">
        <x:v>5</x:v>
      </x:c>
      <x:c r="D78" s="20" t="str">
        <x:v>ADM-004</x:v>
      </x:c>
      <x:c r="E78" s="20" t="str">
        <x:v>Presupuestos anuales aprobados dentro del calendario</x:v>
      </x:c>
      <x:c r="F78" s="20" t="str">
        <x:v>Same department; Same BSC perspective</x:v>
      </x:c>
      <x:c r="G78" s="20" t="n">
        <x:v>37</x:v>
      </x:c>
      <x:c r="H78" s="20" t="str">
        <x:v>Administración</x:v>
      </x:c>
      <x:c r="I78" s="20" t="str">
        <x:v>Capacidades y tecnología</x:v>
      </x:c>
      <x:c r="J78" s="20" t="str">
        <x:v>L4. Fortalecer colaboración interdepartamental</x:v>
      </x:c>
      <x:c r="K78" s="20" t="n">
        <x:v>100</x:v>
      </x:c>
      <x:c r="L78" s="20" t="n">
        <x:v>88.9514687100894</x:v>
      </x:c>
      <x:c r="M78" s="52" t="n">
        <x:v>0.12420853135005526</x:v>
      </x:c>
      <x:c r="N78" s="20" t="str">
        <x:v>Strong improvement</x:v>
      </x:c>
      <x:c r="O78" s="20" t="str">
        <x:v>Prototype retrieval heuristic; association is not proof of causality.</x:v>
      </x:c>
      <x:c r="P78" s="20" t="str">
        <x:v>YES</x:v>
      </x:c>
    </x:row>
    <x:row r="79">
      <x:c r="A79" s="20" t="str">
        <x:v>ADM-014</x:v>
      </x:c>
      <x:c r="B79" s="20" t="str">
        <x:v>Prestadores de servicio social incorporados</x:v>
      </x:c>
      <x:c r="C79" s="20" t="n">
        <x:v>6</x:v>
      </x:c>
      <x:c r="D79" s="20" t="str">
        <x:v>ADM-012</x:v>
      </x:c>
      <x:c r="E79" s="20" t="str">
        <x:v>Nuevos convenios universitarios activados</x:v>
      </x:c>
      <x:c r="F79" s="20" t="str">
        <x:v>Same department; Same BSC perspective</x:v>
      </x:c>
      <x:c r="G79" s="20" t="n">
        <x:v>37</x:v>
      </x:c>
      <x:c r="H79" s="20" t="str">
        <x:v>Administración</x:v>
      </x:c>
      <x:c r="I79" s="20" t="str">
        <x:v>Capacidades y tecnología</x:v>
      </x:c>
      <x:c r="J79" s="20" t="str">
        <x:v>L4. Fortalecer colaboración interdepartamental</x:v>
      </x:c>
      <x:c r="K79" s="20" t="n">
        <x:v>2</x:v>
      </x:c>
      <x:c r="L79" s="20" t="n">
        <x:v>1.3333333333333333</x:v>
      </x:c>
      <x:c r="M79" s="52" t="n">
        <x:v>0.5000000000000001</x:v>
      </x:c>
      <x:c r="N79" s="20" t="str">
        <x:v>Strong improvement</x:v>
      </x:c>
      <x:c r="O79" s="20" t="str">
        <x:v>Prototype retrieval heuristic; association is not proof of causality.</x:v>
      </x:c>
      <x:c r="P79" s="20" t="str">
        <x:v>YES</x:v>
      </x:c>
    </x:row>
    <x:row r="80">
      <x:c r="A80" s="20" t="str">
        <x:v>ADM-014</x:v>
      </x:c>
      <x:c r="B80" s="20" t="str">
        <x:v>Prestadores de servicio social incorporados</x:v>
      </x:c>
      <x:c r="C80" s="20" t="n">
        <x:v>7</x:v>
      </x:c>
      <x:c r="D80" s="20" t="str">
        <x:v>ADM-013</x:v>
      </x:c>
      <x:c r="E80" s="20" t="str">
        <x:v>Convenios universitarios renovados antes de vencimiento</x:v>
      </x:c>
      <x:c r="F80" s="20" t="str">
        <x:v>Same department; Same BSC perspective</x:v>
      </x:c>
      <x:c r="G80" s="20" t="n">
        <x:v>37</x:v>
      </x:c>
      <x:c r="H80" s="20" t="str">
        <x:v>Administración</x:v>
      </x:c>
      <x:c r="I80" s="20" t="str">
        <x:v>Capacidades y tecnología</x:v>
      </x:c>
      <x:c r="J80" s="20" t="str">
        <x:v>L4. Fortalecer colaboración interdepartamental</x:v>
      </x:c>
      <x:c r="K80" s="20" t="n">
        <x:v>100</x:v>
      </x:c>
      <x:c r="L80" s="20" t="n">
        <x:v>89.19551966335592</x:v>
      </x:c>
      <x:c r="M80" s="52" t="n">
        <x:v>0.12113254541733295</x:v>
      </x:c>
      <x:c r="N80" s="20" t="str">
        <x:v>Strong improvement</x:v>
      </x:c>
      <x:c r="O80" s="20" t="str">
        <x:v>Prototype retrieval heuristic; association is not proof of causality.</x:v>
      </x:c>
      <x:c r="P80" s="20" t="str">
        <x:v>YES</x:v>
      </x:c>
    </x:row>
    <x:row r="81">
      <x:c r="A81" s="20" t="str">
        <x:v>ADM-014</x:v>
      </x:c>
      <x:c r="B81" s="20" t="str">
        <x:v>Prestadores de servicio social incorporados</x:v>
      </x:c>
      <x:c r="C81" s="20" t="n">
        <x:v>8</x:v>
      </x:c>
      <x:c r="D81" s="20" t="str">
        <x:v>MKT-011</x:v>
      </x:c>
      <x:c r="E81" s="20" t="str">
        <x:v>Actividades principales con cobertura completa de comunicación e impacto</x:v>
      </x:c>
      <x:c r="F81" s="20" t="str">
        <x:v>Strategic-map adjacent objective</x:v>
      </x:c>
      <x:c r="G81" s="20" t="n">
        <x:v>42</x:v>
      </x:c>
      <x:c r="H81" s="20" t="str">
        <x:v>Marketing y Comunicación</x:v>
      </x:c>
      <x:c r="I81" s="20" t="str">
        <x:v>Procesos internos</x:v>
      </x:c>
      <x:c r="J81" s="20" t="str">
        <x:v>P3. Integrar Marketing + Procuración</x:v>
      </x:c>
      <x:c r="K81" s="20" t="n">
        <x:v>100</x:v>
      </x:c>
      <x:c r="L81" s="20" t="n">
        <x:v>89.21401340466089</x:v>
      </x:c>
      <x:c r="M81" s="52" t="n">
        <x:v>0.12090013870820443</x:v>
      </x:c>
      <x:c r="N81" s="20" t="str">
        <x:v>Strong improvement</x:v>
      </x:c>
      <x:c r="O81" s="20" t="str">
        <x:v>Prototype retrieval heuristic; association is not proof of causality.</x:v>
      </x:c>
      <x:c r="P81" s="20" t="str">
        <x:v>YES</x:v>
      </x:c>
    </x:row>
    <x:row r="82">
      <x:c r="A82" s="20" t="str">
        <x:v>ADM-015</x:v>
      </x:c>
      <x:c r="B82" s="20" t="str">
        <x:v>Reportes financieros mensuales entregados en tiempo</x:v>
      </x:c>
      <x:c r="C82" s="20" t="n">
        <x:v>1</x:v>
      </x:c>
      <x:c r="D82" s="20" t="str">
        <x:v>LEG-005</x:v>
      </x:c>
      <x:c r="E82" s="20" t="str">
        <x:v>Ahorro en costos internos derivados de la simplificación</x:v>
      </x:c>
      <x:c r="F82" s="20" t="str">
        <x:v>Same strategic objective; Same BSC perspective</x:v>
      </x:c>
      <x:c r="G82" s="20" t="n">
        <x:v>62</x:v>
      </x:c>
      <x:c r="H82" s="20" t="str">
        <x:v>Jurídico</x:v>
      </x:c>
      <x:c r="I82" s="20" t="str">
        <x:v>Sostenibilidad financiera</x:v>
      </x:c>
      <x:c r="J82" s="20" t="str">
        <x:v>F4. Mejorar eficiencia y control presupuestal</x:v>
      </x:c>
      <x:c r="K82" s="20" t="n">
        <x:v>20.4</x:v>
      </x:c>
      <x:c r="L82" s="20" t="n">
        <x:v>15.533333333333333</x:v>
      </x:c>
      <x:c r="M82" s="52" t="n">
        <x:v>0.3133047210300428</x:v>
      </x:c>
      <x:c r="N82" s="20" t="str">
        <x:v>Strong improvement</x:v>
      </x:c>
      <x:c r="O82" s="20" t="str">
        <x:v>Prototype retrieval heuristic; association is not proof of causality.</x:v>
      </x:c>
      <x:c r="P82" s="20" t="str">
        <x:v>YES</x:v>
      </x:c>
    </x:row>
    <x:row r="83">
      <x:c r="A83" s="20" t="str">
        <x:v>ADM-015</x:v>
      </x:c>
      <x:c r="B83" s="20" t="str">
        <x:v>Reportes financieros mensuales entregados en tiempo</x:v>
      </x:c>
      <x:c r="C83" s="20" t="n">
        <x:v>2</x:v>
      </x:c>
      <x:c r="D83" s="20" t="str">
        <x:v>REC-F05</x:v>
      </x:c>
      <x:c r="E83" s="20" t="str">
        <x:v>Variación presupuestal</x:v>
      </x:c>
      <x:c r="F83" s="20" t="str">
        <x:v>Same strategic objective; Same BSC perspective</x:v>
      </x:c>
      <x:c r="G83" s="20" t="n">
        <x:v>62</x:v>
      </x:c>
      <x:c r="H83" s="20" t="str">
        <x:v>Administración + Finanzas</x:v>
      </x:c>
      <x:c r="I83" s="20" t="str">
        <x:v>Sostenibilidad financiera</x:v>
      </x:c>
      <x:c r="J83" s="20" t="str">
        <x:v>F4. Mejorar eficiencia y control presupuestal</x:v>
      </x:c>
      <x:c r="K83" s="20" t="n">
        <x:v>4.2</x:v>
      </x:c>
      <x:c r="L83" s="20" t="n">
        <x:v>7.5</x:v>
      </x:c>
      <x:c r="M83" s="52" t="n">
        <x:v>0.44</x:v>
      </x:c>
      <x:c r="N83" s="20" t="str">
        <x:v>Strong improvement</x:v>
      </x:c>
      <x:c r="O83" s="20" t="str">
        <x:v>Prototype retrieval heuristic; association is not proof of causality.</x:v>
      </x:c>
      <x:c r="P83" s="20" t="str">
        <x:v>YES</x:v>
      </x:c>
    </x:row>
    <x:row r="84">
      <x:c r="A84" s="20" t="str">
        <x:v>ADM-015</x:v>
      </x:c>
      <x:c r="B84" s="20" t="str">
        <x:v>Reportes financieros mensuales entregados en tiempo</x:v>
      </x:c>
      <x:c r="C84" s="20" t="n">
        <x:v>3</x:v>
      </x:c>
      <x:c r="D84" s="20" t="str">
        <x:v>REC-F06</x:v>
      </x:c>
      <x:c r="E84" s="20" t="str">
        <x:v>Costo por beneficiario</x:v>
      </x:c>
      <x:c r="F84" s="20" t="str">
        <x:v>Same strategic objective; Same BSC perspective</x:v>
      </x:c>
      <x:c r="G84" s="20" t="n">
        <x:v>62</x:v>
      </x:c>
      <x:c r="H84" s="20" t="str">
        <x:v>Administración + Operaciones</x:v>
      </x:c>
      <x:c r="I84" s="20" t="str">
        <x:v>Sostenibilidad financiera</x:v>
      </x:c>
      <x:c r="J84" s="20" t="str">
        <x:v>F4. Mejorar eficiencia y control presupuestal</x:v>
      </x:c>
      <x:c r="K84" s="20" t="n">
        <x:v>3550</x:v>
      </x:c>
      <x:c r="L84" s="20" t="n">
        <x:v>3958.3333333333335</x:v>
      </x:c>
      <x:c r="M84" s="52"/>
      <x:c r="N84" s="20" t="str">
        <x:v>No data</x:v>
      </x:c>
      <x:c r="O84" s="20" t="str">
        <x:v>Prototype retrieval heuristic; association is not proof of causality.</x:v>
      </x:c>
      <x:c r="P84" s="20" t="str">
        <x:v>YES</x:v>
      </x:c>
    </x:row>
    <x:row r="85">
      <x:c r="A85" s="20" t="str">
        <x:v>ADM-015</x:v>
      </x:c>
      <x:c r="B85" s="20" t="str">
        <x:v>Reportes financieros mensuales entregados en tiempo</x:v>
      </x:c>
      <x:c r="C85" s="20" t="n">
        <x:v>4</x:v>
      </x:c>
      <x:c r="D85" s="20" t="str">
        <x:v>ADM-001</x:v>
      </x:c>
      <x:c r="E85" s="20" t="str">
        <x:v>Facturación de donativos emitida dentro del SLA</x:v>
      </x:c>
      <x:c r="F85" s="20" t="str">
        <x:v>Strategic-map adjacent objective; Same department</x:v>
      </x:c>
      <x:c r="G85" s="20" t="n">
        <x:v>65</x:v>
      </x:c>
      <x:c r="H85" s="20" t="str">
        <x:v>Administración</x:v>
      </x:c>
      <x:c r="I85" s="20" t="str">
        <x:v>Procesos internos</x:v>
      </x:c>
      <x:c r="J85" s="20" t="str">
        <x:v>P4. Simplificar y digitalizar procesos</x:v>
      </x:c>
      <x:c r="K85" s="20" t="n">
        <x:v>100</x:v>
      </x:c>
      <x:c r="L85" s="20" t="n">
        <x:v>89.08024931406226</x:v>
      </x:c>
      <x:c r="M85" s="52" t="n">
        <x:v>0.12258329730801444</x:v>
      </x:c>
      <x:c r="N85" s="20" t="str">
        <x:v>Strong improvement</x:v>
      </x:c>
      <x:c r="O85" s="20" t="str">
        <x:v>Prototype retrieval heuristic; association is not proof of causality.</x:v>
      </x:c>
      <x:c r="P85" s="20" t="str">
        <x:v>YES</x:v>
      </x:c>
    </x:row>
    <x:row r="86">
      <x:c r="A86" s="20" t="str">
        <x:v>ADM-015</x:v>
      </x:c>
      <x:c r="B86" s="20" t="str">
        <x:v>Reportes financieros mensuales entregados en tiempo</x:v>
      </x:c>
      <x:c r="C86" s="20" t="n">
        <x:v>5</x:v>
      </x:c>
      <x:c r="D86" s="20" t="str">
        <x:v>ADM-002</x:v>
      </x:c>
      <x:c r="E86" s="20" t="str">
        <x:v>Solicitudes de compra procesadas dentro del SLA</x:v>
      </x:c>
      <x:c r="F86" s="20" t="str">
        <x:v>Strategic-map adjacent objective; Same department</x:v>
      </x:c>
      <x:c r="G86" s="20" t="n">
        <x:v>65</x:v>
      </x:c>
      <x:c r="H86" s="20" t="str">
        <x:v>Administración</x:v>
      </x:c>
      <x:c r="I86" s="20" t="str">
        <x:v>Procesos internos</x:v>
      </x:c>
      <x:c r="J86" s="20" t="str">
        <x:v>P4. Simplificar y digitalizar procesos</x:v>
      </x:c>
      <x:c r="K86" s="20" t="n">
        <x:v>100</x:v>
      </x:c>
      <x:c r="L86" s="20" t="n">
        <x:v>89.08024931406226</x:v>
      </x:c>
      <x:c r="M86" s="52" t="n">
        <x:v>0.12258329730801444</x:v>
      </x:c>
      <x:c r="N86" s="20" t="str">
        <x:v>Strong improvement</x:v>
      </x:c>
      <x:c r="O86" s="20" t="str">
        <x:v>Prototype retrieval heuristic; association is not proof of causality.</x:v>
      </x:c>
      <x:c r="P86" s="20" t="str">
        <x:v>YES</x:v>
      </x:c>
    </x:row>
    <x:row r="87">
      <x:c r="A87" s="20" t="str">
        <x:v>ADM-015</x:v>
      </x:c>
      <x:c r="B87" s="20" t="str">
        <x:v>Reportes financieros mensuales entregados en tiempo</x:v>
      </x:c>
      <x:c r="C87" s="20" t="n">
        <x:v>6</x:v>
      </x:c>
      <x:c r="D87" s="20" t="str">
        <x:v>ADM-003</x:v>
      </x:c>
      <x:c r="E87" s="20" t="str">
        <x:v>Pagos realizados en la fecha programada</x:v>
      </x:c>
      <x:c r="F87" s="20" t="str">
        <x:v>Strategic-map adjacent objective; Same department</x:v>
      </x:c>
      <x:c r="G87" s="20" t="n">
        <x:v>65</x:v>
      </x:c>
      <x:c r="H87" s="20" t="str">
        <x:v>Administración</x:v>
      </x:c>
      <x:c r="I87" s="20" t="str">
        <x:v>Procesos internos</x:v>
      </x:c>
      <x:c r="J87" s="20" t="str">
        <x:v>P4. Simplificar y digitalizar procesos</x:v>
      </x:c>
      <x:c r="K87" s="20" t="n">
        <x:v>100</x:v>
      </x:c>
      <x:c r="L87" s="20" t="n">
        <x:v>89.49938949938951</x:v>
      </x:c>
      <x:c r="M87" s="52" t="n">
        <x:v>0.11732605729877206</x:v>
      </x:c>
      <x:c r="N87" s="20" t="str">
        <x:v>Strong improvement</x:v>
      </x:c>
      <x:c r="O87" s="20" t="str">
        <x:v>Prototype retrieval heuristic; association is not proof of causality.</x:v>
      </x:c>
      <x:c r="P87" s="20" t="str">
        <x:v>YES</x:v>
      </x:c>
    </x:row>
    <x:row r="88">
      <x:c r="A88" s="20" t="str">
        <x:v>ADM-015</x:v>
      </x:c>
      <x:c r="B88" s="20" t="str">
        <x:v>Reportes financieros mensuales entregados en tiempo</x:v>
      </x:c>
      <x:c r="C88" s="20" t="n">
        <x:v>7</x:v>
      </x:c>
      <x:c r="D88" s="20" t="str">
        <x:v>ADM-016</x:v>
      </x:c>
      <x:c r="E88" s="20" t="str">
        <x:v>Viajes gestionados dentro de una semana</x:v>
      </x:c>
      <x:c r="F88" s="20" t="str">
        <x:v>Strategic-map adjacent objective; Same department</x:v>
      </x:c>
      <x:c r="G88" s="20" t="n">
        <x:v>65</x:v>
      </x:c>
      <x:c r="H88" s="20" t="str">
        <x:v>Administración</x:v>
      </x:c>
      <x:c r="I88" s="20" t="str">
        <x:v>Procesos internos</x:v>
      </x:c>
      <x:c r="J88" s="20" t="str">
        <x:v>P4. Simplificar y digitalizar procesos</x:v>
      </x:c>
      <x:c r="K88" s="20" t="n">
        <x:v>100</x:v>
      </x:c>
      <x:c r="L88" s="20" t="n">
        <x:v>88.9514687100894</x:v>
      </x:c>
      <x:c r="M88" s="52" t="n">
        <x:v>0.12420853135005526</x:v>
      </x:c>
      <x:c r="N88" s="20" t="str">
        <x:v>Strong improvement</x:v>
      </x:c>
      <x:c r="O88" s="20" t="str">
        <x:v>Prototype retrieval heuristic; association is not proof of causality.</x:v>
      </x:c>
      <x:c r="P88" s="20" t="str">
        <x:v>YES</x:v>
      </x:c>
    </x:row>
    <x:row r="89">
      <x:c r="A89" s="20" t="str">
        <x:v>ADM-015</x:v>
      </x:c>
      <x:c r="B89" s="20" t="str">
        <x:v>Reportes financieros mensuales entregados en tiempo</x:v>
      </x:c>
      <x:c r="C89" s="20" t="n">
        <x:v>8</x:v>
      </x:c>
      <x:c r="D89" s="20" t="str">
        <x:v>FND-001</x:v>
      </x:c>
      <x:c r="E89" s="20" t="str">
        <x:v>Fondos recaudados — Tu Donativo x2 (Chivas)</x:v>
      </x:c>
      <x:c r="F89" s="20" t="str">
        <x:v>Same BSC perspective</x:v>
      </x:c>
      <x:c r="G89" s="20" t="n">
        <x:v>12</x:v>
      </x:c>
      <x:c r="H89" s="20" t="str">
        <x:v>Procuración de Fondos</x:v>
      </x:c>
      <x:c r="I89" s="20" t="str">
        <x:v>Sostenibilidad financiera</x:v>
      </x:c>
      <x:c r="J89" s="20" t="str">
        <x:v>F1. Diversificar y aumentar fuentes</x:v>
      </x:c>
      <x:c r="K89" s="20" t="n">
        <x:v>40800</x:v>
      </x:c>
      <x:c r="L89" s="20" t="n">
        <x:v>31333.333333333332</x:v>
      </x:c>
      <x:c r="M89" s="52" t="n">
        <x:v>0.30212765957446813</x:v>
      </x:c>
      <x:c r="N89" s="20" t="str">
        <x:v>Strong improvement</x:v>
      </x:c>
      <x:c r="O89" s="20" t="str">
        <x:v>Prototype retrieval heuristic; association is not proof of causality.</x:v>
      </x:c>
      <x:c r="P89" s="20" t="str">
        <x:v>YES</x:v>
      </x:c>
    </x:row>
    <x:row r="90">
      <x:c r="A90" s="20" t="str">
        <x:v>ADM-016</x:v>
      </x:c>
      <x:c r="B90" s="20" t="str">
        <x:v>Viajes gestionados dentro de una semana</x:v>
      </x:c>
      <x:c r="C90" s="20" t="n">
        <x:v>1</x:v>
      </x:c>
      <x:c r="D90" s="20" t="str">
        <x:v>ADM-001</x:v>
      </x:c>
      <x:c r="E90" s="20" t="str">
        <x:v>Facturación de donativos emitida dentro del SLA</x:v>
      </x:c>
      <x:c r="F90" s="20" t="str">
        <x:v>Same strategic objective; Same department; Same BSC perspective</x:v>
      </x:c>
      <x:c r="G90" s="20" t="n">
        <x:v>87</x:v>
      </x:c>
      <x:c r="H90" s="20" t="str">
        <x:v>Administración</x:v>
      </x:c>
      <x:c r="I90" s="20" t="str">
        <x:v>Procesos internos</x:v>
      </x:c>
      <x:c r="J90" s="20" t="str">
        <x:v>P4. Simplificar y digitalizar procesos</x:v>
      </x:c>
      <x:c r="K90" s="20" t="n">
        <x:v>100</x:v>
      </x:c>
      <x:c r="L90" s="20" t="n">
        <x:v>89.08024931406226</x:v>
      </x:c>
      <x:c r="M90" s="52" t="n">
        <x:v>0.12258329730801444</x:v>
      </x:c>
      <x:c r="N90" s="20" t="str">
        <x:v>Strong improvement</x:v>
      </x:c>
      <x:c r="O90" s="20" t="str">
        <x:v>Prototype retrieval heuristic; association is not proof of causality.</x:v>
      </x:c>
      <x:c r="P90" s="20" t="str">
        <x:v>YES</x:v>
      </x:c>
    </x:row>
    <x:row r="91">
      <x:c r="A91" s="20" t="str">
        <x:v>ADM-016</x:v>
      </x:c>
      <x:c r="B91" s="20" t="str">
        <x:v>Viajes gestionados dentro de una semana</x:v>
      </x:c>
      <x:c r="C91" s="20" t="n">
        <x:v>2</x:v>
      </x:c>
      <x:c r="D91" s="20" t="str">
        <x:v>ADM-002</x:v>
      </x:c>
      <x:c r="E91" s="20" t="str">
        <x:v>Solicitudes de compra procesadas dentro del SLA</x:v>
      </x:c>
      <x:c r="F91" s="20" t="str">
        <x:v>Same strategic objective; Same department; Same BSC perspective</x:v>
      </x:c>
      <x:c r="G91" s="20" t="n">
        <x:v>87</x:v>
      </x:c>
      <x:c r="H91" s="20" t="str">
        <x:v>Administración</x:v>
      </x:c>
      <x:c r="I91" s="20" t="str">
        <x:v>Procesos internos</x:v>
      </x:c>
      <x:c r="J91" s="20" t="str">
        <x:v>P4. Simplificar y digitalizar procesos</x:v>
      </x:c>
      <x:c r="K91" s="20" t="n">
        <x:v>100</x:v>
      </x:c>
      <x:c r="L91" s="20" t="n">
        <x:v>89.08024931406226</x:v>
      </x:c>
      <x:c r="M91" s="52" t="n">
        <x:v>0.12258329730801444</x:v>
      </x:c>
      <x:c r="N91" s="20" t="str">
        <x:v>Strong improvement</x:v>
      </x:c>
      <x:c r="O91" s="20" t="str">
        <x:v>Prototype retrieval heuristic; association is not proof of causality.</x:v>
      </x:c>
      <x:c r="P91" s="20" t="str">
        <x:v>YES</x:v>
      </x:c>
    </x:row>
    <x:row r="92">
      <x:c r="A92" s="20" t="str">
        <x:v>ADM-016</x:v>
      </x:c>
      <x:c r="B92" s="20" t="str">
        <x:v>Viajes gestionados dentro de una semana</x:v>
      </x:c>
      <x:c r="C92" s="20" t="n">
        <x:v>3</x:v>
      </x:c>
      <x:c r="D92" s="20" t="str">
        <x:v>ADM-003</x:v>
      </x:c>
      <x:c r="E92" s="20" t="str">
        <x:v>Pagos realizados en la fecha programada</x:v>
      </x:c>
      <x:c r="F92" s="20" t="str">
        <x:v>Same strategic objective; Same department; Same BSC perspective</x:v>
      </x:c>
      <x:c r="G92" s="20" t="n">
        <x:v>87</x:v>
      </x:c>
      <x:c r="H92" s="20" t="str">
        <x:v>Administración</x:v>
      </x:c>
      <x:c r="I92" s="20" t="str">
        <x:v>Procesos internos</x:v>
      </x:c>
      <x:c r="J92" s="20" t="str">
        <x:v>P4. Simplificar y digitalizar procesos</x:v>
      </x:c>
      <x:c r="K92" s="20" t="n">
        <x:v>100</x:v>
      </x:c>
      <x:c r="L92" s="20" t="n">
        <x:v>89.49938949938951</x:v>
      </x:c>
      <x:c r="M92" s="52" t="n">
        <x:v>0.11732605729877206</x:v>
      </x:c>
      <x:c r="N92" s="20" t="str">
        <x:v>Strong improvement</x:v>
      </x:c>
      <x:c r="O92" s="20" t="str">
        <x:v>Prototype retrieval heuristic; association is not proof of causality.</x:v>
      </x:c>
      <x:c r="P92" s="20" t="str">
        <x:v>YES</x:v>
      </x:c>
    </x:row>
    <x:row r="93">
      <x:c r="A93" s="20" t="str">
        <x:v>ADM-016</x:v>
      </x:c>
      <x:c r="B93" s="20" t="str">
        <x:v>Viajes gestionados dentro de una semana</x:v>
      </x:c>
      <x:c r="C93" s="20" t="n">
        <x:v>4</x:v>
      </x:c>
      <x:c r="D93" s="20" t="str">
        <x:v>ADM-004</x:v>
      </x:c>
      <x:c r="E93" s="20" t="str">
        <x:v>Presupuestos anuales aprobados dentro del calendario</x:v>
      </x:c>
      <x:c r="F93" s="20" t="str">
        <x:v>Strategic-map adjacent objective; Same department</x:v>
      </x:c>
      <x:c r="G93" s="20" t="n">
        <x:v>67</x:v>
      </x:c>
      <x:c r="H93" s="20" t="str">
        <x:v>Administración</x:v>
      </x:c>
      <x:c r="I93" s="20" t="str">
        <x:v>Capacidades y tecnología</x:v>
      </x:c>
      <x:c r="J93" s="20" t="str">
        <x:v>L4. Fortalecer colaboración interdepartamental</x:v>
      </x:c>
      <x:c r="K93" s="20" t="n">
        <x:v>100</x:v>
      </x:c>
      <x:c r="L93" s="20" t="n">
        <x:v>88.9514687100894</x:v>
      </x:c>
      <x:c r="M93" s="52" t="n">
        <x:v>0.12420853135005526</x:v>
      </x:c>
      <x:c r="N93" s="20" t="str">
        <x:v>Strong improvement</x:v>
      </x:c>
      <x:c r="O93" s="20" t="str">
        <x:v>Prototype retrieval heuristic; association is not proof of causality.</x:v>
      </x:c>
      <x:c r="P93" s="20" t="str">
        <x:v>YES</x:v>
      </x:c>
    </x:row>
    <x:row r="94">
      <x:c r="A94" s="20" t="str">
        <x:v>ADM-016</x:v>
      </x:c>
      <x:c r="B94" s="20" t="str">
        <x:v>Viajes gestionados dentro de una semana</x:v>
      </x:c>
      <x:c r="C94" s="20" t="n">
        <x:v>5</x:v>
      </x:c>
      <x:c r="D94" s="20" t="str">
        <x:v>ADM-006</x:v>
      </x:c>
      <x:c r="E94" s="20" t="str">
        <x:v>Informes regulatorios presentados en tiempo y forma</x:v>
      </x:c>
      <x:c r="F94" s="20" t="str">
        <x:v>Strategic-map adjacent objective; Same department</x:v>
      </x:c>
      <x:c r="G94" s="20" t="n">
        <x:v>67</x:v>
      </x:c>
      <x:c r="H94" s="20" t="str">
        <x:v>Administración</x:v>
      </x:c>
      <x:c r="I94" s="20" t="str">
        <x:v>Beneficiarios y grupos de interés</x:v>
      </x:c>
      <x:c r="J94" s="20" t="str">
        <x:v>C3. Fortalecer confianza y credibilidad institucional</x:v>
      </x:c>
      <x:c r="K94" s="20" t="n">
        <x:v>100</x:v>
      </x:c>
      <x:c r="L94" s="20" t="n">
        <x:v>88.9514687100894</x:v>
      </x:c>
      <x:c r="M94" s="52" t="n">
        <x:v>0.12420853135005526</x:v>
      </x:c>
      <x:c r="N94" s="20" t="str">
        <x:v>Strong improvement</x:v>
      </x:c>
      <x:c r="O94" s="20" t="str">
        <x:v>Prototype retrieval heuristic; association is not proof of causality.</x:v>
      </x:c>
      <x:c r="P94" s="20" t="str">
        <x:v>YES</x:v>
      </x:c>
    </x:row>
    <x:row r="95">
      <x:c r="A95" s="20" t="str">
        <x:v>ADM-016</x:v>
      </x:c>
      <x:c r="B95" s="20" t="str">
        <x:v>Viajes gestionados dentro de una semana</x:v>
      </x:c>
      <x:c r="C95" s="20" t="n">
        <x:v>6</x:v>
      </x:c>
      <x:c r="D95" s="20" t="str">
        <x:v>ADM-017</x:v>
      </x:c>
      <x:c r="E95" s="20" t="str">
        <x:v>Viáticos comprobados dentro de 30 días</x:v>
      </x:c>
      <x:c r="F95" s="20" t="str">
        <x:v>Same strategic objective; Same department; Same BSC perspective</x:v>
      </x:c>
      <x:c r="G95" s="20" t="n">
        <x:v>87</x:v>
      </x:c>
      <x:c r="H95" s="20" t="str">
        <x:v>Administración</x:v>
      </x:c>
      <x:c r="I95" s="20" t="str">
        <x:v>Procesos internos</x:v>
      </x:c>
      <x:c r="J95" s="20" t="str">
        <x:v>P4. Simplificar y digitalizar procesos</x:v>
      </x:c>
      <x:c r="K95" s="20" t="n">
        <x:v>100</x:v>
      </x:c>
      <x:c r="L95" s="20" t="n">
        <x:v>88.9514687100894</x:v>
      </x:c>
      <x:c r="M95" s="52" t="n">
        <x:v>0.12420853135005526</x:v>
      </x:c>
      <x:c r="N95" s="20" t="str">
        <x:v>Strong improvement</x:v>
      </x:c>
      <x:c r="O95" s="20" t="str">
        <x:v>Prototype retrieval heuristic; association is not proof of causality.</x:v>
      </x:c>
      <x:c r="P95" s="20" t="str">
        <x:v>YES</x:v>
      </x:c>
    </x:row>
    <x:row r="96">
      <x:c r="A96" s="20" t="str">
        <x:v>ADM-016</x:v>
      </x:c>
      <x:c r="B96" s="20" t="str">
        <x:v>Viajes gestionados dentro de una semana</x:v>
      </x:c>
      <x:c r="C96" s="20" t="n">
        <x:v>7</x:v>
      </x:c>
      <x:c r="D96" s="20" t="str">
        <x:v>REC-P04</x:v>
      </x:c>
      <x:c r="E96" s="20" t="str">
        <x:v>Cumplimiento agregado de SLA administrativos</x:v>
      </x:c>
      <x:c r="F96" s="20" t="str">
        <x:v>Same strategic objective; Same department; Same BSC perspective</x:v>
      </x:c>
      <x:c r="G96" s="20" t="n">
        <x:v>85</x:v>
      </x:c>
      <x:c r="H96" s="20" t="str">
        <x:v>Administración</x:v>
      </x:c>
      <x:c r="I96" s="20" t="str">
        <x:v>Procesos internos</x:v>
      </x:c>
      <x:c r="J96" s="20" t="str">
        <x:v>P4. Simplificar y digitalizar procesos</x:v>
      </x:c>
      <x:c r="K96" s="20" t="n">
        <x:v>96</x:v>
      </x:c>
      <x:c r="L96" s="20" t="n">
        <x:v>84.01745423584504</x:v>
      </x:c>
      <x:c r="M96" s="52" t="n">
        <x:v>0.14261971959444059</x:v>
      </x:c>
      <x:c r="N96" s="20" t="str">
        <x:v>Strong improvement</x:v>
      </x:c>
      <x:c r="O96" s="20" t="str">
        <x:v>Prototype retrieval heuristic; association is not proof of causality.</x:v>
      </x:c>
      <x:c r="P96" s="20" t="str">
        <x:v>YES</x:v>
      </x:c>
    </x:row>
    <x:row r="97">
      <x:c r="A97" s="20" t="str">
        <x:v>ADM-016</x:v>
      </x:c>
      <x:c r="B97" s="20" t="str">
        <x:v>Viajes gestionados dentro de una semana</x:v>
      </x:c>
      <x:c r="C97" s="20" t="n">
        <x:v>8</x:v>
      </x:c>
      <x:c r="D97" s="20" t="str">
        <x:v>LEG-001</x:v>
      </x:c>
      <x:c r="E97" s="20" t="str">
        <x:v>Tiempo de ciclo para liberación contractual</x:v>
      </x:c>
      <x:c r="F97" s="20" t="str">
        <x:v>Same strategic objective; Same BSC perspective</x:v>
      </x:c>
      <x:c r="G97" s="20" t="n">
        <x:v>62</x:v>
      </x:c>
      <x:c r="H97" s="20" t="str">
        <x:v>Jurídico</x:v>
      </x:c>
      <x:c r="I97" s="20" t="str">
        <x:v>Procesos internos</x:v>
      </x:c>
      <x:c r="J97" s="20" t="str">
        <x:v>P4. Simplificar y digitalizar procesos</x:v>
      </x:c>
      <x:c r="K97" s="20" t="n">
        <x:v>3.1</x:v>
      </x:c>
      <x:c r="L97" s="20" t="n">
        <x:v>4.8999999999999995</x:v>
      </x:c>
      <x:c r="M97" s="52" t="n">
        <x:v>0.3673469387755101</x:v>
      </x:c>
      <x:c r="N97" s="20" t="str">
        <x:v>Strong improvement</x:v>
      </x:c>
      <x:c r="O97" s="20" t="str">
        <x:v>Prototype retrieval heuristic; association is not proof of causality.</x:v>
      </x:c>
      <x:c r="P97" s="20" t="str">
        <x:v>YES</x:v>
      </x:c>
    </x:row>
    <x:row r="98">
      <x:c r="A98" s="20" t="str">
        <x:v>ADM-017</x:v>
      </x:c>
      <x:c r="B98" s="20" t="str">
        <x:v>Viáticos comprobados dentro de 30 días</x:v>
      </x:c>
      <x:c r="C98" s="20" t="n">
        <x:v>1</x:v>
      </x:c>
      <x:c r="D98" s="20" t="str">
        <x:v>ADM-001</x:v>
      </x:c>
      <x:c r="E98" s="20" t="str">
        <x:v>Facturación de donativos emitida dentro del SLA</x:v>
      </x:c>
      <x:c r="F98" s="20" t="str">
        <x:v>Same strategic objective; Same department; Same BSC perspective</x:v>
      </x:c>
      <x:c r="G98" s="20" t="n">
        <x:v>87</x:v>
      </x:c>
      <x:c r="H98" s="20" t="str">
        <x:v>Administración</x:v>
      </x:c>
      <x:c r="I98" s="20" t="str">
        <x:v>Procesos internos</x:v>
      </x:c>
      <x:c r="J98" s="20" t="str">
        <x:v>P4. Simplificar y digitalizar procesos</x:v>
      </x:c>
      <x:c r="K98" s="20" t="n">
        <x:v>100</x:v>
      </x:c>
      <x:c r="L98" s="20" t="n">
        <x:v>89.08024931406226</x:v>
      </x:c>
      <x:c r="M98" s="52" t="n">
        <x:v>0.12258329730801444</x:v>
      </x:c>
      <x:c r="N98" s="20" t="str">
        <x:v>Strong improvement</x:v>
      </x:c>
      <x:c r="O98" s="20" t="str">
        <x:v>Prototype retrieval heuristic; association is not proof of causality.</x:v>
      </x:c>
      <x:c r="P98" s="20" t="str">
        <x:v>YES</x:v>
      </x:c>
    </x:row>
    <x:row r="99">
      <x:c r="A99" s="20" t="str">
        <x:v>ADM-017</x:v>
      </x:c>
      <x:c r="B99" s="20" t="str">
        <x:v>Viáticos comprobados dentro de 30 días</x:v>
      </x:c>
      <x:c r="C99" s="20" t="n">
        <x:v>2</x:v>
      </x:c>
      <x:c r="D99" s="20" t="str">
        <x:v>ADM-002</x:v>
      </x:c>
      <x:c r="E99" s="20" t="str">
        <x:v>Solicitudes de compra procesadas dentro del SLA</x:v>
      </x:c>
      <x:c r="F99" s="20" t="str">
        <x:v>Same strategic objective; Same department; Same BSC perspective</x:v>
      </x:c>
      <x:c r="G99" s="20" t="n">
        <x:v>87</x:v>
      </x:c>
      <x:c r="H99" s="20" t="str">
        <x:v>Administración</x:v>
      </x:c>
      <x:c r="I99" s="20" t="str">
        <x:v>Procesos internos</x:v>
      </x:c>
      <x:c r="J99" s="20" t="str">
        <x:v>P4. Simplificar y digitalizar procesos</x:v>
      </x:c>
      <x:c r="K99" s="20" t="n">
        <x:v>100</x:v>
      </x:c>
      <x:c r="L99" s="20" t="n">
        <x:v>89.08024931406226</x:v>
      </x:c>
      <x:c r="M99" s="52" t="n">
        <x:v>0.12258329730801444</x:v>
      </x:c>
      <x:c r="N99" s="20" t="str">
        <x:v>Strong improvement</x:v>
      </x:c>
      <x:c r="O99" s="20" t="str">
        <x:v>Prototype retrieval heuristic; association is not proof of causality.</x:v>
      </x:c>
      <x:c r="P99" s="20" t="str">
        <x:v>YES</x:v>
      </x:c>
    </x:row>
    <x:row r="100">
      <x:c r="A100" s="20" t="str">
        <x:v>ADM-017</x:v>
      </x:c>
      <x:c r="B100" s="20" t="str">
        <x:v>Viáticos comprobados dentro de 30 días</x:v>
      </x:c>
      <x:c r="C100" s="20" t="n">
        <x:v>3</x:v>
      </x:c>
      <x:c r="D100" s="20" t="str">
        <x:v>ADM-003</x:v>
      </x:c>
      <x:c r="E100" s="20" t="str">
        <x:v>Pagos realizados en la fecha programada</x:v>
      </x:c>
      <x:c r="F100" s="20" t="str">
        <x:v>Same strategic objective; Same department; Same BSC perspective</x:v>
      </x:c>
      <x:c r="G100" s="20" t="n">
        <x:v>87</x:v>
      </x:c>
      <x:c r="H100" s="20" t="str">
        <x:v>Administración</x:v>
      </x:c>
      <x:c r="I100" s="20" t="str">
        <x:v>Procesos internos</x:v>
      </x:c>
      <x:c r="J100" s="20" t="str">
        <x:v>P4. Simplificar y digitalizar procesos</x:v>
      </x:c>
      <x:c r="K100" s="20" t="n">
        <x:v>100</x:v>
      </x:c>
      <x:c r="L100" s="20" t="n">
        <x:v>89.49938949938951</x:v>
      </x:c>
      <x:c r="M100" s="52" t="n">
        <x:v>0.11732605729877206</x:v>
      </x:c>
      <x:c r="N100" s="20" t="str">
        <x:v>Strong improvement</x:v>
      </x:c>
      <x:c r="O100" s="20" t="str">
        <x:v>Prototype retrieval heuristic; association is not proof of causality.</x:v>
      </x:c>
      <x:c r="P100" s="20" t="str">
        <x:v>YES</x:v>
      </x:c>
    </x:row>
    <x:row r="101">
      <x:c r="A101" s="20" t="str">
        <x:v>ADM-017</x:v>
      </x:c>
      <x:c r="B101" s="20" t="str">
        <x:v>Viáticos comprobados dentro de 30 días</x:v>
      </x:c>
      <x:c r="C101" s="20" t="n">
        <x:v>4</x:v>
      </x:c>
      <x:c r="D101" s="20" t="str">
        <x:v>ADM-004</x:v>
      </x:c>
      <x:c r="E101" s="20" t="str">
        <x:v>Presupuestos anuales aprobados dentro del calendario</x:v>
      </x:c>
      <x:c r="F101" s="20" t="str">
        <x:v>Strategic-map adjacent objective; Same department</x:v>
      </x:c>
      <x:c r="G101" s="20" t="n">
        <x:v>67</x:v>
      </x:c>
      <x:c r="H101" s="20" t="str">
        <x:v>Administración</x:v>
      </x:c>
      <x:c r="I101" s="20" t="str">
        <x:v>Capacidades y tecnología</x:v>
      </x:c>
      <x:c r="J101" s="20" t="str">
        <x:v>L4. Fortalecer colaboración interdepartamental</x:v>
      </x:c>
      <x:c r="K101" s="20" t="n">
        <x:v>100</x:v>
      </x:c>
      <x:c r="L101" s="20" t="n">
        <x:v>88.9514687100894</x:v>
      </x:c>
      <x:c r="M101" s="52" t="n">
        <x:v>0.12420853135005526</x:v>
      </x:c>
      <x:c r="N101" s="20" t="str">
        <x:v>Strong improvement</x:v>
      </x:c>
      <x:c r="O101" s="20" t="str">
        <x:v>Prototype retrieval heuristic; association is not proof of causality.</x:v>
      </x:c>
      <x:c r="P101" s="20" t="str">
        <x:v>YES</x:v>
      </x:c>
    </x:row>
    <x:row r="102">
      <x:c r="A102" s="20" t="str">
        <x:v>ADM-017</x:v>
      </x:c>
      <x:c r="B102" s="20" t="str">
        <x:v>Viáticos comprobados dentro de 30 días</x:v>
      </x:c>
      <x:c r="C102" s="20" t="n">
        <x:v>5</x:v>
      </x:c>
      <x:c r="D102" s="20" t="str">
        <x:v>ADM-006</x:v>
      </x:c>
      <x:c r="E102" s="20" t="str">
        <x:v>Informes regulatorios presentados en tiempo y forma</x:v>
      </x:c>
      <x:c r="F102" s="20" t="str">
        <x:v>Strategic-map adjacent objective; Same department</x:v>
      </x:c>
      <x:c r="G102" s="20" t="n">
        <x:v>67</x:v>
      </x:c>
      <x:c r="H102" s="20" t="str">
        <x:v>Administración</x:v>
      </x:c>
      <x:c r="I102" s="20" t="str">
        <x:v>Beneficiarios y grupos de interés</x:v>
      </x:c>
      <x:c r="J102" s="20" t="str">
        <x:v>C3. Fortalecer confianza y credibilidad institucional</x:v>
      </x:c>
      <x:c r="K102" s="20" t="n">
        <x:v>100</x:v>
      </x:c>
      <x:c r="L102" s="20" t="n">
        <x:v>88.9514687100894</x:v>
      </x:c>
      <x:c r="M102" s="52" t="n">
        <x:v>0.12420853135005526</x:v>
      </x:c>
      <x:c r="N102" s="20" t="str">
        <x:v>Strong improvement</x:v>
      </x:c>
      <x:c r="O102" s="20" t="str">
        <x:v>Prototype retrieval heuristic; association is not proof of causality.</x:v>
      </x:c>
      <x:c r="P102" s="20" t="str">
        <x:v>YES</x:v>
      </x:c>
    </x:row>
    <x:row r="103">
      <x:c r="A103" s="20" t="str">
        <x:v>ADM-017</x:v>
      </x:c>
      <x:c r="B103" s="20" t="str">
        <x:v>Viáticos comprobados dentro de 30 días</x:v>
      </x:c>
      <x:c r="C103" s="20" t="n">
        <x:v>6</x:v>
      </x:c>
      <x:c r="D103" s="20" t="str">
        <x:v>ADM-016</x:v>
      </x:c>
      <x:c r="E103" s="20" t="str">
        <x:v>Viajes gestionados dentro de una semana</x:v>
      </x:c>
      <x:c r="F103" s="20" t="str">
        <x:v>Same strategic objective; Same department; Same BSC perspective</x:v>
      </x:c>
      <x:c r="G103" s="20" t="n">
        <x:v>87</x:v>
      </x:c>
      <x:c r="H103" s="20" t="str">
        <x:v>Administración</x:v>
      </x:c>
      <x:c r="I103" s="20" t="str">
        <x:v>Procesos internos</x:v>
      </x:c>
      <x:c r="J103" s="20" t="str">
        <x:v>P4. Simplificar y digitalizar procesos</x:v>
      </x:c>
      <x:c r="K103" s="20" t="n">
        <x:v>100</x:v>
      </x:c>
      <x:c r="L103" s="20" t="n">
        <x:v>88.9514687100894</x:v>
      </x:c>
      <x:c r="M103" s="52" t="n">
        <x:v>0.12420853135005526</x:v>
      </x:c>
      <x:c r="N103" s="20" t="str">
        <x:v>Strong improvement</x:v>
      </x:c>
      <x:c r="O103" s="20" t="str">
        <x:v>Prototype retrieval heuristic; association is not proof of causality.</x:v>
      </x:c>
      <x:c r="P103" s="20" t="str">
        <x:v>YES</x:v>
      </x:c>
    </x:row>
    <x:row r="104">
      <x:c r="A104" s="20" t="str">
        <x:v>ADM-017</x:v>
      </x:c>
      <x:c r="B104" s="20" t="str">
        <x:v>Viáticos comprobados dentro de 30 días</x:v>
      </x:c>
      <x:c r="C104" s="20" t="n">
        <x:v>7</x:v>
      </x:c>
      <x:c r="D104" s="20" t="str">
        <x:v>REC-P04</x:v>
      </x:c>
      <x:c r="E104" s="20" t="str">
        <x:v>Cumplimiento agregado de SLA administrativos</x:v>
      </x:c>
      <x:c r="F104" s="20" t="str">
        <x:v>Same strategic objective; Same department; Same BSC perspective</x:v>
      </x:c>
      <x:c r="G104" s="20" t="n">
        <x:v>85</x:v>
      </x:c>
      <x:c r="H104" s="20" t="str">
        <x:v>Administración</x:v>
      </x:c>
      <x:c r="I104" s="20" t="str">
        <x:v>Procesos internos</x:v>
      </x:c>
      <x:c r="J104" s="20" t="str">
        <x:v>P4. Simplificar y digitalizar procesos</x:v>
      </x:c>
      <x:c r="K104" s="20" t="n">
        <x:v>96</x:v>
      </x:c>
      <x:c r="L104" s="20" t="n">
        <x:v>84.01745423584504</x:v>
      </x:c>
      <x:c r="M104" s="52" t="n">
        <x:v>0.14261971959444059</x:v>
      </x:c>
      <x:c r="N104" s="20" t="str">
        <x:v>Strong improvement</x:v>
      </x:c>
      <x:c r="O104" s="20" t="str">
        <x:v>Prototype retrieval heuristic; association is not proof of causality.</x:v>
      </x:c>
      <x:c r="P104" s="20" t="str">
        <x:v>YES</x:v>
      </x:c>
    </x:row>
    <x:row r="105">
      <x:c r="A105" s="20" t="str">
        <x:v>ADM-017</x:v>
      </x:c>
      <x:c r="B105" s="20" t="str">
        <x:v>Viáticos comprobados dentro de 30 días</x:v>
      </x:c>
      <x:c r="C105" s="20" t="n">
        <x:v>8</x:v>
      </x:c>
      <x:c r="D105" s="20" t="str">
        <x:v>LEG-001</x:v>
      </x:c>
      <x:c r="E105" s="20" t="str">
        <x:v>Tiempo de ciclo para liberación contractual</x:v>
      </x:c>
      <x:c r="F105" s="20" t="str">
        <x:v>Same strategic objective; Same BSC perspective</x:v>
      </x:c>
      <x:c r="G105" s="20" t="n">
        <x:v>62</x:v>
      </x:c>
      <x:c r="H105" s="20" t="str">
        <x:v>Jurídico</x:v>
      </x:c>
      <x:c r="I105" s="20" t="str">
        <x:v>Procesos internos</x:v>
      </x:c>
      <x:c r="J105" s="20" t="str">
        <x:v>P4. Simplificar y digitalizar procesos</x:v>
      </x:c>
      <x:c r="K105" s="20" t="n">
        <x:v>3.1</x:v>
      </x:c>
      <x:c r="L105" s="20" t="n">
        <x:v>4.8999999999999995</x:v>
      </x:c>
      <x:c r="M105" s="52" t="n">
        <x:v>0.3673469387755101</x:v>
      </x:c>
      <x:c r="N105" s="20" t="str">
        <x:v>Strong improvement</x:v>
      </x:c>
      <x:c r="O105" s="20" t="str">
        <x:v>Prototype retrieval heuristic; association is not proof of causality.</x:v>
      </x:c>
      <x:c r="P105" s="20" t="str">
        <x:v>YES</x:v>
      </x:c>
    </x:row>
    <x:row r="106">
      <x:c r="A106" s="20" t="str">
        <x:v>OPS-001</x:v>
      </x:c>
      <x:c r="B106" s="20" t="str">
        <x:v>Países con operación programática activa según modelo definido</x:v>
      </x:c>
      <x:c r="C106" s="20" t="n">
        <x:v>1</x:v>
      </x:c>
      <x:c r="D106" s="20" t="str">
        <x:v>REC-S02</x:v>
      </x:c>
      <x:c r="E106" s="20" t="str">
        <x:v>Cumplimiento de cobertura total de beneficiarios</x:v>
      </x:c>
      <x:c r="F106" s="20" t="str">
        <x:v>Same strategic objective; Same department; Same BSC perspective</x:v>
      </x:c>
      <x:c r="G106" s="20" t="n">
        <x:v>85</x:v>
      </x:c>
      <x:c r="H106" s="20" t="str">
        <x:v>Operaciones</x:v>
      </x:c>
      <x:c r="I106" s="20" t="str">
        <x:v>Resultados estratégicos</x:v>
      </x:c>
      <x:c r="J106" s="20" t="str">
        <x:v>S2. Ampliar alcance geográfico y poblacional</x:v>
      </x:c>
      <x:c r="K106" s="20" t="n">
        <x:v>96</x:v>
      </x:c>
      <x:c r="L106" s="20" t="n">
        <x:v>83.97843053781752</x:v>
      </x:c>
      <x:c r="M106" s="52" t="n">
        <x:v>0.14315068030199588</x:v>
      </x:c>
      <x:c r="N106" s="20" t="str">
        <x:v>Strong improvement</x:v>
      </x:c>
      <x:c r="O106" s="20" t="str">
        <x:v>Prototype retrieval heuristic; association is not proof of causality.</x:v>
      </x:c>
      <x:c r="P106" s="20" t="str">
        <x:v>YES</x:v>
      </x:c>
    </x:row>
    <x:row r="107">
      <x:c r="A107" s="20" t="str">
        <x:v>OPS-001</x:v>
      </x:c>
      <x:c r="B107" s="20" t="str">
        <x:v>Países con operación programática activa según modelo definido</x:v>
      </x:c>
      <x:c r="C107" s="20" t="n">
        <x:v>2</x:v>
      </x:c>
      <x:c r="D107" s="20" t="str">
        <x:v>OPS-002</x:v>
      </x:c>
      <x:c r="E107" s="20" t="str">
        <x:v>Asistencia regular de beneficiarios</x:v>
      </x:c>
      <x:c r="F107" s="20" t="str">
        <x:v>Strategic-map adjacent objective; Same department</x:v>
      </x:c>
      <x:c r="G107" s="20" t="n">
        <x:v>65</x:v>
      </x:c>
      <x:c r="H107" s="20" t="str">
        <x:v>Operaciones</x:v>
      </x:c>
      <x:c r="I107" s="20" t="str">
        <x:v>Beneficiarios y grupos de interés</x:v>
      </x:c>
      <x:c r="J107" s="20" t="str">
        <x:v>C1. Incrementar alcance y acceso</x:v>
      </x:c>
      <x:c r="K107" s="20" t="n">
        <x:v>81.95555555555556</x:v>
      </x:c>
      <x:c r="L107" s="20" t="n">
        <x:v>70.98183624237264</x:v>
      </x:c>
      <x:c r="M107" s="52" t="n">
        <x:v>0.15459897762735192</x:v>
      </x:c>
      <x:c r="N107" s="20" t="str">
        <x:v>Strong improvement</x:v>
      </x:c>
      <x:c r="O107" s="20" t="str">
        <x:v>Prototype retrieval heuristic; association is not proof of causality.</x:v>
      </x:c>
      <x:c r="P107" s="20" t="str">
        <x:v>YES</x:v>
      </x:c>
    </x:row>
    <x:row r="108">
      <x:c r="A108" s="20" t="str">
        <x:v>OPS-001</x:v>
      </x:c>
      <x:c r="B108" s="20" t="str">
        <x:v>Países con operación programática activa según modelo definido</x:v>
      </x:c>
      <x:c r="C108" s="20" t="n">
        <x:v>3</x:v>
      </x:c>
      <x:c r="D108" s="20" t="str">
        <x:v>OPS-008</x:v>
      </x:c>
      <x:c r="E108" s="20" t="str">
        <x:v>Cobertura del piloto de nutrición infantil</x:v>
      </x:c>
      <x:c r="F108" s="20" t="str">
        <x:v>Strategic-map adjacent objective; Same department</x:v>
      </x:c>
      <x:c r="G108" s="20" t="n">
        <x:v>65</x:v>
      </x:c>
      <x:c r="H108" s="20" t="str">
        <x:v>Operaciones</x:v>
      </x:c>
      <x:c r="I108" s="20" t="str">
        <x:v>Beneficiarios y grupos de interés</x:v>
      </x:c>
      <x:c r="J108" s="20" t="str">
        <x:v>C1. Incrementar alcance y acceso</x:v>
      </x:c>
      <x:c r="K108" s="20" t="n">
        <x:v>100</x:v>
      </x:c>
      <x:c r="L108" s="20" t="n">
        <x:v>88.9514687100894</x:v>
      </x:c>
      <x:c r="M108" s="52" t="n">
        <x:v>0.12420853135005526</x:v>
      </x:c>
      <x:c r="N108" s="20" t="str">
        <x:v>Strong improvement</x:v>
      </x:c>
      <x:c r="O108" s="20" t="str">
        <x:v>Prototype retrieval heuristic; association is not proof of causality.</x:v>
      </x:c>
      <x:c r="P108" s="20" t="str">
        <x:v>YES</x:v>
      </x:c>
    </x:row>
    <x:row r="109">
      <x:c r="A109" s="20" t="str">
        <x:v>OPS-001</x:v>
      </x:c>
      <x:c r="B109" s="20" t="str">
        <x:v>Países con operación programática activa según modelo definido</x:v>
      </x:c>
      <x:c r="C109" s="20" t="n">
        <x:v>4</x:v>
      </x:c>
      <x:c r="D109" s="20" t="str">
        <x:v>OPS-012</x:v>
      </x:c>
      <x:c r="E109" s="20" t="str">
        <x:v>Países con plan de escalamiento de nutrición listo para 2027</x:v>
      </x:c>
      <x:c r="F109" s="20" t="str">
        <x:v>Strategic-map adjacent objective; Same department</x:v>
      </x:c>
      <x:c r="G109" s="20" t="n">
        <x:v>65</x:v>
      </x:c>
      <x:c r="H109" s="20" t="str">
        <x:v>Operaciones</x:v>
      </x:c>
      <x:c r="I109" s="20" t="str">
        <x:v>Procesos internos</x:v>
      </x:c>
      <x:c r="J109" s="20" t="str">
        <x:v>P1. Estandarizar y escalar programas</x:v>
      </x:c>
      <x:c r="K109" s="20" t="n">
        <x:v>100</x:v>
      </x:c>
      <x:c r="L109" s="20" t="n">
        <x:v>91.66666666666667</x:v>
      </x:c>
      <x:c r="M109" s="52" t="n">
        <x:v>0.09090909090909086</x:v>
      </x:c>
      <x:c r="N109" s="20" t="str">
        <x:v>Improving</x:v>
      </x:c>
      <x:c r="O109" s="20" t="str">
        <x:v>Prototype retrieval heuristic; association is not proof of causality.</x:v>
      </x:c>
      <x:c r="P109" s="20" t="str">
        <x:v>YES</x:v>
      </x:c>
    </x:row>
    <x:row r="110">
      <x:c r="A110" s="20" t="str">
        <x:v>OPS-001</x:v>
      </x:c>
      <x:c r="B110" s="20" t="str">
        <x:v>Países con operación programática activa según modelo definido</x:v>
      </x:c>
      <x:c r="C110" s="20" t="n">
        <x:v>5</x:v>
      </x:c>
      <x:c r="D110" s="20" t="str">
        <x:v>OPS-013</x:v>
      </x:c>
      <x:c r="E110" s="20" t="str">
        <x:v>Cumplimiento de cobertura — Sueña Chivas Estadio</x:v>
      </x:c>
      <x:c r="F110" s="20" t="str">
        <x:v>Strategic-map adjacent objective; Same department</x:v>
      </x:c>
      <x:c r="G110" s="20" t="n">
        <x:v>65</x:v>
      </x:c>
      <x:c r="H110" s="20" t="str">
        <x:v>Operaciones</x:v>
      </x:c>
      <x:c r="I110" s="20" t="str">
        <x:v>Beneficiarios y grupos de interés</x:v>
      </x:c>
      <x:c r="J110" s="20" t="str">
        <x:v>C1. Incrementar alcance y acceso</x:v>
      </x:c>
      <x:c r="K110" s="20" t="n">
        <x:v>100</x:v>
      </x:c>
      <x:c r="L110" s="20" t="n">
        <x:v>88.9514687100894</x:v>
      </x:c>
      <x:c r="M110" s="52" t="n">
        <x:v>0.12420853135005526</x:v>
      </x:c>
      <x:c r="N110" s="20" t="str">
        <x:v>Strong improvement</x:v>
      </x:c>
      <x:c r="O110" s="20" t="str">
        <x:v>Prototype retrieval heuristic; association is not proof of causality.</x:v>
      </x:c>
      <x:c r="P110" s="20" t="str">
        <x:v>YES</x:v>
      </x:c>
    </x:row>
    <x:row r="111">
      <x:c r="A111" s="20" t="str">
        <x:v>OPS-001</x:v>
      </x:c>
      <x:c r="B111" s="20" t="str">
        <x:v>Países con operación programática activa según modelo definido</x:v>
      </x:c>
      <x:c r="C111" s="20" t="n">
        <x:v>6</x:v>
      </x:c>
      <x:c r="D111" s="20" t="str">
        <x:v>OPS-003</x:v>
      </x:c>
      <x:c r="E111" s="20" t="str">
        <x:v>Mejora de habilidades psicosociales</x:v>
      </x:c>
      <x:c r="F111" s="20" t="str">
        <x:v>Same department; Same BSC perspective</x:v>
      </x:c>
      <x:c r="G111" s="20" t="n">
        <x:v>37</x:v>
      </x:c>
      <x:c r="H111" s="20" t="str">
        <x:v>Operaciones</x:v>
      </x:c>
      <x:c r="I111" s="20" t="str">
        <x:v>Resultados estratégicos</x:v>
      </x:c>
      <x:c r="J111" s="20" t="str">
        <x:v>S1. Generar impacto integral y medible</x:v>
      </x:c>
      <x:c r="K111" s="20" t="n">
        <x:v>30.6</x:v>
      </x:c>
      <x:c r="L111" s="20" t="n">
        <x:v>23.3</x:v>
      </x:c>
      <x:c r="M111" s="52" t="n">
        <x:v>0.3133047210300429</x:v>
      </x:c>
      <x:c r="N111" s="20" t="str">
        <x:v>Strong improvement</x:v>
      </x:c>
      <x:c r="O111" s="20" t="str">
        <x:v>Prototype retrieval heuristic; association is not proof of causality.</x:v>
      </x:c>
      <x:c r="P111" s="20" t="str">
        <x:v>YES</x:v>
      </x:c>
    </x:row>
    <x:row r="112">
      <x:c r="A112" s="20" t="str">
        <x:v>OPS-001</x:v>
      </x:c>
      <x:c r="B112" s="20" t="str">
        <x:v>Países con operación programática activa según modelo definido</x:v>
      </x:c>
      <x:c r="C112" s="20" t="n">
        <x:v>7</x:v>
      </x:c>
      <x:c r="D112" s="20" t="str">
        <x:v>OPS-014</x:v>
      </x:c>
      <x:c r="E112" s="20" t="str">
        <x:v>Cumplimiento de cobertura — Sueña Chivas Tour</x:v>
      </x:c>
      <x:c r="F112" s="20" t="str">
        <x:v>Strategic-map adjacent objective; Same department</x:v>
      </x:c>
      <x:c r="G112" s="20" t="n">
        <x:v>65</x:v>
      </x:c>
      <x:c r="H112" s="20" t="str">
        <x:v>Operaciones</x:v>
      </x:c>
      <x:c r="I112" s="20" t="str">
        <x:v>Beneficiarios y grupos de interés</x:v>
      </x:c>
      <x:c r="J112" s="20" t="str">
        <x:v>C1. Incrementar alcance y acceso</x:v>
      </x:c>
      <x:c r="K112" s="20" t="n">
        <x:v>100</x:v>
      </x:c>
      <x:c r="L112" s="20" t="n">
        <x:v>88.9514687100894</x:v>
      </x:c>
      <x:c r="M112" s="52" t="n">
        <x:v>0.12420853135005526</x:v>
      </x:c>
      <x:c r="N112" s="20" t="str">
        <x:v>Strong improvement</x:v>
      </x:c>
      <x:c r="O112" s="20" t="str">
        <x:v>Prototype retrieval heuristic; association is not proof of causality.</x:v>
      </x:c>
      <x:c r="P112" s="20" t="str">
        <x:v>YES</x:v>
      </x:c>
    </x:row>
    <x:row r="113">
      <x:c r="A113" s="20" t="str">
        <x:v>OPS-001</x:v>
      </x:c>
      <x:c r="B113" s="20" t="str">
        <x:v>Países con operación programática activa según modelo definido</x:v>
      </x:c>
      <x:c r="C113" s="20" t="n">
        <x:v>8</x:v>
      </x:c>
      <x:c r="D113" s="20" t="str">
        <x:v>OPS-015</x:v>
      </x:c>
      <x:c r="E113" s="20" t="str">
        <x:v>Sueña Chivas Individuales completados</x:v>
      </x:c>
      <x:c r="F113" s="20" t="str">
        <x:v>Strategic-map adjacent objective; Same department</x:v>
      </x:c>
      <x:c r="G113" s="20" t="n">
        <x:v>65</x:v>
      </x:c>
      <x:c r="H113" s="20" t="str">
        <x:v>Operaciones</x:v>
      </x:c>
      <x:c r="I113" s="20" t="str">
        <x:v>Beneficiarios y grupos de interés</x:v>
      </x:c>
      <x:c r="J113" s="20" t="str">
        <x:v>C1. Incrementar alcance y acceso</x:v>
      </x:c>
      <x:c r="K113" s="20" t="n">
        <x:v>12</x:v>
      </x:c>
      <x:c r="L113" s="20" t="n">
        <x:v>9.333333333333334</x:v>
      </x:c>
      <x:c r="M113" s="52" t="n">
        <x:v>0.28571428571428564</x:v>
      </x:c>
      <x:c r="N113" s="20" t="str">
        <x:v>Strong improvement</x:v>
      </x:c>
      <x:c r="O113" s="20" t="str">
        <x:v>Prototype retrieval heuristic; association is not proof of causality.</x:v>
      </x:c>
      <x:c r="P113" s="20" t="str">
        <x:v>YES</x:v>
      </x:c>
    </x:row>
    <x:row r="114">
      <x:c r="A114" s="20" t="str">
        <x:v>OPS-002</x:v>
      </x:c>
      <x:c r="B114" s="20" t="str">
        <x:v>Asistencia regular de beneficiarios</x:v>
      </x:c>
      <x:c r="C114" s="20" t="n">
        <x:v>1</x:v>
      </x:c>
      <x:c r="D114" s="20" t="str">
        <x:v>OPS-008</x:v>
      </x:c>
      <x:c r="E114" s="20" t="str">
        <x:v>Cobertura del piloto de nutrición infantil</x:v>
      </x:c>
      <x:c r="F114" s="20" t="str">
        <x:v>Same strategic objective; Same department; Same BSC perspective</x:v>
      </x:c>
      <x:c r="G114" s="20" t="n">
        <x:v>87</x:v>
      </x:c>
      <x:c r="H114" s="20" t="str">
        <x:v>Operaciones</x:v>
      </x:c>
      <x:c r="I114" s="20" t="str">
        <x:v>Beneficiarios y grupos de interés</x:v>
      </x:c>
      <x:c r="J114" s="20" t="str">
        <x:v>C1. Incrementar alcance y acceso</x:v>
      </x:c>
      <x:c r="K114" s="20" t="n">
        <x:v>100</x:v>
      </x:c>
      <x:c r="L114" s="20" t="n">
        <x:v>88.9514687100894</x:v>
      </x:c>
      <x:c r="M114" s="52" t="n">
        <x:v>0.12420853135005526</x:v>
      </x:c>
      <x:c r="N114" s="20" t="str">
        <x:v>Strong improvement</x:v>
      </x:c>
      <x:c r="O114" s="20" t="str">
        <x:v>Prototype retrieval heuristic; association is not proof of causality.</x:v>
      </x:c>
      <x:c r="P114" s="20" t="str">
        <x:v>YES</x:v>
      </x:c>
    </x:row>
    <x:row r="115">
      <x:c r="A115" s="20" t="str">
        <x:v>OPS-002</x:v>
      </x:c>
      <x:c r="B115" s="20" t="str">
        <x:v>Asistencia regular de beneficiarios</x:v>
      </x:c>
      <x:c r="C115" s="20" t="n">
        <x:v>2</x:v>
      </x:c>
      <x:c r="D115" s="20" t="str">
        <x:v>OPS-013</x:v>
      </x:c>
      <x:c r="E115" s="20" t="str">
        <x:v>Cumplimiento de cobertura — Sueña Chivas Estadio</x:v>
      </x:c>
      <x:c r="F115" s="20" t="str">
        <x:v>Same strategic objective; Same department; Same BSC perspective</x:v>
      </x:c>
      <x:c r="G115" s="20" t="n">
        <x:v>87</x:v>
      </x:c>
      <x:c r="H115" s="20" t="str">
        <x:v>Operaciones</x:v>
      </x:c>
      <x:c r="I115" s="20" t="str">
        <x:v>Beneficiarios y grupos de interés</x:v>
      </x:c>
      <x:c r="J115" s="20" t="str">
        <x:v>C1. Incrementar alcance y acceso</x:v>
      </x:c>
      <x:c r="K115" s="20" t="n">
        <x:v>100</x:v>
      </x:c>
      <x:c r="L115" s="20" t="n">
        <x:v>88.9514687100894</x:v>
      </x:c>
      <x:c r="M115" s="52" t="n">
        <x:v>0.12420853135005526</x:v>
      </x:c>
      <x:c r="N115" s="20" t="str">
        <x:v>Strong improvement</x:v>
      </x:c>
      <x:c r="O115" s="20" t="str">
        <x:v>Prototype retrieval heuristic; association is not proof of causality.</x:v>
      </x:c>
      <x:c r="P115" s="20" t="str">
        <x:v>YES</x:v>
      </x:c>
    </x:row>
    <x:row r="116">
      <x:c r="A116" s="20" t="str">
        <x:v>OPS-002</x:v>
      </x:c>
      <x:c r="B116" s="20" t="str">
        <x:v>Asistencia regular de beneficiarios</x:v>
      </x:c>
      <x:c r="C116" s="20" t="n">
        <x:v>3</x:v>
      </x:c>
      <x:c r="D116" s="20" t="str">
        <x:v>OPS-014</x:v>
      </x:c>
      <x:c r="E116" s="20" t="str">
        <x:v>Cumplimiento de cobertura — Sueña Chivas Tour</x:v>
      </x:c>
      <x:c r="F116" s="20" t="str">
        <x:v>Same strategic objective; Same department; Same BSC perspective</x:v>
      </x:c>
      <x:c r="G116" s="20" t="n">
        <x:v>87</x:v>
      </x:c>
      <x:c r="H116" s="20" t="str">
        <x:v>Operaciones</x:v>
      </x:c>
      <x:c r="I116" s="20" t="str">
        <x:v>Beneficiarios y grupos de interés</x:v>
      </x:c>
      <x:c r="J116" s="20" t="str">
        <x:v>C1. Incrementar alcance y acceso</x:v>
      </x:c>
      <x:c r="K116" s="20" t="n">
        <x:v>100</x:v>
      </x:c>
      <x:c r="L116" s="20" t="n">
        <x:v>88.9514687100894</x:v>
      </x:c>
      <x:c r="M116" s="52" t="n">
        <x:v>0.12420853135005526</x:v>
      </x:c>
      <x:c r="N116" s="20" t="str">
        <x:v>Strong improvement</x:v>
      </x:c>
      <x:c r="O116" s="20" t="str">
        <x:v>Prototype retrieval heuristic; association is not proof of causality.</x:v>
      </x:c>
      <x:c r="P116" s="20" t="str">
        <x:v>YES</x:v>
      </x:c>
    </x:row>
    <x:row r="117">
      <x:c r="A117" s="20" t="str">
        <x:v>OPS-002</x:v>
      </x:c>
      <x:c r="B117" s="20" t="str">
        <x:v>Asistencia regular de beneficiarios</x:v>
      </x:c>
      <x:c r="C117" s="20" t="n">
        <x:v>4</x:v>
      </x:c>
      <x:c r="D117" s="20" t="str">
        <x:v>OPS-012</x:v>
      </x:c>
      <x:c r="E117" s="20" t="str">
        <x:v>Países con plan de escalamiento de nutrición listo para 2027</x:v>
      </x:c>
      <x:c r="F117" s="20" t="str">
        <x:v>Strategic-map adjacent objective; Same department</x:v>
      </x:c>
      <x:c r="G117" s="20" t="n">
        <x:v>67</x:v>
      </x:c>
      <x:c r="H117" s="20" t="str">
        <x:v>Operaciones</x:v>
      </x:c>
      <x:c r="I117" s="20" t="str">
        <x:v>Procesos internos</x:v>
      </x:c>
      <x:c r="J117" s="20" t="str">
        <x:v>P1. Estandarizar y escalar programas</x:v>
      </x:c>
      <x:c r="K117" s="20" t="n">
        <x:v>100</x:v>
      </x:c>
      <x:c r="L117" s="20" t="n">
        <x:v>91.66666666666667</x:v>
      </x:c>
      <x:c r="M117" s="52" t="n">
        <x:v>0.09090909090909086</x:v>
      </x:c>
      <x:c r="N117" s="20" t="str">
        <x:v>Improving</x:v>
      </x:c>
      <x:c r="O117" s="20" t="str">
        <x:v>Prototype retrieval heuristic; association is not proof of causality.</x:v>
      </x:c>
      <x:c r="P117" s="20" t="str">
        <x:v>YES</x:v>
      </x:c>
    </x:row>
    <x:row r="118">
      <x:c r="A118" s="20" t="str">
        <x:v>OPS-002</x:v>
      </x:c>
      <x:c r="B118" s="20" t="str">
        <x:v>Asistencia regular de beneficiarios</x:v>
      </x:c>
      <x:c r="C118" s="20" t="n">
        <x:v>5</x:v>
      </x:c>
      <x:c r="D118" s="20" t="str">
        <x:v>OPS-001</x:v>
      </x:c>
      <x:c r="E118" s="20" t="str">
        <x:v>Países con operación programática activa según modelo definido</x:v>
      </x:c>
      <x:c r="F118" s="20" t="str">
        <x:v>Strategic-map adjacent objective; Same department</x:v>
      </x:c>
      <x:c r="G118" s="20" t="n">
        <x:v>65</x:v>
      </x:c>
      <x:c r="H118" s="20" t="str">
        <x:v>Operaciones</x:v>
      </x:c>
      <x:c r="I118" s="20" t="str">
        <x:v>Resultados estratégicos</x:v>
      </x:c>
      <x:c r="J118" s="20" t="str">
        <x:v>S2. Ampliar alcance geográfico y poblacional</x:v>
      </x:c>
      <x:c r="K118" s="20" t="n">
        <x:v>4</x:v>
      </x:c>
      <x:c r="L118" s="20" t="n">
        <x:v>2.6666666666666665</x:v>
      </x:c>
      <x:c r="M118" s="52" t="n">
        <x:v>0.5000000000000001</x:v>
      </x:c>
      <x:c r="N118" s="20" t="str">
        <x:v>Strong improvement</x:v>
      </x:c>
      <x:c r="O118" s="20" t="str">
        <x:v>Prototype retrieval heuristic; association is not proof of causality.</x:v>
      </x:c>
      <x:c r="P118" s="20" t="str">
        <x:v>YES</x:v>
      </x:c>
    </x:row>
    <x:row r="119">
      <x:c r="A119" s="20" t="str">
        <x:v>OPS-002</x:v>
      </x:c>
      <x:c r="B119" s="20" t="str">
        <x:v>Asistencia regular de beneficiarios</x:v>
      </x:c>
      <x:c r="C119" s="20" t="n">
        <x:v>6</x:v>
      </x:c>
      <x:c r="D119" s="20" t="str">
        <x:v>OPS-015</x:v>
      </x:c>
      <x:c r="E119" s="20" t="str">
        <x:v>Sueña Chivas Individuales completados</x:v>
      </x:c>
      <x:c r="F119" s="20" t="str">
        <x:v>Same strategic objective; Same department; Same BSC perspective</x:v>
      </x:c>
      <x:c r="G119" s="20" t="n">
        <x:v>87</x:v>
      </x:c>
      <x:c r="H119" s="20" t="str">
        <x:v>Operaciones</x:v>
      </x:c>
      <x:c r="I119" s="20" t="str">
        <x:v>Beneficiarios y grupos de interés</x:v>
      </x:c>
      <x:c r="J119" s="20" t="str">
        <x:v>C1. Incrementar alcance y acceso</x:v>
      </x:c>
      <x:c r="K119" s="20" t="n">
        <x:v>12</x:v>
      </x:c>
      <x:c r="L119" s="20" t="n">
        <x:v>9.333333333333334</x:v>
      </x:c>
      <x:c r="M119" s="52" t="n">
        <x:v>0.28571428571428564</x:v>
      </x:c>
      <x:c r="N119" s="20" t="str">
        <x:v>Strong improvement</x:v>
      </x:c>
      <x:c r="O119" s="20" t="str">
        <x:v>Prototype retrieval heuristic; association is not proof of causality.</x:v>
      </x:c>
      <x:c r="P119" s="20" t="str">
        <x:v>YES</x:v>
      </x:c>
    </x:row>
    <x:row r="120">
      <x:c r="A120" s="20" t="str">
        <x:v>OPS-002</x:v>
      </x:c>
      <x:c r="B120" s="20" t="str">
        <x:v>Asistencia regular de beneficiarios</x:v>
      </x:c>
      <x:c r="C120" s="20" t="n">
        <x:v>7</x:v>
      </x:c>
      <x:c r="D120" s="20" t="str">
        <x:v>REC-C01</x:v>
      </x:c>
      <x:c r="E120" s="20" t="str">
        <x:v>Tasa de finalización/retención de participantes</x:v>
      </x:c>
      <x:c r="F120" s="20" t="str">
        <x:v>Same strategic objective; Same department; Same BSC perspective</x:v>
      </x:c>
      <x:c r="G120" s="20" t="n">
        <x:v>85</x:v>
      </x:c>
      <x:c r="H120" s="20" t="str">
        <x:v>Operaciones</x:v>
      </x:c>
      <x:c r="I120" s="20" t="str">
        <x:v>Beneficiarios y grupos de interés</x:v>
      </x:c>
      <x:c r="J120" s="20" t="str">
        <x:v>C1. Incrementar alcance y acceso</x:v>
      </x:c>
      <x:c r="K120" s="20" t="n">
        <x:v>87.02222222222223</x:v>
      </x:c>
      <x:c r="L120" s="20" t="n">
        <x:v>76.02109644766095</x:v>
      </x:c>
      <x:c r="M120" s="52" t="n">
        <x:v>0.14471148521430935</x:v>
      </x:c>
      <x:c r="N120" s="20" t="str">
        <x:v>Strong improvement</x:v>
      </x:c>
      <x:c r="O120" s="20" t="str">
        <x:v>Prototype retrieval heuristic; association is not proof of causality.</x:v>
      </x:c>
      <x:c r="P120" s="20" t="str">
        <x:v>YES</x:v>
      </x:c>
    </x:row>
    <x:row r="121">
      <x:c r="A121" s="20" t="str">
        <x:v>OPS-002</x:v>
      </x:c>
      <x:c r="B121" s="20" t="str">
        <x:v>Asistencia regular de beneficiarios</x:v>
      </x:c>
      <x:c r="C121" s="20" t="n">
        <x:v>8</x:v>
      </x:c>
      <x:c r="D121" s="20" t="str">
        <x:v>OPS-006</x:v>
      </x:c>
      <x:c r="E121" s="20" t="str">
        <x:v>Beneficiarios que alcanzan competencia deportiva inicial</x:v>
      </x:c>
      <x:c r="F121" s="20" t="str">
        <x:v>Same department; Same BSC perspective</x:v>
      </x:c>
      <x:c r="G121" s="20" t="n">
        <x:v>37</x:v>
      </x:c>
      <x:c r="H121" s="20" t="str">
        <x:v>Operaciones</x:v>
      </x:c>
      <x:c r="I121" s="20" t="str">
        <x:v>Beneficiarios y grupos de interés</x:v>
      </x:c>
      <x:c r="J121" s="20" t="str">
        <x:v>C2. Mejorar resultados obtenidos</x:v>
      </x:c>
      <x:c r="K121" s="20" t="n">
        <x:v>72</x:v>
      </x:c>
      <x:c r="L121" s="20" t="n">
        <x:v>61.00146634501679</x:v>
      </x:c>
      <x:c r="M121" s="52" t="n">
        <x:v>0.18029949629041472</x:v>
      </x:c>
      <x:c r="N121" s="20" t="str">
        <x:v>Strong improvement</x:v>
      </x:c>
      <x:c r="O121" s="20" t="str">
        <x:v>Prototype retrieval heuristic; association is not proof of causality.</x:v>
      </x:c>
      <x:c r="P121" s="20" t="str">
        <x:v>YES</x:v>
      </x:c>
    </x:row>
    <x:row r="122">
      <x:c r="A122" s="20" t="str">
        <x:v>OPS-003</x:v>
      </x:c>
      <x:c r="B122" s="20" t="str">
        <x:v>Mejora de habilidades psicosociales</x:v>
      </x:c>
      <x:c r="C122" s="20" t="n">
        <x:v>1</x:v>
      </x:c>
      <x:c r="D122" s="20" t="str">
        <x:v>OPS-004</x:v>
      </x:c>
      <x:c r="E122" s="20" t="str">
        <x:v>Mejora de habilidades deportivas</x:v>
      </x:c>
      <x:c r="F122" s="20" t="str">
        <x:v>Same strategic objective; Same department; Same BSC perspective</x:v>
      </x:c>
      <x:c r="G122" s="20" t="n">
        <x:v>87</x:v>
      </x:c>
      <x:c r="H122" s="20" t="str">
        <x:v>Operaciones</x:v>
      </x:c>
      <x:c r="I122" s="20" t="str">
        <x:v>Resultados estratégicos</x:v>
      </x:c>
      <x:c r="J122" s="20" t="str">
        <x:v>S1. Generar impacto integral y medible</x:v>
      </x:c>
      <x:c r="K122" s="20" t="n">
        <x:v>30.6</x:v>
      </x:c>
      <x:c r="L122" s="20" t="n">
        <x:v>23.3</x:v>
      </x:c>
      <x:c r="M122" s="52" t="n">
        <x:v>0.3133047210300429</x:v>
      </x:c>
      <x:c r="N122" s="20" t="str">
        <x:v>Strong improvement</x:v>
      </x:c>
      <x:c r="O122" s="20" t="str">
        <x:v>Prototype retrieval heuristic; association is not proof of causality.</x:v>
      </x:c>
      <x:c r="P122" s="20" t="str">
        <x:v>YES</x:v>
      </x:c>
    </x:row>
    <x:row r="123">
      <x:c r="A123" s="20" t="str">
        <x:v>OPS-003</x:v>
      </x:c>
      <x:c r="B123" s="20" t="str">
        <x:v>Mejora de habilidades psicosociales</x:v>
      </x:c>
      <x:c r="C123" s="20" t="n">
        <x:v>2</x:v>
      </x:c>
      <x:c r="D123" s="20" t="str">
        <x:v>OPS-005</x:v>
      </x:c>
      <x:c r="E123" s="20" t="str">
        <x:v>Incremento del tiempo de actividad física de beneficiarios</x:v>
      </x:c>
      <x:c r="F123" s="20" t="str">
        <x:v>Same strategic objective; Same department; Same BSC perspective</x:v>
      </x:c>
      <x:c r="G123" s="20" t="n">
        <x:v>87</x:v>
      </x:c>
      <x:c r="H123" s="20" t="str">
        <x:v>Operaciones</x:v>
      </x:c>
      <x:c r="I123" s="20" t="str">
        <x:v>Resultados estratégicos</x:v>
      </x:c>
      <x:c r="J123" s="20" t="str">
        <x:v>S1. Generar impacto integral y medible</x:v>
      </x:c>
      <x:c r="K123" s="20" t="n">
        <x:v>30.596330275229356</x:v>
      </x:c>
      <x:c r="L123" s="20" t="n">
        <x:v>23.29935275080906</x:v>
      </x:c>
      <x:c r="M123" s="52" t="n">
        <x:v>0.31318370095782644</x:v>
      </x:c>
      <x:c r="N123" s="20" t="str">
        <x:v>Strong improvement</x:v>
      </x:c>
      <x:c r="O123" s="20" t="str">
        <x:v>Prototype retrieval heuristic; association is not proof of causality.</x:v>
      </x:c>
      <x:c r="P123" s="20" t="str">
        <x:v>YES</x:v>
      </x:c>
    </x:row>
    <x:row r="124">
      <x:c r="A124" s="20" t="str">
        <x:v>OPS-003</x:v>
      </x:c>
      <x:c r="B124" s="20" t="str">
        <x:v>Mejora de habilidades psicosociales</x:v>
      </x:c>
      <x:c r="C124" s="20" t="n">
        <x:v>3</x:v>
      </x:c>
      <x:c r="D124" s="20" t="str">
        <x:v>OPS-010</x:v>
      </x:c>
      <x:c r="E124" s="20" t="str">
        <x:v>Incremento de actividad física — programa de nutrición</x:v>
      </x:c>
      <x:c r="F124" s="20" t="str">
        <x:v>Same strategic objective; Same department; Same BSC perspective</x:v>
      </x:c>
      <x:c r="G124" s="20" t="n">
        <x:v>87</x:v>
      </x:c>
      <x:c r="H124" s="20" t="str">
        <x:v>Operaciones</x:v>
      </x:c>
      <x:c r="I124" s="20" t="str">
        <x:v>Resultados estratégicos</x:v>
      </x:c>
      <x:c r="J124" s="20" t="str">
        <x:v>S1. Generar impacto integral y medible</x:v>
      </x:c>
      <x:c r="K124" s="20" t="n">
        <x:v>62.000000000000014</x:v>
      </x:c>
      <x:c r="L124" s="20" t="n">
        <x:v>51</x:v>
      </x:c>
      <x:c r="M124" s="52" t="n">
        <x:v>0.2156862745098042</x:v>
      </x:c>
      <x:c r="N124" s="20" t="str">
        <x:v>Strong improvement</x:v>
      </x:c>
      <x:c r="O124" s="20" t="str">
        <x:v>Prototype retrieval heuristic; association is not proof of causality.</x:v>
      </x:c>
      <x:c r="P124" s="20" t="str">
        <x:v>YES</x:v>
      </x:c>
    </x:row>
    <x:row r="125">
      <x:c r="A125" s="20" t="str">
        <x:v>OPS-003</x:v>
      </x:c>
      <x:c r="B125" s="20" t="str">
        <x:v>Mejora de habilidades psicosociales</x:v>
      </x:c>
      <x:c r="C125" s="20" t="n">
        <x:v>4</x:v>
      </x:c>
      <x:c r="D125" s="20" t="str">
        <x:v>REC-C02</x:v>
      </x:c>
      <x:c r="E125" s="20" t="str">
        <x:v>Beneficiarios con mejora significativa en el outcome principal</x:v>
      </x:c>
      <x:c r="F125" s="20" t="str">
        <x:v>Strategic-map adjacent objective; Same department</x:v>
      </x:c>
      <x:c r="G125" s="20" t="n">
        <x:v>67</x:v>
      </x:c>
      <x:c r="H125" s="20" t="str">
        <x:v>Operaciones</x:v>
      </x:c>
      <x:c r="I125" s="20" t="str">
        <x:v>Beneficiarios y grupos de interés</x:v>
      </x:c>
      <x:c r="J125" s="20" t="str">
        <x:v>C2. Mejorar resultados obtenidos</x:v>
      </x:c>
      <x:c r="K125" s="20" t="n">
        <x:v>88</x:v>
      </x:c>
      <x:c r="L125" s="20" t="n">
        <x:v>74.33522539141951</x:v>
      </x:c>
      <x:c r="M125" s="52" t="n">
        <x:v>0.18382636948535852</x:v>
      </x:c>
      <x:c r="N125" s="20" t="str">
        <x:v>Strong improvement</x:v>
      </x:c>
      <x:c r="O125" s="20" t="str">
        <x:v>Prototype retrieval heuristic; association is not proof of causality.</x:v>
      </x:c>
      <x:c r="P125" s="20" t="str">
        <x:v>YES</x:v>
      </x:c>
    </x:row>
    <x:row r="126">
      <x:c r="A126" s="20" t="str">
        <x:v>OPS-003</x:v>
      </x:c>
      <x:c r="B126" s="20" t="str">
        <x:v>Mejora de habilidades psicosociales</x:v>
      </x:c>
      <x:c r="C126" s="20" t="n">
        <x:v>5</x:v>
      </x:c>
      <x:c r="D126" s="20" t="str">
        <x:v>OPS-002</x:v>
      </x:c>
      <x:c r="E126" s="20" t="str">
        <x:v>Asistencia regular de beneficiarios</x:v>
      </x:c>
      <x:c r="F126" s="20" t="str">
        <x:v>Strategic-map adjacent objective; Same department</x:v>
      </x:c>
      <x:c r="G126" s="20" t="n">
        <x:v>65</x:v>
      </x:c>
      <x:c r="H126" s="20" t="str">
        <x:v>Operaciones</x:v>
      </x:c>
      <x:c r="I126" s="20" t="str">
        <x:v>Beneficiarios y grupos de interés</x:v>
      </x:c>
      <x:c r="J126" s="20" t="str">
        <x:v>C1. Incrementar alcance y acceso</x:v>
      </x:c>
      <x:c r="K126" s="20" t="n">
        <x:v>81.95555555555556</x:v>
      </x:c>
      <x:c r="L126" s="20" t="n">
        <x:v>70.98183624237264</x:v>
      </x:c>
      <x:c r="M126" s="52" t="n">
        <x:v>0.15459897762735192</x:v>
      </x:c>
      <x:c r="N126" s="20" t="str">
        <x:v>Strong improvement</x:v>
      </x:c>
      <x:c r="O126" s="20" t="str">
        <x:v>Prototype retrieval heuristic; association is not proof of causality.</x:v>
      </x:c>
      <x:c r="P126" s="20" t="str">
        <x:v>YES</x:v>
      </x:c>
    </x:row>
    <x:row r="127">
      <x:c r="A127" s="20" t="str">
        <x:v>OPS-003</x:v>
      </x:c>
      <x:c r="B127" s="20" t="str">
        <x:v>Mejora de habilidades psicosociales</x:v>
      </x:c>
      <x:c r="C127" s="20" t="n">
        <x:v>6</x:v>
      </x:c>
      <x:c r="D127" s="20" t="str">
        <x:v>OPS-010B</x:v>
      </x:c>
      <x:c r="E127" s="20" t="str">
        <x:v>Cobertura de acceso al suplemento nutricional</x:v>
      </x:c>
      <x:c r="F127" s="20" t="str">
        <x:v>Same strategic objective; Same department; Same BSC perspective</x:v>
      </x:c>
      <x:c r="G127" s="20" t="n">
        <x:v>87</x:v>
      </x:c>
      <x:c r="H127" s="20" t="str">
        <x:v>Operaciones</x:v>
      </x:c>
      <x:c r="I127" s="20" t="str">
        <x:v>Resultados estratégicos</x:v>
      </x:c>
      <x:c r="J127" s="20" t="str">
        <x:v>S1. Generar impacto integral y medible</x:v>
      </x:c>
      <x:c r="K127" s="20" t="n">
        <x:v>100</x:v>
      </x:c>
      <x:c r="L127" s="20" t="n">
        <x:v>88.9514687100894</x:v>
      </x:c>
      <x:c r="M127" s="52" t="n">
        <x:v>0.12420853135005526</x:v>
      </x:c>
      <x:c r="N127" s="20" t="str">
        <x:v>Strong improvement</x:v>
      </x:c>
      <x:c r="O127" s="20" t="str">
        <x:v>Prototype retrieval heuristic; association is not proof of causality.</x:v>
      </x:c>
      <x:c r="P127" s="20" t="str">
        <x:v>YES</x:v>
      </x:c>
    </x:row>
    <x:row r="128">
      <x:c r="A128" s="20" t="str">
        <x:v>OPS-003</x:v>
      </x:c>
      <x:c r="B128" s="20" t="str">
        <x:v>Mejora de habilidades psicosociales</x:v>
      </x:c>
      <x:c r="C128" s="20" t="n">
        <x:v>7</x:v>
      </x:c>
      <x:c r="D128" s="20" t="str">
        <x:v>OPS-006</x:v>
      </x:c>
      <x:c r="E128" s="20" t="str">
        <x:v>Beneficiarios que alcanzan competencia deportiva inicial</x:v>
      </x:c>
      <x:c r="F128" s="20" t="str">
        <x:v>Strategic-map adjacent objective; Same department</x:v>
      </x:c>
      <x:c r="G128" s="20" t="n">
        <x:v>65</x:v>
      </x:c>
      <x:c r="H128" s="20" t="str">
        <x:v>Operaciones</x:v>
      </x:c>
      <x:c r="I128" s="20" t="str">
        <x:v>Beneficiarios y grupos de interés</x:v>
      </x:c>
      <x:c r="J128" s="20" t="str">
        <x:v>C2. Mejorar resultados obtenidos</x:v>
      </x:c>
      <x:c r="K128" s="20" t="n">
        <x:v>72</x:v>
      </x:c>
      <x:c r="L128" s="20" t="n">
        <x:v>61.00146634501679</x:v>
      </x:c>
      <x:c r="M128" s="52" t="n">
        <x:v>0.18029949629041472</x:v>
      </x:c>
      <x:c r="N128" s="20" t="str">
        <x:v>Strong improvement</x:v>
      </x:c>
      <x:c r="O128" s="20" t="str">
        <x:v>Prototype retrieval heuristic; association is not proof of causality.</x:v>
      </x:c>
      <x:c r="P128" s="20" t="str">
        <x:v>YES</x:v>
      </x:c>
    </x:row>
    <x:row r="129">
      <x:c r="A129" s="20" t="str">
        <x:v>OPS-003</x:v>
      </x:c>
      <x:c r="B129" s="20" t="str">
        <x:v>Mejora de habilidades psicosociales</x:v>
      </x:c>
      <x:c r="C129" s="20" t="n">
        <x:v>8</x:v>
      </x:c>
      <x:c r="D129" s="20" t="str">
        <x:v>REC-S01</x:v>
      </x:c>
      <x:c r="E129" s="20" t="str">
        <x:v>Programas que alcanzan su meta principal de impacto</x:v>
      </x:c>
      <x:c r="F129" s="20" t="str">
        <x:v>Same strategic objective; Same BSC perspective</x:v>
      </x:c>
      <x:c r="G129" s="20" t="n">
        <x:v>62</x:v>
      </x:c>
      <x:c r="H129" s="20" t="str">
        <x:v>Dirección + Operaciones</x:v>
      </x:c>
      <x:c r="I129" s="20" t="str">
        <x:v>Resultados estratégicos</x:v>
      </x:c>
      <x:c r="J129" s="20" t="str">
        <x:v>S1. Generar impacto integral y medible</x:v>
      </x:c>
      <x:c r="K129" s="20" t="n">
        <x:v>93.33333333333333</x:v>
      </x:c>
      <x:c r="L129" s="20" t="n">
        <x:v>81.77655677655677</x:v>
      </x:c>
      <x:c r="M129" s="52" t="n">
        <x:v>0.14132138857782753</x:v>
      </x:c>
      <x:c r="N129" s="20" t="str">
        <x:v>Strong improvement</x:v>
      </x:c>
      <x:c r="O129" s="20" t="str">
        <x:v>Prototype retrieval heuristic; association is not proof of causality.</x:v>
      </x:c>
      <x:c r="P129" s="20" t="str">
        <x:v>YES</x:v>
      </x:c>
    </x:row>
    <x:row r="130">
      <x:c r="A130" s="20" t="str">
        <x:v>OPS-004</x:v>
      </x:c>
      <x:c r="B130" s="20" t="str">
        <x:v>Mejora de habilidades deportivas</x:v>
      </x:c>
      <x:c r="C130" s="20" t="n">
        <x:v>1</x:v>
      </x:c>
      <x:c r="D130" s="20" t="str">
        <x:v>OPS-003</x:v>
      </x:c>
      <x:c r="E130" s="20" t="str">
        <x:v>Mejora de habilidades psicosociales</x:v>
      </x:c>
      <x:c r="F130" s="20" t="str">
        <x:v>Same strategic objective; Same department; Same BSC perspective</x:v>
      </x:c>
      <x:c r="G130" s="20" t="n">
        <x:v>87</x:v>
      </x:c>
      <x:c r="H130" s="20" t="str">
        <x:v>Operaciones</x:v>
      </x:c>
      <x:c r="I130" s="20" t="str">
        <x:v>Resultados estratégicos</x:v>
      </x:c>
      <x:c r="J130" s="20" t="str">
        <x:v>S1. Generar impacto integral y medible</x:v>
      </x:c>
      <x:c r="K130" s="20" t="n">
        <x:v>30.6</x:v>
      </x:c>
      <x:c r="L130" s="20" t="n">
        <x:v>23.3</x:v>
      </x:c>
      <x:c r="M130" s="52" t="n">
        <x:v>0.3133047210300429</x:v>
      </x:c>
      <x:c r="N130" s="20" t="str">
        <x:v>Strong improvement</x:v>
      </x:c>
      <x:c r="O130" s="20" t="str">
        <x:v>Prototype retrieval heuristic; association is not proof of causality.</x:v>
      </x:c>
      <x:c r="P130" s="20" t="str">
        <x:v>YES</x:v>
      </x:c>
    </x:row>
    <x:row r="131">
      <x:c r="A131" s="20" t="str">
        <x:v>OPS-004</x:v>
      </x:c>
      <x:c r="B131" s="20" t="str">
        <x:v>Mejora de habilidades deportivas</x:v>
      </x:c>
      <x:c r="C131" s="20" t="n">
        <x:v>2</x:v>
      </x:c>
      <x:c r="D131" s="20" t="str">
        <x:v>OPS-005</x:v>
      </x:c>
      <x:c r="E131" s="20" t="str">
        <x:v>Incremento del tiempo de actividad física de beneficiarios</x:v>
      </x:c>
      <x:c r="F131" s="20" t="str">
        <x:v>Same strategic objective; Same department; Same BSC perspective</x:v>
      </x:c>
      <x:c r="G131" s="20" t="n">
        <x:v>87</x:v>
      </x:c>
      <x:c r="H131" s="20" t="str">
        <x:v>Operaciones</x:v>
      </x:c>
      <x:c r="I131" s="20" t="str">
        <x:v>Resultados estratégicos</x:v>
      </x:c>
      <x:c r="J131" s="20" t="str">
        <x:v>S1. Generar impacto integral y medible</x:v>
      </x:c>
      <x:c r="K131" s="20" t="n">
        <x:v>30.596330275229356</x:v>
      </x:c>
      <x:c r="L131" s="20" t="n">
        <x:v>23.29935275080906</x:v>
      </x:c>
      <x:c r="M131" s="52" t="n">
        <x:v>0.31318370095782644</x:v>
      </x:c>
      <x:c r="N131" s="20" t="str">
        <x:v>Strong improvement</x:v>
      </x:c>
      <x:c r="O131" s="20" t="str">
        <x:v>Prototype retrieval heuristic; association is not proof of causality.</x:v>
      </x:c>
      <x:c r="P131" s="20" t="str">
        <x:v>YES</x:v>
      </x:c>
    </x:row>
    <x:row r="132">
      <x:c r="A132" s="20" t="str">
        <x:v>OPS-004</x:v>
      </x:c>
      <x:c r="B132" s="20" t="str">
        <x:v>Mejora de habilidades deportivas</x:v>
      </x:c>
      <x:c r="C132" s="20" t="n">
        <x:v>3</x:v>
      </x:c>
      <x:c r="D132" s="20" t="str">
        <x:v>OPS-010</x:v>
      </x:c>
      <x:c r="E132" s="20" t="str">
        <x:v>Incremento de actividad física — programa de nutrición</x:v>
      </x:c>
      <x:c r="F132" s="20" t="str">
        <x:v>Same strategic objective; Same department; Same BSC perspective</x:v>
      </x:c>
      <x:c r="G132" s="20" t="n">
        <x:v>87</x:v>
      </x:c>
      <x:c r="H132" s="20" t="str">
        <x:v>Operaciones</x:v>
      </x:c>
      <x:c r="I132" s="20" t="str">
        <x:v>Resultados estratégicos</x:v>
      </x:c>
      <x:c r="J132" s="20" t="str">
        <x:v>S1. Generar impacto integral y medible</x:v>
      </x:c>
      <x:c r="K132" s="20" t="n">
        <x:v>62.000000000000014</x:v>
      </x:c>
      <x:c r="L132" s="20" t="n">
        <x:v>51</x:v>
      </x:c>
      <x:c r="M132" s="52" t="n">
        <x:v>0.2156862745098042</x:v>
      </x:c>
      <x:c r="N132" s="20" t="str">
        <x:v>Strong improvement</x:v>
      </x:c>
      <x:c r="O132" s="20" t="str">
        <x:v>Prototype retrieval heuristic; association is not proof of causality.</x:v>
      </x:c>
      <x:c r="P132" s="20" t="str">
        <x:v>YES</x:v>
      </x:c>
    </x:row>
    <x:row r="133">
      <x:c r="A133" s="20" t="str">
        <x:v>OPS-004</x:v>
      </x:c>
      <x:c r="B133" s="20" t="str">
        <x:v>Mejora de habilidades deportivas</x:v>
      </x:c>
      <x:c r="C133" s="20" t="n">
        <x:v>4</x:v>
      </x:c>
      <x:c r="D133" s="20" t="str">
        <x:v>REC-C02</x:v>
      </x:c>
      <x:c r="E133" s="20" t="str">
        <x:v>Beneficiarios con mejora significativa en el outcome principal</x:v>
      </x:c>
      <x:c r="F133" s="20" t="str">
        <x:v>Strategic-map adjacent objective; Same department</x:v>
      </x:c>
      <x:c r="G133" s="20" t="n">
        <x:v>67</x:v>
      </x:c>
      <x:c r="H133" s="20" t="str">
        <x:v>Operaciones</x:v>
      </x:c>
      <x:c r="I133" s="20" t="str">
        <x:v>Beneficiarios y grupos de interés</x:v>
      </x:c>
      <x:c r="J133" s="20" t="str">
        <x:v>C2. Mejorar resultados obtenidos</x:v>
      </x:c>
      <x:c r="K133" s="20" t="n">
        <x:v>88</x:v>
      </x:c>
      <x:c r="L133" s="20" t="n">
        <x:v>74.33522539141951</x:v>
      </x:c>
      <x:c r="M133" s="52" t="n">
        <x:v>0.18382636948535852</x:v>
      </x:c>
      <x:c r="N133" s="20" t="str">
        <x:v>Strong improvement</x:v>
      </x:c>
      <x:c r="O133" s="20" t="str">
        <x:v>Prototype retrieval heuristic; association is not proof of causality.</x:v>
      </x:c>
      <x:c r="P133" s="20" t="str">
        <x:v>YES</x:v>
      </x:c>
    </x:row>
    <x:row r="134">
      <x:c r="A134" s="20" t="str">
        <x:v>OPS-004</x:v>
      </x:c>
      <x:c r="B134" s="20" t="str">
        <x:v>Mejora de habilidades deportivas</x:v>
      </x:c>
      <x:c r="C134" s="20" t="n">
        <x:v>5</x:v>
      </x:c>
      <x:c r="D134" s="20" t="str">
        <x:v>OPS-002</x:v>
      </x:c>
      <x:c r="E134" s="20" t="str">
        <x:v>Asistencia regular de beneficiarios</x:v>
      </x:c>
      <x:c r="F134" s="20" t="str">
        <x:v>Strategic-map adjacent objective; Same department</x:v>
      </x:c>
      <x:c r="G134" s="20" t="n">
        <x:v>65</x:v>
      </x:c>
      <x:c r="H134" s="20" t="str">
        <x:v>Operaciones</x:v>
      </x:c>
      <x:c r="I134" s="20" t="str">
        <x:v>Beneficiarios y grupos de interés</x:v>
      </x:c>
      <x:c r="J134" s="20" t="str">
        <x:v>C1. Incrementar alcance y acceso</x:v>
      </x:c>
      <x:c r="K134" s="20" t="n">
        <x:v>81.95555555555556</x:v>
      </x:c>
      <x:c r="L134" s="20" t="n">
        <x:v>70.98183624237264</x:v>
      </x:c>
      <x:c r="M134" s="52" t="n">
        <x:v>0.15459897762735192</x:v>
      </x:c>
      <x:c r="N134" s="20" t="str">
        <x:v>Strong improvement</x:v>
      </x:c>
      <x:c r="O134" s="20" t="str">
        <x:v>Prototype retrieval heuristic; association is not proof of causality.</x:v>
      </x:c>
      <x:c r="P134" s="20" t="str">
        <x:v>YES</x:v>
      </x:c>
    </x:row>
    <x:row r="135">
      <x:c r="A135" s="20" t="str">
        <x:v>OPS-004</x:v>
      </x:c>
      <x:c r="B135" s="20" t="str">
        <x:v>Mejora de habilidades deportivas</x:v>
      </x:c>
      <x:c r="C135" s="20" t="n">
        <x:v>6</x:v>
      </x:c>
      <x:c r="D135" s="20" t="str">
        <x:v>OPS-010B</x:v>
      </x:c>
      <x:c r="E135" s="20" t="str">
        <x:v>Cobertura de acceso al suplemento nutricional</x:v>
      </x:c>
      <x:c r="F135" s="20" t="str">
        <x:v>Same strategic objective; Same department; Same BSC perspective</x:v>
      </x:c>
      <x:c r="G135" s="20" t="n">
        <x:v>87</x:v>
      </x:c>
      <x:c r="H135" s="20" t="str">
        <x:v>Operaciones</x:v>
      </x:c>
      <x:c r="I135" s="20" t="str">
        <x:v>Resultados estratégicos</x:v>
      </x:c>
      <x:c r="J135" s="20" t="str">
        <x:v>S1. Generar impacto integral y medible</x:v>
      </x:c>
      <x:c r="K135" s="20" t="n">
        <x:v>100</x:v>
      </x:c>
      <x:c r="L135" s="20" t="n">
        <x:v>88.9514687100894</x:v>
      </x:c>
      <x:c r="M135" s="52" t="n">
        <x:v>0.12420853135005526</x:v>
      </x:c>
      <x:c r="N135" s="20" t="str">
        <x:v>Strong improvement</x:v>
      </x:c>
      <x:c r="O135" s="20" t="str">
        <x:v>Prototype retrieval heuristic; association is not proof of causality.</x:v>
      </x:c>
      <x:c r="P135" s="20" t="str">
        <x:v>YES</x:v>
      </x:c>
    </x:row>
    <x:row r="136">
      <x:c r="A136" s="20" t="str">
        <x:v>OPS-004</x:v>
      </x:c>
      <x:c r="B136" s="20" t="str">
        <x:v>Mejora de habilidades deportivas</x:v>
      </x:c>
      <x:c r="C136" s="20" t="n">
        <x:v>7</x:v>
      </x:c>
      <x:c r="D136" s="20" t="str">
        <x:v>OPS-006</x:v>
      </x:c>
      <x:c r="E136" s="20" t="str">
        <x:v>Beneficiarios que alcanzan competencia deportiva inicial</x:v>
      </x:c>
      <x:c r="F136" s="20" t="str">
        <x:v>Strategic-map adjacent objective; Same department</x:v>
      </x:c>
      <x:c r="G136" s="20" t="n">
        <x:v>65</x:v>
      </x:c>
      <x:c r="H136" s="20" t="str">
        <x:v>Operaciones</x:v>
      </x:c>
      <x:c r="I136" s="20" t="str">
        <x:v>Beneficiarios y grupos de interés</x:v>
      </x:c>
      <x:c r="J136" s="20" t="str">
        <x:v>C2. Mejorar resultados obtenidos</x:v>
      </x:c>
      <x:c r="K136" s="20" t="n">
        <x:v>72</x:v>
      </x:c>
      <x:c r="L136" s="20" t="n">
        <x:v>61.00146634501679</x:v>
      </x:c>
      <x:c r="M136" s="52" t="n">
        <x:v>0.18029949629041472</x:v>
      </x:c>
      <x:c r="N136" s="20" t="str">
        <x:v>Strong improvement</x:v>
      </x:c>
      <x:c r="O136" s="20" t="str">
        <x:v>Prototype retrieval heuristic; association is not proof of causality.</x:v>
      </x:c>
      <x:c r="P136" s="20" t="str">
        <x:v>YES</x:v>
      </x:c>
    </x:row>
    <x:row r="137">
      <x:c r="A137" s="20" t="str">
        <x:v>OPS-004</x:v>
      </x:c>
      <x:c r="B137" s="20" t="str">
        <x:v>Mejora de habilidades deportivas</x:v>
      </x:c>
      <x:c r="C137" s="20" t="n">
        <x:v>8</x:v>
      </x:c>
      <x:c r="D137" s="20" t="str">
        <x:v>REC-S01</x:v>
      </x:c>
      <x:c r="E137" s="20" t="str">
        <x:v>Programas que alcanzan su meta principal de impacto</x:v>
      </x:c>
      <x:c r="F137" s="20" t="str">
        <x:v>Same strategic objective; Same BSC perspective</x:v>
      </x:c>
      <x:c r="G137" s="20" t="n">
        <x:v>62</x:v>
      </x:c>
      <x:c r="H137" s="20" t="str">
        <x:v>Dirección + Operaciones</x:v>
      </x:c>
      <x:c r="I137" s="20" t="str">
        <x:v>Resultados estratégicos</x:v>
      </x:c>
      <x:c r="J137" s="20" t="str">
        <x:v>S1. Generar impacto integral y medible</x:v>
      </x:c>
      <x:c r="K137" s="20" t="n">
        <x:v>93.33333333333333</x:v>
      </x:c>
      <x:c r="L137" s="20" t="n">
        <x:v>81.77655677655677</x:v>
      </x:c>
      <x:c r="M137" s="52" t="n">
        <x:v>0.14132138857782753</x:v>
      </x:c>
      <x:c r="N137" s="20" t="str">
        <x:v>Strong improvement</x:v>
      </x:c>
      <x:c r="O137" s="20" t="str">
        <x:v>Prototype retrieval heuristic; association is not proof of causality.</x:v>
      </x:c>
      <x:c r="P137" s="20" t="str">
        <x:v>YES</x:v>
      </x:c>
    </x:row>
    <x:row r="138">
      <x:c r="A138" s="20" t="str">
        <x:v>OPS-005</x:v>
      </x:c>
      <x:c r="B138" s="20" t="str">
        <x:v>Incremento del tiempo de actividad física de beneficiarios</x:v>
      </x:c>
      <x:c r="C138" s="20" t="n">
        <x:v>1</x:v>
      </x:c>
      <x:c r="D138" s="20" t="str">
        <x:v>OPS-003</x:v>
      </x:c>
      <x:c r="E138" s="20" t="str">
        <x:v>Mejora de habilidades psicosociales</x:v>
      </x:c>
      <x:c r="F138" s="20" t="str">
        <x:v>Same strategic objective; Same department; Same BSC perspective</x:v>
      </x:c>
      <x:c r="G138" s="20" t="n">
        <x:v>87</x:v>
      </x:c>
      <x:c r="H138" s="20" t="str">
        <x:v>Operaciones</x:v>
      </x:c>
      <x:c r="I138" s="20" t="str">
        <x:v>Resultados estratégicos</x:v>
      </x:c>
      <x:c r="J138" s="20" t="str">
        <x:v>S1. Generar impacto integral y medible</x:v>
      </x:c>
      <x:c r="K138" s="20" t="n">
        <x:v>30.6</x:v>
      </x:c>
      <x:c r="L138" s="20" t="n">
        <x:v>23.3</x:v>
      </x:c>
      <x:c r="M138" s="52" t="n">
        <x:v>0.3133047210300429</x:v>
      </x:c>
      <x:c r="N138" s="20" t="str">
        <x:v>Strong improvement</x:v>
      </x:c>
      <x:c r="O138" s="20" t="str">
        <x:v>Prototype retrieval heuristic; association is not proof of causality.</x:v>
      </x:c>
      <x:c r="P138" s="20" t="str">
        <x:v>YES</x:v>
      </x:c>
    </x:row>
    <x:row r="139">
      <x:c r="A139" s="20" t="str">
        <x:v>OPS-005</x:v>
      </x:c>
      <x:c r="B139" s="20" t="str">
        <x:v>Incremento del tiempo de actividad física de beneficiarios</x:v>
      </x:c>
      <x:c r="C139" s="20" t="n">
        <x:v>2</x:v>
      </x:c>
      <x:c r="D139" s="20" t="str">
        <x:v>OPS-004</x:v>
      </x:c>
      <x:c r="E139" s="20" t="str">
        <x:v>Mejora de habilidades deportivas</x:v>
      </x:c>
      <x:c r="F139" s="20" t="str">
        <x:v>Same strategic objective; Same department; Same BSC perspective</x:v>
      </x:c>
      <x:c r="G139" s="20" t="n">
        <x:v>87</x:v>
      </x:c>
      <x:c r="H139" s="20" t="str">
        <x:v>Operaciones</x:v>
      </x:c>
      <x:c r="I139" s="20" t="str">
        <x:v>Resultados estratégicos</x:v>
      </x:c>
      <x:c r="J139" s="20" t="str">
        <x:v>S1. Generar impacto integral y medible</x:v>
      </x:c>
      <x:c r="K139" s="20" t="n">
        <x:v>30.6</x:v>
      </x:c>
      <x:c r="L139" s="20" t="n">
        <x:v>23.3</x:v>
      </x:c>
      <x:c r="M139" s="52" t="n">
        <x:v>0.3133047210300429</x:v>
      </x:c>
      <x:c r="N139" s="20" t="str">
        <x:v>Strong improvement</x:v>
      </x:c>
      <x:c r="O139" s="20" t="str">
        <x:v>Prototype retrieval heuristic; association is not proof of causality.</x:v>
      </x:c>
      <x:c r="P139" s="20" t="str">
        <x:v>YES</x:v>
      </x:c>
    </x:row>
    <x:row r="140">
      <x:c r="A140" s="20" t="str">
        <x:v>OPS-005</x:v>
      </x:c>
      <x:c r="B140" s="20" t="str">
        <x:v>Incremento del tiempo de actividad física de beneficiarios</x:v>
      </x:c>
      <x:c r="C140" s="20" t="n">
        <x:v>3</x:v>
      </x:c>
      <x:c r="D140" s="20" t="str">
        <x:v>OPS-010</x:v>
      </x:c>
      <x:c r="E140" s="20" t="str">
        <x:v>Incremento de actividad física — programa de nutrición</x:v>
      </x:c>
      <x:c r="F140" s="20" t="str">
        <x:v>Same strategic objective; Same department; Same BSC perspective</x:v>
      </x:c>
      <x:c r="G140" s="20" t="n">
        <x:v>87</x:v>
      </x:c>
      <x:c r="H140" s="20" t="str">
        <x:v>Operaciones</x:v>
      </x:c>
      <x:c r="I140" s="20" t="str">
        <x:v>Resultados estratégicos</x:v>
      </x:c>
      <x:c r="J140" s="20" t="str">
        <x:v>S1. Generar impacto integral y medible</x:v>
      </x:c>
      <x:c r="K140" s="20" t="n">
        <x:v>62.000000000000014</x:v>
      </x:c>
      <x:c r="L140" s="20" t="n">
        <x:v>51</x:v>
      </x:c>
      <x:c r="M140" s="52" t="n">
        <x:v>0.2156862745098042</x:v>
      </x:c>
      <x:c r="N140" s="20" t="str">
        <x:v>Strong improvement</x:v>
      </x:c>
      <x:c r="O140" s="20" t="str">
        <x:v>Prototype retrieval heuristic; association is not proof of causality.</x:v>
      </x:c>
      <x:c r="P140" s="20" t="str">
        <x:v>YES</x:v>
      </x:c>
    </x:row>
    <x:row r="141">
      <x:c r="A141" s="20" t="str">
        <x:v>OPS-005</x:v>
      </x:c>
      <x:c r="B141" s="20" t="str">
        <x:v>Incremento del tiempo de actividad física de beneficiarios</x:v>
      </x:c>
      <x:c r="C141" s="20" t="n">
        <x:v>4</x:v>
      </x:c>
      <x:c r="D141" s="20" t="str">
        <x:v>REC-C02</x:v>
      </x:c>
      <x:c r="E141" s="20" t="str">
        <x:v>Beneficiarios con mejora significativa en el outcome principal</x:v>
      </x:c>
      <x:c r="F141" s="20" t="str">
        <x:v>Strategic-map adjacent objective; Same department</x:v>
      </x:c>
      <x:c r="G141" s="20" t="n">
        <x:v>67</x:v>
      </x:c>
      <x:c r="H141" s="20" t="str">
        <x:v>Operaciones</x:v>
      </x:c>
      <x:c r="I141" s="20" t="str">
        <x:v>Beneficiarios y grupos de interés</x:v>
      </x:c>
      <x:c r="J141" s="20" t="str">
        <x:v>C2. Mejorar resultados obtenidos</x:v>
      </x:c>
      <x:c r="K141" s="20" t="n">
        <x:v>88</x:v>
      </x:c>
      <x:c r="L141" s="20" t="n">
        <x:v>74.33522539141951</x:v>
      </x:c>
      <x:c r="M141" s="52" t="n">
        <x:v>0.18382636948535852</x:v>
      </x:c>
      <x:c r="N141" s="20" t="str">
        <x:v>Strong improvement</x:v>
      </x:c>
      <x:c r="O141" s="20" t="str">
        <x:v>Prototype retrieval heuristic; association is not proof of causality.</x:v>
      </x:c>
      <x:c r="P141" s="20" t="str">
        <x:v>YES</x:v>
      </x:c>
    </x:row>
    <x:row r="142">
      <x:c r="A142" s="20" t="str">
        <x:v>OPS-005</x:v>
      </x:c>
      <x:c r="B142" s="20" t="str">
        <x:v>Incremento del tiempo de actividad física de beneficiarios</x:v>
      </x:c>
      <x:c r="C142" s="20" t="n">
        <x:v>5</x:v>
      </x:c>
      <x:c r="D142" s="20" t="str">
        <x:v>OPS-002</x:v>
      </x:c>
      <x:c r="E142" s="20" t="str">
        <x:v>Asistencia regular de beneficiarios</x:v>
      </x:c>
      <x:c r="F142" s="20" t="str">
        <x:v>Strategic-map adjacent objective; Same department</x:v>
      </x:c>
      <x:c r="G142" s="20" t="n">
        <x:v>65</x:v>
      </x:c>
      <x:c r="H142" s="20" t="str">
        <x:v>Operaciones</x:v>
      </x:c>
      <x:c r="I142" s="20" t="str">
        <x:v>Beneficiarios y grupos de interés</x:v>
      </x:c>
      <x:c r="J142" s="20" t="str">
        <x:v>C1. Incrementar alcance y acceso</x:v>
      </x:c>
      <x:c r="K142" s="20" t="n">
        <x:v>81.95555555555556</x:v>
      </x:c>
      <x:c r="L142" s="20" t="n">
        <x:v>70.98183624237264</x:v>
      </x:c>
      <x:c r="M142" s="52" t="n">
        <x:v>0.15459897762735192</x:v>
      </x:c>
      <x:c r="N142" s="20" t="str">
        <x:v>Strong improvement</x:v>
      </x:c>
      <x:c r="O142" s="20" t="str">
        <x:v>Prototype retrieval heuristic; association is not proof of causality.</x:v>
      </x:c>
      <x:c r="P142" s="20" t="str">
        <x:v>YES</x:v>
      </x:c>
    </x:row>
    <x:row r="143">
      <x:c r="A143" s="20" t="str">
        <x:v>OPS-005</x:v>
      </x:c>
      <x:c r="B143" s="20" t="str">
        <x:v>Incremento del tiempo de actividad física de beneficiarios</x:v>
      </x:c>
      <x:c r="C143" s="20" t="n">
        <x:v>6</x:v>
      </x:c>
      <x:c r="D143" s="20" t="str">
        <x:v>OPS-010B</x:v>
      </x:c>
      <x:c r="E143" s="20" t="str">
        <x:v>Cobertura de acceso al suplemento nutricional</x:v>
      </x:c>
      <x:c r="F143" s="20" t="str">
        <x:v>Same strategic objective; Same department; Same BSC perspective</x:v>
      </x:c>
      <x:c r="G143" s="20" t="n">
        <x:v>87</x:v>
      </x:c>
      <x:c r="H143" s="20" t="str">
        <x:v>Operaciones</x:v>
      </x:c>
      <x:c r="I143" s="20" t="str">
        <x:v>Resultados estratégicos</x:v>
      </x:c>
      <x:c r="J143" s="20" t="str">
        <x:v>S1. Generar impacto integral y medible</x:v>
      </x:c>
      <x:c r="K143" s="20" t="n">
        <x:v>100</x:v>
      </x:c>
      <x:c r="L143" s="20" t="n">
        <x:v>88.9514687100894</x:v>
      </x:c>
      <x:c r="M143" s="52" t="n">
        <x:v>0.12420853135005526</x:v>
      </x:c>
      <x:c r="N143" s="20" t="str">
        <x:v>Strong improvement</x:v>
      </x:c>
      <x:c r="O143" s="20" t="str">
        <x:v>Prototype retrieval heuristic; association is not proof of causality.</x:v>
      </x:c>
      <x:c r="P143" s="20" t="str">
        <x:v>YES</x:v>
      </x:c>
    </x:row>
    <x:row r="144">
      <x:c r="A144" s="20" t="str">
        <x:v>OPS-005</x:v>
      </x:c>
      <x:c r="B144" s="20" t="str">
        <x:v>Incremento del tiempo de actividad física de beneficiarios</x:v>
      </x:c>
      <x:c r="C144" s="20" t="n">
        <x:v>7</x:v>
      </x:c>
      <x:c r="D144" s="20" t="str">
        <x:v>OPS-006</x:v>
      </x:c>
      <x:c r="E144" s="20" t="str">
        <x:v>Beneficiarios que alcanzan competencia deportiva inicial</x:v>
      </x:c>
      <x:c r="F144" s="20" t="str">
        <x:v>Strategic-map adjacent objective; Same department</x:v>
      </x:c>
      <x:c r="G144" s="20" t="n">
        <x:v>65</x:v>
      </x:c>
      <x:c r="H144" s="20" t="str">
        <x:v>Operaciones</x:v>
      </x:c>
      <x:c r="I144" s="20" t="str">
        <x:v>Beneficiarios y grupos de interés</x:v>
      </x:c>
      <x:c r="J144" s="20" t="str">
        <x:v>C2. Mejorar resultados obtenidos</x:v>
      </x:c>
      <x:c r="K144" s="20" t="n">
        <x:v>72</x:v>
      </x:c>
      <x:c r="L144" s="20" t="n">
        <x:v>61.00146634501679</x:v>
      </x:c>
      <x:c r="M144" s="52" t="n">
        <x:v>0.18029949629041472</x:v>
      </x:c>
      <x:c r="N144" s="20" t="str">
        <x:v>Strong improvement</x:v>
      </x:c>
      <x:c r="O144" s="20" t="str">
        <x:v>Prototype retrieval heuristic; association is not proof of causality.</x:v>
      </x:c>
      <x:c r="P144" s="20" t="str">
        <x:v>YES</x:v>
      </x:c>
    </x:row>
    <x:row r="145">
      <x:c r="A145" s="20" t="str">
        <x:v>OPS-005</x:v>
      </x:c>
      <x:c r="B145" s="20" t="str">
        <x:v>Incremento del tiempo de actividad física de beneficiarios</x:v>
      </x:c>
      <x:c r="C145" s="20" t="n">
        <x:v>8</x:v>
      </x:c>
      <x:c r="D145" s="20" t="str">
        <x:v>REC-S01</x:v>
      </x:c>
      <x:c r="E145" s="20" t="str">
        <x:v>Programas que alcanzan su meta principal de impacto</x:v>
      </x:c>
      <x:c r="F145" s="20" t="str">
        <x:v>Same strategic objective; Same BSC perspective</x:v>
      </x:c>
      <x:c r="G145" s="20" t="n">
        <x:v>62</x:v>
      </x:c>
      <x:c r="H145" s="20" t="str">
        <x:v>Dirección + Operaciones</x:v>
      </x:c>
      <x:c r="I145" s="20" t="str">
        <x:v>Resultados estratégicos</x:v>
      </x:c>
      <x:c r="J145" s="20" t="str">
        <x:v>S1. Generar impacto integral y medible</x:v>
      </x:c>
      <x:c r="K145" s="20" t="n">
        <x:v>93.33333333333333</x:v>
      </x:c>
      <x:c r="L145" s="20" t="n">
        <x:v>81.77655677655677</x:v>
      </x:c>
      <x:c r="M145" s="52" t="n">
        <x:v>0.14132138857782753</x:v>
      </x:c>
      <x:c r="N145" s="20" t="str">
        <x:v>Strong improvement</x:v>
      </x:c>
      <x:c r="O145" s="20" t="str">
        <x:v>Prototype retrieval heuristic; association is not proof of causality.</x:v>
      </x:c>
      <x:c r="P145" s="20" t="str">
        <x:v>YES</x:v>
      </x:c>
    </x:row>
    <x:row r="146">
      <x:c r="A146" s="20" t="str">
        <x:v>OPS-006</x:v>
      </x:c>
      <x:c r="B146" s="20" t="str">
        <x:v>Beneficiarios que alcanzan competencia deportiva inicial</x:v>
      </x:c>
      <x:c r="C146" s="20" t="n">
        <x:v>1</x:v>
      </x:c>
      <x:c r="D146" s="20" t="str">
        <x:v>REC-C02</x:v>
      </x:c>
      <x:c r="E146" s="20" t="str">
        <x:v>Beneficiarios con mejora significativa en el outcome principal</x:v>
      </x:c>
      <x:c r="F146" s="20" t="str">
        <x:v>Same strategic objective; Same department; Same BSC perspective</x:v>
      </x:c>
      <x:c r="G146" s="20" t="n">
        <x:v>85</x:v>
      </x:c>
      <x:c r="H146" s="20" t="str">
        <x:v>Operaciones</x:v>
      </x:c>
      <x:c r="I146" s="20" t="str">
        <x:v>Beneficiarios y grupos de interés</x:v>
      </x:c>
      <x:c r="J146" s="20" t="str">
        <x:v>C2. Mejorar resultados obtenidos</x:v>
      </x:c>
      <x:c r="K146" s="20" t="n">
        <x:v>88</x:v>
      </x:c>
      <x:c r="L146" s="20" t="n">
        <x:v>74.33522539141951</x:v>
      </x:c>
      <x:c r="M146" s="52" t="n">
        <x:v>0.18382636948535852</x:v>
      </x:c>
      <x:c r="N146" s="20" t="str">
        <x:v>Strong improvement</x:v>
      </x:c>
      <x:c r="O146" s="20" t="str">
        <x:v>Prototype retrieval heuristic; association is not proof of causality.</x:v>
      </x:c>
      <x:c r="P146" s="20" t="str">
        <x:v>YES</x:v>
      </x:c>
    </x:row>
    <x:row r="147">
      <x:c r="A147" s="20" t="str">
        <x:v>OPS-006</x:v>
      </x:c>
      <x:c r="B147" s="20" t="str">
        <x:v>Beneficiarios que alcanzan competencia deportiva inicial</x:v>
      </x:c>
      <x:c r="C147" s="20" t="n">
        <x:v>2</x:v>
      </x:c>
      <x:c r="D147" s="20" t="str">
        <x:v>OPS-009</x:v>
      </x:c>
      <x:c r="E147" s="20" t="str">
        <x:v>Cobertura de seguimiento nutricional con registros completos</x:v>
      </x:c>
      <x:c r="F147" s="20" t="str">
        <x:v>Strategic-map adjacent objective; Same department</x:v>
      </x:c>
      <x:c r="G147" s="20" t="n">
        <x:v>67</x:v>
      </x:c>
      <x:c r="H147" s="20" t="str">
        <x:v>Operaciones</x:v>
      </x:c>
      <x:c r="I147" s="20" t="str">
        <x:v>Procesos internos</x:v>
      </x:c>
      <x:c r="J147" s="20" t="str">
        <x:v>P2. Fortalecer medición de impacto</x:v>
      </x:c>
      <x:c r="K147" s="20" t="n">
        <x:v>96</x:v>
      </x:c>
      <x:c r="L147" s="20" t="n">
        <x:v>84.01745423584504</x:v>
      </x:c>
      <x:c r="M147" s="52" t="n">
        <x:v>0.14261971959444059</x:v>
      </x:c>
      <x:c r="N147" s="20" t="str">
        <x:v>Strong improvement</x:v>
      </x:c>
      <x:c r="O147" s="20" t="str">
        <x:v>Prototype retrieval heuristic; association is not proof of causality.</x:v>
      </x:c>
      <x:c r="P147" s="20" t="str">
        <x:v>YES</x:v>
      </x:c>
    </x:row>
    <x:row r="148">
      <x:c r="A148" s="20" t="str">
        <x:v>OPS-006</x:v>
      </x:c>
      <x:c r="B148" s="20" t="str">
        <x:v>Beneficiarios que alcanzan competencia deportiva inicial</x:v>
      </x:c>
      <x:c r="C148" s="20" t="n">
        <x:v>3</x:v>
      </x:c>
      <x:c r="D148" s="20" t="str">
        <x:v>OPS-012</x:v>
      </x:c>
      <x:c r="E148" s="20" t="str">
        <x:v>Países con plan de escalamiento de nutrición listo para 2027</x:v>
      </x:c>
      <x:c r="F148" s="20" t="str">
        <x:v>Strategic-map adjacent objective; Same department</x:v>
      </x:c>
      <x:c r="G148" s="20" t="n">
        <x:v>67</x:v>
      </x:c>
      <x:c r="H148" s="20" t="str">
        <x:v>Operaciones</x:v>
      </x:c>
      <x:c r="I148" s="20" t="str">
        <x:v>Procesos internos</x:v>
      </x:c>
      <x:c r="J148" s="20" t="str">
        <x:v>P1. Estandarizar y escalar programas</x:v>
      </x:c>
      <x:c r="K148" s="20" t="n">
        <x:v>100</x:v>
      </x:c>
      <x:c r="L148" s="20" t="n">
        <x:v>91.66666666666667</x:v>
      </x:c>
      <x:c r="M148" s="52" t="n">
        <x:v>0.09090909090909086</x:v>
      </x:c>
      <x:c r="N148" s="20" t="str">
        <x:v>Improving</x:v>
      </x:c>
      <x:c r="O148" s="20" t="str">
        <x:v>Prototype retrieval heuristic; association is not proof of causality.</x:v>
      </x:c>
      <x:c r="P148" s="20" t="str">
        <x:v>YES</x:v>
      </x:c>
    </x:row>
    <x:row r="149">
      <x:c r="A149" s="20" t="str">
        <x:v>OPS-006</x:v>
      </x:c>
      <x:c r="B149" s="20" t="str">
        <x:v>Beneficiarios que alcanzan competencia deportiva inicial</x:v>
      </x:c>
      <x:c r="C149" s="20" t="n">
        <x:v>4</x:v>
      </x:c>
      <x:c r="D149" s="20" t="str">
        <x:v>OPS-019</x:v>
      </x:c>
      <x:c r="E149" s="20" t="str">
        <x:v>Proyectos OSC con seguimiento y reporte de resultados aprobado</x:v>
      </x:c>
      <x:c r="F149" s="20" t="str">
        <x:v>Strategic-map adjacent objective; Same department</x:v>
      </x:c>
      <x:c r="G149" s="20" t="n">
        <x:v>67</x:v>
      </x:c>
      <x:c r="H149" s="20" t="str">
        <x:v>Operaciones</x:v>
      </x:c>
      <x:c r="I149" s="20" t="str">
        <x:v>Procesos internos</x:v>
      </x:c>
      <x:c r="J149" s="20" t="str">
        <x:v>P2. Fortalecer medición de impacto</x:v>
      </x:c>
      <x:c r="K149" s="20" t="n">
        <x:v>100</x:v>
      </x:c>
      <x:c r="L149" s="20" t="n">
        <x:v>88.9514687100894</x:v>
      </x:c>
      <x:c r="M149" s="52" t="n">
        <x:v>0.12420853135005526</x:v>
      </x:c>
      <x:c r="N149" s="20" t="str">
        <x:v>Strong improvement</x:v>
      </x:c>
      <x:c r="O149" s="20" t="str">
        <x:v>Prototype retrieval heuristic; association is not proof of causality.</x:v>
      </x:c>
      <x:c r="P149" s="20" t="str">
        <x:v>YES</x:v>
      </x:c>
    </x:row>
    <x:row r="150">
      <x:c r="A150" s="20" t="str">
        <x:v>OPS-006</x:v>
      </x:c>
      <x:c r="B150" s="20" t="str">
        <x:v>Beneficiarios que alcanzan competencia deportiva inicial</x:v>
      </x:c>
      <x:c r="C150" s="20" t="n">
        <x:v>5</x:v>
      </x:c>
      <x:c r="D150" s="20" t="str">
        <x:v>OPS-003</x:v>
      </x:c>
      <x:c r="E150" s="20" t="str">
        <x:v>Mejora de habilidades psicosociales</x:v>
      </x:c>
      <x:c r="F150" s="20" t="str">
        <x:v>Strategic-map adjacent objective; Same department</x:v>
      </x:c>
      <x:c r="G150" s="20" t="n">
        <x:v>65</x:v>
      </x:c>
      <x:c r="H150" s="20" t="str">
        <x:v>Operaciones</x:v>
      </x:c>
      <x:c r="I150" s="20" t="str">
        <x:v>Resultados estratégicos</x:v>
      </x:c>
      <x:c r="J150" s="20" t="str">
        <x:v>S1. Generar impacto integral y medible</x:v>
      </x:c>
      <x:c r="K150" s="20" t="n">
        <x:v>30.6</x:v>
      </x:c>
      <x:c r="L150" s="20" t="n">
        <x:v>23.3</x:v>
      </x:c>
      <x:c r="M150" s="52" t="n">
        <x:v>0.3133047210300429</x:v>
      </x:c>
      <x:c r="N150" s="20" t="str">
        <x:v>Strong improvement</x:v>
      </x:c>
      <x:c r="O150" s="20" t="str">
        <x:v>Prototype retrieval heuristic; association is not proof of causality.</x:v>
      </x:c>
      <x:c r="P150" s="20" t="str">
        <x:v>YES</x:v>
      </x:c>
    </x:row>
    <x:row r="151">
      <x:c r="A151" s="20" t="str">
        <x:v>OPS-006</x:v>
      </x:c>
      <x:c r="B151" s="20" t="str">
        <x:v>Beneficiarios que alcanzan competencia deportiva inicial</x:v>
      </x:c>
      <x:c r="C151" s="20" t="n">
        <x:v>6</x:v>
      </x:c>
      <x:c r="D151" s="20" t="str">
        <x:v>OPS-002</x:v>
      </x:c>
      <x:c r="E151" s="20" t="str">
        <x:v>Asistencia regular de beneficiarios</x:v>
      </x:c>
      <x:c r="F151" s="20" t="str">
        <x:v>Same department; Same BSC perspective</x:v>
      </x:c>
      <x:c r="G151" s="20" t="n">
        <x:v>37</x:v>
      </x:c>
      <x:c r="H151" s="20" t="str">
        <x:v>Operaciones</x:v>
      </x:c>
      <x:c r="I151" s="20" t="str">
        <x:v>Beneficiarios y grupos de interés</x:v>
      </x:c>
      <x:c r="J151" s="20" t="str">
        <x:v>C1. Incrementar alcance y acceso</x:v>
      </x:c>
      <x:c r="K151" s="20" t="n">
        <x:v>81.95555555555556</x:v>
      </x:c>
      <x:c r="L151" s="20" t="n">
        <x:v>70.98183624237264</x:v>
      </x:c>
      <x:c r="M151" s="52" t="n">
        <x:v>0.15459897762735192</x:v>
      </x:c>
      <x:c r="N151" s="20" t="str">
        <x:v>Strong improvement</x:v>
      </x:c>
      <x:c r="O151" s="20" t="str">
        <x:v>Prototype retrieval heuristic; association is not proof of causality.</x:v>
      </x:c>
      <x:c r="P151" s="20" t="str">
        <x:v>YES</x:v>
      </x:c>
    </x:row>
    <x:row r="152">
      <x:c r="A152" s="20" t="str">
        <x:v>OPS-006</x:v>
      </x:c>
      <x:c r="B152" s="20" t="str">
        <x:v>Beneficiarios que alcanzan competencia deportiva inicial</x:v>
      </x:c>
      <x:c r="C152" s="20" t="n">
        <x:v>7</x:v>
      </x:c>
      <x:c r="D152" s="20" t="str">
        <x:v>OPS-004</x:v>
      </x:c>
      <x:c r="E152" s="20" t="str">
        <x:v>Mejora de habilidades deportivas</x:v>
      </x:c>
      <x:c r="F152" s="20" t="str">
        <x:v>Strategic-map adjacent objective; Same department</x:v>
      </x:c>
      <x:c r="G152" s="20" t="n">
        <x:v>65</x:v>
      </x:c>
      <x:c r="H152" s="20" t="str">
        <x:v>Operaciones</x:v>
      </x:c>
      <x:c r="I152" s="20" t="str">
        <x:v>Resultados estratégicos</x:v>
      </x:c>
      <x:c r="J152" s="20" t="str">
        <x:v>S1. Generar impacto integral y medible</x:v>
      </x:c>
      <x:c r="K152" s="20" t="n">
        <x:v>30.6</x:v>
      </x:c>
      <x:c r="L152" s="20" t="n">
        <x:v>23.3</x:v>
      </x:c>
      <x:c r="M152" s="52" t="n">
        <x:v>0.3133047210300429</x:v>
      </x:c>
      <x:c r="N152" s="20" t="str">
        <x:v>Strong improvement</x:v>
      </x:c>
      <x:c r="O152" s="20" t="str">
        <x:v>Prototype retrieval heuristic; association is not proof of causality.</x:v>
      </x:c>
      <x:c r="P152" s="20" t="str">
        <x:v>YES</x:v>
      </x:c>
    </x:row>
    <x:row r="153">
      <x:c r="A153" s="20" t="str">
        <x:v>OPS-006</x:v>
      </x:c>
      <x:c r="B153" s="20" t="str">
        <x:v>Beneficiarios que alcanzan competencia deportiva inicial</x:v>
      </x:c>
      <x:c r="C153" s="20" t="n">
        <x:v>8</x:v>
      </x:c>
      <x:c r="D153" s="20" t="str">
        <x:v>OPS-005</x:v>
      </x:c>
      <x:c r="E153" s="20" t="str">
        <x:v>Incremento del tiempo de actividad física de beneficiarios</x:v>
      </x:c>
      <x:c r="F153" s="20" t="str">
        <x:v>Strategic-map adjacent objective; Same department</x:v>
      </x:c>
      <x:c r="G153" s="20" t="n">
        <x:v>65</x:v>
      </x:c>
      <x:c r="H153" s="20" t="str">
        <x:v>Operaciones</x:v>
      </x:c>
      <x:c r="I153" s="20" t="str">
        <x:v>Resultados estratégicos</x:v>
      </x:c>
      <x:c r="J153" s="20" t="str">
        <x:v>S1. Generar impacto integral y medible</x:v>
      </x:c>
      <x:c r="K153" s="20" t="n">
        <x:v>30.596330275229356</x:v>
      </x:c>
      <x:c r="L153" s="20" t="n">
        <x:v>23.29935275080906</x:v>
      </x:c>
      <x:c r="M153" s="52" t="n">
        <x:v>0.31318370095782644</x:v>
      </x:c>
      <x:c r="N153" s="20" t="str">
        <x:v>Strong improvement</x:v>
      </x:c>
      <x:c r="O153" s="20" t="str">
        <x:v>Prototype retrieval heuristic; association is not proof of causality.</x:v>
      </x:c>
      <x:c r="P153" s="20" t="str">
        <x:v>YES</x:v>
      </x:c>
    </x:row>
    <x:row r="154">
      <x:c r="A154" s="20" t="str">
        <x:v>OPS-008</x:v>
      </x:c>
      <x:c r="B154" s="20" t="str">
        <x:v>Cobertura del piloto de nutrición infantil</x:v>
      </x:c>
      <x:c r="C154" s="20" t="n">
        <x:v>1</x:v>
      </x:c>
      <x:c r="D154" s="20" t="str">
        <x:v>OPS-002</x:v>
      </x:c>
      <x:c r="E154" s="20" t="str">
        <x:v>Asistencia regular de beneficiarios</x:v>
      </x:c>
      <x:c r="F154" s="20" t="str">
        <x:v>Same strategic objective; Same department; Same BSC perspective</x:v>
      </x:c>
      <x:c r="G154" s="20" t="n">
        <x:v>87</x:v>
      </x:c>
      <x:c r="H154" s="20" t="str">
        <x:v>Operaciones</x:v>
      </x:c>
      <x:c r="I154" s="20" t="str">
        <x:v>Beneficiarios y grupos de interés</x:v>
      </x:c>
      <x:c r="J154" s="20" t="str">
        <x:v>C1. Incrementar alcance y acceso</x:v>
      </x:c>
      <x:c r="K154" s="20" t="n">
        <x:v>81.95555555555556</x:v>
      </x:c>
      <x:c r="L154" s="20" t="n">
        <x:v>70.98183624237264</x:v>
      </x:c>
      <x:c r="M154" s="52" t="n">
        <x:v>0.15459897762735192</x:v>
      </x:c>
      <x:c r="N154" s="20" t="str">
        <x:v>Strong improvement</x:v>
      </x:c>
      <x:c r="O154" s="20" t="str">
        <x:v>Prototype retrieval heuristic; association is not proof of causality.</x:v>
      </x:c>
      <x:c r="P154" s="20" t="str">
        <x:v>YES</x:v>
      </x:c>
    </x:row>
    <x:row r="155">
      <x:c r="A155" s="20" t="str">
        <x:v>OPS-008</x:v>
      </x:c>
      <x:c r="B155" s="20" t="str">
        <x:v>Cobertura del piloto de nutrición infantil</x:v>
      </x:c>
      <x:c r="C155" s="20" t="n">
        <x:v>2</x:v>
      </x:c>
      <x:c r="D155" s="20" t="str">
        <x:v>OPS-013</x:v>
      </x:c>
      <x:c r="E155" s="20" t="str">
        <x:v>Cumplimiento de cobertura — Sueña Chivas Estadio</x:v>
      </x:c>
      <x:c r="F155" s="20" t="str">
        <x:v>Same strategic objective; Same department; Same BSC perspective</x:v>
      </x:c>
      <x:c r="G155" s="20" t="n">
        <x:v>87</x:v>
      </x:c>
      <x:c r="H155" s="20" t="str">
        <x:v>Operaciones</x:v>
      </x:c>
      <x:c r="I155" s="20" t="str">
        <x:v>Beneficiarios y grupos de interés</x:v>
      </x:c>
      <x:c r="J155" s="20" t="str">
        <x:v>C1. Incrementar alcance y acceso</x:v>
      </x:c>
      <x:c r="K155" s="20" t="n">
        <x:v>100</x:v>
      </x:c>
      <x:c r="L155" s="20" t="n">
        <x:v>88.9514687100894</x:v>
      </x:c>
      <x:c r="M155" s="52" t="n">
        <x:v>0.12420853135005526</x:v>
      </x:c>
      <x:c r="N155" s="20" t="str">
        <x:v>Strong improvement</x:v>
      </x:c>
      <x:c r="O155" s="20" t="str">
        <x:v>Prototype retrieval heuristic; association is not proof of causality.</x:v>
      </x:c>
      <x:c r="P155" s="20" t="str">
        <x:v>YES</x:v>
      </x:c>
    </x:row>
    <x:row r="156">
      <x:c r="A156" s="20" t="str">
        <x:v>OPS-008</x:v>
      </x:c>
      <x:c r="B156" s="20" t="str">
        <x:v>Cobertura del piloto de nutrición infantil</x:v>
      </x:c>
      <x:c r="C156" s="20" t="n">
        <x:v>3</x:v>
      </x:c>
      <x:c r="D156" s="20" t="str">
        <x:v>OPS-014</x:v>
      </x:c>
      <x:c r="E156" s="20" t="str">
        <x:v>Cumplimiento de cobertura — Sueña Chivas Tour</x:v>
      </x:c>
      <x:c r="F156" s="20" t="str">
        <x:v>Same strategic objective; Same department; Same BSC perspective</x:v>
      </x:c>
      <x:c r="G156" s="20" t="n">
        <x:v>87</x:v>
      </x:c>
      <x:c r="H156" s="20" t="str">
        <x:v>Operaciones</x:v>
      </x:c>
      <x:c r="I156" s="20" t="str">
        <x:v>Beneficiarios y grupos de interés</x:v>
      </x:c>
      <x:c r="J156" s="20" t="str">
        <x:v>C1. Incrementar alcance y acceso</x:v>
      </x:c>
      <x:c r="K156" s="20" t="n">
        <x:v>100</x:v>
      </x:c>
      <x:c r="L156" s="20" t="n">
        <x:v>88.9514687100894</x:v>
      </x:c>
      <x:c r="M156" s="52" t="n">
        <x:v>0.12420853135005526</x:v>
      </x:c>
      <x:c r="N156" s="20" t="str">
        <x:v>Strong improvement</x:v>
      </x:c>
      <x:c r="O156" s="20" t="str">
        <x:v>Prototype retrieval heuristic; association is not proof of causality.</x:v>
      </x:c>
      <x:c r="P156" s="20" t="str">
        <x:v>YES</x:v>
      </x:c>
    </x:row>
    <x:row r="157">
      <x:c r="A157" s="20" t="str">
        <x:v>OPS-008</x:v>
      </x:c>
      <x:c r="B157" s="20" t="str">
        <x:v>Cobertura del piloto de nutrición infantil</x:v>
      </x:c>
      <x:c r="C157" s="20" t="n">
        <x:v>4</x:v>
      </x:c>
      <x:c r="D157" s="20" t="str">
        <x:v>OPS-012</x:v>
      </x:c>
      <x:c r="E157" s="20" t="str">
        <x:v>Países con plan de escalamiento de nutrición listo para 2027</x:v>
      </x:c>
      <x:c r="F157" s="20" t="str">
        <x:v>Strategic-map adjacent objective; Same department</x:v>
      </x:c>
      <x:c r="G157" s="20" t="n">
        <x:v>67</x:v>
      </x:c>
      <x:c r="H157" s="20" t="str">
        <x:v>Operaciones</x:v>
      </x:c>
      <x:c r="I157" s="20" t="str">
        <x:v>Procesos internos</x:v>
      </x:c>
      <x:c r="J157" s="20" t="str">
        <x:v>P1. Estandarizar y escalar programas</x:v>
      </x:c>
      <x:c r="K157" s="20" t="n">
        <x:v>100</x:v>
      </x:c>
      <x:c r="L157" s="20" t="n">
        <x:v>91.66666666666667</x:v>
      </x:c>
      <x:c r="M157" s="52" t="n">
        <x:v>0.09090909090909086</x:v>
      </x:c>
      <x:c r="N157" s="20" t="str">
        <x:v>Improving</x:v>
      </x:c>
      <x:c r="O157" s="20" t="str">
        <x:v>Prototype retrieval heuristic; association is not proof of causality.</x:v>
      </x:c>
      <x:c r="P157" s="20" t="str">
        <x:v>YES</x:v>
      </x:c>
    </x:row>
    <x:row r="158">
      <x:c r="A158" s="20" t="str">
        <x:v>OPS-008</x:v>
      </x:c>
      <x:c r="B158" s="20" t="str">
        <x:v>Cobertura del piloto de nutrición infantil</x:v>
      </x:c>
      <x:c r="C158" s="20" t="n">
        <x:v>5</x:v>
      </x:c>
      <x:c r="D158" s="20" t="str">
        <x:v>OPS-001</x:v>
      </x:c>
      <x:c r="E158" s="20" t="str">
        <x:v>Países con operación programática activa según modelo definido</x:v>
      </x:c>
      <x:c r="F158" s="20" t="str">
        <x:v>Strategic-map adjacent objective; Same department</x:v>
      </x:c>
      <x:c r="G158" s="20" t="n">
        <x:v>65</x:v>
      </x:c>
      <x:c r="H158" s="20" t="str">
        <x:v>Operaciones</x:v>
      </x:c>
      <x:c r="I158" s="20" t="str">
        <x:v>Resultados estratégicos</x:v>
      </x:c>
      <x:c r="J158" s="20" t="str">
        <x:v>S2. Ampliar alcance geográfico y poblacional</x:v>
      </x:c>
      <x:c r="K158" s="20" t="n">
        <x:v>4</x:v>
      </x:c>
      <x:c r="L158" s="20" t="n">
        <x:v>2.6666666666666665</x:v>
      </x:c>
      <x:c r="M158" s="52" t="n">
        <x:v>0.5000000000000001</x:v>
      </x:c>
      <x:c r="N158" s="20" t="str">
        <x:v>Strong improvement</x:v>
      </x:c>
      <x:c r="O158" s="20" t="str">
        <x:v>Prototype retrieval heuristic; association is not proof of causality.</x:v>
      </x:c>
      <x:c r="P158" s="20" t="str">
        <x:v>YES</x:v>
      </x:c>
    </x:row>
    <x:row r="159">
      <x:c r="A159" s="20" t="str">
        <x:v>OPS-008</x:v>
      </x:c>
      <x:c r="B159" s="20" t="str">
        <x:v>Cobertura del piloto de nutrición infantil</x:v>
      </x:c>
      <x:c r="C159" s="20" t="n">
        <x:v>6</x:v>
      </x:c>
      <x:c r="D159" s="20" t="str">
        <x:v>OPS-015</x:v>
      </x:c>
      <x:c r="E159" s="20" t="str">
        <x:v>Sueña Chivas Individuales completados</x:v>
      </x:c>
      <x:c r="F159" s="20" t="str">
        <x:v>Same strategic objective; Same department; Same BSC perspective</x:v>
      </x:c>
      <x:c r="G159" s="20" t="n">
        <x:v>87</x:v>
      </x:c>
      <x:c r="H159" s="20" t="str">
        <x:v>Operaciones</x:v>
      </x:c>
      <x:c r="I159" s="20" t="str">
        <x:v>Beneficiarios y grupos de interés</x:v>
      </x:c>
      <x:c r="J159" s="20" t="str">
        <x:v>C1. Incrementar alcance y acceso</x:v>
      </x:c>
      <x:c r="K159" s="20" t="n">
        <x:v>12</x:v>
      </x:c>
      <x:c r="L159" s="20" t="n">
        <x:v>9.333333333333334</x:v>
      </x:c>
      <x:c r="M159" s="52" t="n">
        <x:v>0.28571428571428564</x:v>
      </x:c>
      <x:c r="N159" s="20" t="str">
        <x:v>Strong improvement</x:v>
      </x:c>
      <x:c r="O159" s="20" t="str">
        <x:v>Prototype retrieval heuristic; association is not proof of causality.</x:v>
      </x:c>
      <x:c r="P159" s="20" t="str">
        <x:v>YES</x:v>
      </x:c>
    </x:row>
    <x:row r="160">
      <x:c r="A160" s="20" t="str">
        <x:v>OPS-008</x:v>
      </x:c>
      <x:c r="B160" s="20" t="str">
        <x:v>Cobertura del piloto de nutrición infantil</x:v>
      </x:c>
      <x:c r="C160" s="20" t="n">
        <x:v>7</x:v>
      </x:c>
      <x:c r="D160" s="20" t="str">
        <x:v>REC-C01</x:v>
      </x:c>
      <x:c r="E160" s="20" t="str">
        <x:v>Tasa de finalización/retención de participantes</x:v>
      </x:c>
      <x:c r="F160" s="20" t="str">
        <x:v>Same strategic objective; Same department; Same BSC perspective</x:v>
      </x:c>
      <x:c r="G160" s="20" t="n">
        <x:v>85</x:v>
      </x:c>
      <x:c r="H160" s="20" t="str">
        <x:v>Operaciones</x:v>
      </x:c>
      <x:c r="I160" s="20" t="str">
        <x:v>Beneficiarios y grupos de interés</x:v>
      </x:c>
      <x:c r="J160" s="20" t="str">
        <x:v>C1. Incrementar alcance y acceso</x:v>
      </x:c>
      <x:c r="K160" s="20" t="n">
        <x:v>87.02222222222223</x:v>
      </x:c>
      <x:c r="L160" s="20" t="n">
        <x:v>76.02109644766095</x:v>
      </x:c>
      <x:c r="M160" s="52" t="n">
        <x:v>0.14471148521430935</x:v>
      </x:c>
      <x:c r="N160" s="20" t="str">
        <x:v>Strong improvement</x:v>
      </x:c>
      <x:c r="O160" s="20" t="str">
        <x:v>Prototype retrieval heuristic; association is not proof of causality.</x:v>
      </x:c>
      <x:c r="P160" s="20" t="str">
        <x:v>YES</x:v>
      </x:c>
    </x:row>
    <x:row r="161">
      <x:c r="A161" s="20" t="str">
        <x:v>OPS-008</x:v>
      </x:c>
      <x:c r="B161" s="20" t="str">
        <x:v>Cobertura del piloto de nutrición infantil</x:v>
      </x:c>
      <x:c r="C161" s="20" t="n">
        <x:v>8</x:v>
      </x:c>
      <x:c r="D161" s="20" t="str">
        <x:v>OPS-006</x:v>
      </x:c>
      <x:c r="E161" s="20" t="str">
        <x:v>Beneficiarios que alcanzan competencia deportiva inicial</x:v>
      </x:c>
      <x:c r="F161" s="20" t="str">
        <x:v>Same department; Same BSC perspective</x:v>
      </x:c>
      <x:c r="G161" s="20" t="n">
        <x:v>37</x:v>
      </x:c>
      <x:c r="H161" s="20" t="str">
        <x:v>Operaciones</x:v>
      </x:c>
      <x:c r="I161" s="20" t="str">
        <x:v>Beneficiarios y grupos de interés</x:v>
      </x:c>
      <x:c r="J161" s="20" t="str">
        <x:v>C2. Mejorar resultados obtenidos</x:v>
      </x:c>
      <x:c r="K161" s="20" t="n">
        <x:v>72</x:v>
      </x:c>
      <x:c r="L161" s="20" t="n">
        <x:v>61.00146634501679</x:v>
      </x:c>
      <x:c r="M161" s="52" t="n">
        <x:v>0.18029949629041472</x:v>
      </x:c>
      <x:c r="N161" s="20" t="str">
        <x:v>Strong improvement</x:v>
      </x:c>
      <x:c r="O161" s="20" t="str">
        <x:v>Prototype retrieval heuristic; association is not proof of causality.</x:v>
      </x:c>
      <x:c r="P161" s="20" t="str">
        <x:v>YES</x:v>
      </x:c>
    </x:row>
    <x:row r="162">
      <x:c r="A162" s="20" t="str">
        <x:v>OPS-009</x:v>
      </x:c>
      <x:c r="B162" s="20" t="str">
        <x:v>Cobertura de seguimiento nutricional con registros completos</x:v>
      </x:c>
      <x:c r="C162" s="20" t="n">
        <x:v>1</x:v>
      </x:c>
      <x:c r="D162" s="20" t="str">
        <x:v>OPS-019</x:v>
      </x:c>
      <x:c r="E162" s="20" t="str">
        <x:v>Proyectos OSC con seguimiento y reporte de resultados aprobado</x:v>
      </x:c>
      <x:c r="F162" s="20" t="str">
        <x:v>Same strategic objective; Same department; Same BSC perspective</x:v>
      </x:c>
      <x:c r="G162" s="20" t="n">
        <x:v>87</x:v>
      </x:c>
      <x:c r="H162" s="20" t="str">
        <x:v>Operaciones</x:v>
      </x:c>
      <x:c r="I162" s="20" t="str">
        <x:v>Procesos internos</x:v>
      </x:c>
      <x:c r="J162" s="20" t="str">
        <x:v>P2. Fortalecer medición de impacto</x:v>
      </x:c>
      <x:c r="K162" s="20" t="n">
        <x:v>100</x:v>
      </x:c>
      <x:c r="L162" s="20" t="n">
        <x:v>88.9514687100894</x:v>
      </x:c>
      <x:c r="M162" s="52" t="n">
        <x:v>0.12420853135005526</x:v>
      </x:c>
      <x:c r="N162" s="20" t="str">
        <x:v>Strong improvement</x:v>
      </x:c>
      <x:c r="O162" s="20" t="str">
        <x:v>Prototype retrieval heuristic; association is not proof of causality.</x:v>
      </x:c>
      <x:c r="P162" s="20" t="str">
        <x:v>YES</x:v>
      </x:c>
    </x:row>
    <x:row r="163">
      <x:c r="A163" s="20" t="str">
        <x:v>OPS-009</x:v>
      </x:c>
      <x:c r="B163" s="20" t="str">
        <x:v>Cobertura de seguimiento nutricional con registros completos</x:v>
      </x:c>
      <x:c r="C163" s="20" t="n">
        <x:v>2</x:v>
      </x:c>
      <x:c r="D163" s="20" t="str">
        <x:v>REC-P02</x:v>
      </x:c>
      <x:c r="E163" s="20" t="str">
        <x:v>Cobertura de medición de impacto</x:v>
      </x:c>
      <x:c r="F163" s="20" t="str">
        <x:v>Same strategic objective; Same department; Same BSC perspective</x:v>
      </x:c>
      <x:c r="G163" s="20" t="n">
        <x:v>85</x:v>
      </x:c>
      <x:c r="H163" s="20" t="str">
        <x:v>Operaciones</x:v>
      </x:c>
      <x:c r="I163" s="20" t="str">
        <x:v>Procesos internos</x:v>
      </x:c>
      <x:c r="J163" s="20" t="str">
        <x:v>P2. Fortalecer medición de impacto</x:v>
      </x:c>
      <x:c r="K163" s="20" t="n">
        <x:v>100</x:v>
      </x:c>
      <x:c r="L163" s="20" t="n">
        <x:v>88.9514687100894</x:v>
      </x:c>
      <x:c r="M163" s="52" t="n">
        <x:v>0.12420853135005526</x:v>
      </x:c>
      <x:c r="N163" s="20" t="str">
        <x:v>Strong improvement</x:v>
      </x:c>
      <x:c r="O163" s="20" t="str">
        <x:v>Prototype retrieval heuristic; association is not proof of causality.</x:v>
      </x:c>
      <x:c r="P163" s="20" t="str">
        <x:v>YES</x:v>
      </x:c>
    </x:row>
    <x:row r="164">
      <x:c r="A164" s="20" t="str">
        <x:v>OPS-009</x:v>
      </x:c>
      <x:c r="B164" s="20" t="str">
        <x:v>Cobertura de seguimiento nutricional con registros completos</x:v>
      </x:c>
      <x:c r="C164" s="20" t="n">
        <x:v>3</x:v>
      </x:c>
      <x:c r="D164" s="20" t="str">
        <x:v>MKT-002</x:v>
      </x:c>
      <x:c r="E164" s="20" t="str">
        <x:v>Acciones de mejora derivadas de analítica implementadas en plazo</x:v>
      </x:c>
      <x:c r="F164" s="20" t="str">
        <x:v>Same strategic objective; Same BSC perspective</x:v>
      </x:c>
      <x:c r="G164" s="20" t="n">
        <x:v>62</x:v>
      </x:c>
      <x:c r="H164" s="20" t="str">
        <x:v>Marketing y Comunicación</x:v>
      </x:c>
      <x:c r="I164" s="20" t="str">
        <x:v>Procesos internos</x:v>
      </x:c>
      <x:c r="J164" s="20" t="str">
        <x:v>P2. Fortalecer medición de impacto</x:v>
      </x:c>
      <x:c r="K164" s="20" t="n">
        <x:v>82.14285714285714</x:v>
      </x:c>
      <x:c r="L164" s="20" t="n">
        <x:v>71.67277167277167</x:v>
      </x:c>
      <x:c r="M164" s="52" t="n">
        <x:v>0.1460817717206132</x:v>
      </x:c>
      <x:c r="N164" s="20" t="str">
        <x:v>Strong improvement</x:v>
      </x:c>
      <x:c r="O164" s="20" t="str">
        <x:v>Prototype retrieval heuristic; association is not proof of causality.</x:v>
      </x:c>
      <x:c r="P164" s="20" t="str">
        <x:v>YES</x:v>
      </x:c>
    </x:row>
    <x:row r="165">
      <x:c r="A165" s="20" t="str">
        <x:v>OPS-009</x:v>
      </x:c>
      <x:c r="B165" s="20" t="str">
        <x:v>Cobertura de seguimiento nutricional con registros completos</x:v>
      </x:c>
      <x:c r="C165" s="20" t="n">
        <x:v>4</x:v>
      </x:c>
      <x:c r="D165" s="20" t="str">
        <x:v>OPS-006</x:v>
      </x:c>
      <x:c r="E165" s="20" t="str">
        <x:v>Beneficiarios que alcanzan competencia deportiva inicial</x:v>
      </x:c>
      <x:c r="F165" s="20" t="str">
        <x:v>Strategic-map adjacent objective; Same department</x:v>
      </x:c>
      <x:c r="G165" s="20" t="n">
        <x:v>67</x:v>
      </x:c>
      <x:c r="H165" s="20" t="str">
        <x:v>Operaciones</x:v>
      </x:c>
      <x:c r="I165" s="20" t="str">
        <x:v>Beneficiarios y grupos de interés</x:v>
      </x:c>
      <x:c r="J165" s="20" t="str">
        <x:v>C2. Mejorar resultados obtenidos</x:v>
      </x:c>
      <x:c r="K165" s="20" t="n">
        <x:v>72</x:v>
      </x:c>
      <x:c r="L165" s="20" t="n">
        <x:v>61.00146634501679</x:v>
      </x:c>
      <x:c r="M165" s="52" t="n">
        <x:v>0.18029949629041472</x:v>
      </x:c>
      <x:c r="N165" s="20" t="str">
        <x:v>Strong improvement</x:v>
      </x:c>
      <x:c r="O165" s="20" t="str">
        <x:v>Prototype retrieval heuristic; association is not proof of causality.</x:v>
      </x:c>
      <x:c r="P165" s="20" t="str">
        <x:v>YES</x:v>
      </x:c>
    </x:row>
    <x:row r="166">
      <x:c r="A166" s="20" t="str">
        <x:v>OPS-009</x:v>
      </x:c>
      <x:c r="B166" s="20" t="str">
        <x:v>Cobertura de seguimiento nutricional con registros completos</x:v>
      </x:c>
      <x:c r="C166" s="20" t="n">
        <x:v>5</x:v>
      </x:c>
      <x:c r="D166" s="20" t="str">
        <x:v>OPS-003</x:v>
      </x:c>
      <x:c r="E166" s="20" t="str">
        <x:v>Mejora de habilidades psicosociales</x:v>
      </x:c>
      <x:c r="F166" s="20" t="str">
        <x:v>Strategic-map adjacent objective; Same department</x:v>
      </x:c>
      <x:c r="G166" s="20" t="n">
        <x:v>65</x:v>
      </x:c>
      <x:c r="H166" s="20" t="str">
        <x:v>Operaciones</x:v>
      </x:c>
      <x:c r="I166" s="20" t="str">
        <x:v>Resultados estratégicos</x:v>
      </x:c>
      <x:c r="J166" s="20" t="str">
        <x:v>S1. Generar impacto integral y medible</x:v>
      </x:c>
      <x:c r="K166" s="20" t="n">
        <x:v>30.6</x:v>
      </x:c>
      <x:c r="L166" s="20" t="n">
        <x:v>23.3</x:v>
      </x:c>
      <x:c r="M166" s="52" t="n">
        <x:v>0.3133047210300429</x:v>
      </x:c>
      <x:c r="N166" s="20" t="str">
        <x:v>Strong improvement</x:v>
      </x:c>
      <x:c r="O166" s="20" t="str">
        <x:v>Prototype retrieval heuristic; association is not proof of causality.</x:v>
      </x:c>
      <x:c r="P166" s="20" t="str">
        <x:v>YES</x:v>
      </x:c>
    </x:row>
    <x:row r="167">
      <x:c r="A167" s="20" t="str">
        <x:v>OPS-009</x:v>
      </x:c>
      <x:c r="B167" s="20" t="str">
        <x:v>Cobertura de seguimiento nutricional con registros completos</x:v>
      </x:c>
      <x:c r="C167" s="20" t="n">
        <x:v>6</x:v>
      </x:c>
      <x:c r="D167" s="20" t="str">
        <x:v>OPS-004</x:v>
      </x:c>
      <x:c r="E167" s="20" t="str">
        <x:v>Mejora de habilidades deportivas</x:v>
      </x:c>
      <x:c r="F167" s="20" t="str">
        <x:v>Strategic-map adjacent objective; Same department</x:v>
      </x:c>
      <x:c r="G167" s="20" t="n">
        <x:v>65</x:v>
      </x:c>
      <x:c r="H167" s="20" t="str">
        <x:v>Operaciones</x:v>
      </x:c>
      <x:c r="I167" s="20" t="str">
        <x:v>Resultados estratégicos</x:v>
      </x:c>
      <x:c r="J167" s="20" t="str">
        <x:v>S1. Generar impacto integral y medible</x:v>
      </x:c>
      <x:c r="K167" s="20" t="n">
        <x:v>30.6</x:v>
      </x:c>
      <x:c r="L167" s="20" t="n">
        <x:v>23.3</x:v>
      </x:c>
      <x:c r="M167" s="52" t="n">
        <x:v>0.3133047210300429</x:v>
      </x:c>
      <x:c r="N167" s="20" t="str">
        <x:v>Strong improvement</x:v>
      </x:c>
      <x:c r="O167" s="20" t="str">
        <x:v>Prototype retrieval heuristic; association is not proof of causality.</x:v>
      </x:c>
      <x:c r="P167" s="20" t="str">
        <x:v>YES</x:v>
      </x:c>
    </x:row>
    <x:row r="168">
      <x:c r="A168" s="20" t="str">
        <x:v>OPS-009</x:v>
      </x:c>
      <x:c r="B168" s="20" t="str">
        <x:v>Cobertura de seguimiento nutricional con registros completos</x:v>
      </x:c>
      <x:c r="C168" s="20" t="n">
        <x:v>7</x:v>
      </x:c>
      <x:c r="D168" s="20" t="str">
        <x:v>OPS-005</x:v>
      </x:c>
      <x:c r="E168" s="20" t="str">
        <x:v>Incremento del tiempo de actividad física de beneficiarios</x:v>
      </x:c>
      <x:c r="F168" s="20" t="str">
        <x:v>Strategic-map adjacent objective; Same department</x:v>
      </x:c>
      <x:c r="G168" s="20" t="n">
        <x:v>65</x:v>
      </x:c>
      <x:c r="H168" s="20" t="str">
        <x:v>Operaciones</x:v>
      </x:c>
      <x:c r="I168" s="20" t="str">
        <x:v>Resultados estratégicos</x:v>
      </x:c>
      <x:c r="J168" s="20" t="str">
        <x:v>S1. Generar impacto integral y medible</x:v>
      </x:c>
      <x:c r="K168" s="20" t="n">
        <x:v>30.596330275229356</x:v>
      </x:c>
      <x:c r="L168" s="20" t="n">
        <x:v>23.29935275080906</x:v>
      </x:c>
      <x:c r="M168" s="52" t="n">
        <x:v>0.31318370095782644</x:v>
      </x:c>
      <x:c r="N168" s="20" t="str">
        <x:v>Strong improvement</x:v>
      </x:c>
      <x:c r="O168" s="20" t="str">
        <x:v>Prototype retrieval heuristic; association is not proof of causality.</x:v>
      </x:c>
      <x:c r="P168" s="20" t="str">
        <x:v>YES</x:v>
      </x:c>
    </x:row>
    <x:row r="169">
      <x:c r="A169" s="20" t="str">
        <x:v>OPS-009</x:v>
      </x:c>
      <x:c r="B169" s="20" t="str">
        <x:v>Cobertura de seguimiento nutricional con registros completos</x:v>
      </x:c>
      <x:c r="C169" s="20" t="n">
        <x:v>8</x:v>
      </x:c>
      <x:c r="D169" s="20" t="str">
        <x:v>OPS-012</x:v>
      </x:c>
      <x:c r="E169" s="20" t="str">
        <x:v>Países con plan de escalamiento de nutrición listo para 2027</x:v>
      </x:c>
      <x:c r="F169" s="20" t="str">
        <x:v>Same department; Same BSC perspective</x:v>
      </x:c>
      <x:c r="G169" s="20" t="n">
        <x:v>37</x:v>
      </x:c>
      <x:c r="H169" s="20" t="str">
        <x:v>Operaciones</x:v>
      </x:c>
      <x:c r="I169" s="20" t="str">
        <x:v>Procesos internos</x:v>
      </x:c>
      <x:c r="J169" s="20" t="str">
        <x:v>P1. Estandarizar y escalar programas</x:v>
      </x:c>
      <x:c r="K169" s="20" t="n">
        <x:v>100</x:v>
      </x:c>
      <x:c r="L169" s="20" t="n">
        <x:v>91.66666666666667</x:v>
      </x:c>
      <x:c r="M169" s="52" t="n">
        <x:v>0.09090909090909086</x:v>
      </x:c>
      <x:c r="N169" s="20" t="str">
        <x:v>Improving</x:v>
      </x:c>
      <x:c r="O169" s="20" t="str">
        <x:v>Prototype retrieval heuristic; association is not proof of causality.</x:v>
      </x:c>
      <x:c r="P169" s="20" t="str">
        <x:v>YES</x:v>
      </x:c>
    </x:row>
    <x:row r="170">
      <x:c r="A170" s="20" t="str">
        <x:v>OPS-010</x:v>
      </x:c>
      <x:c r="B170" s="20" t="str">
        <x:v>Incremento de actividad física — programa de nutrición</x:v>
      </x:c>
      <x:c r="C170" s="20" t="n">
        <x:v>1</x:v>
      </x:c>
      <x:c r="D170" s="20" t="str">
        <x:v>OPS-003</x:v>
      </x:c>
      <x:c r="E170" s="20" t="str">
        <x:v>Mejora de habilidades psicosociales</x:v>
      </x:c>
      <x:c r="F170" s="20" t="str">
        <x:v>Same strategic objective; Same department; Same BSC perspective</x:v>
      </x:c>
      <x:c r="G170" s="20" t="n">
        <x:v>87</x:v>
      </x:c>
      <x:c r="H170" s="20" t="str">
        <x:v>Operaciones</x:v>
      </x:c>
      <x:c r="I170" s="20" t="str">
        <x:v>Resultados estratégicos</x:v>
      </x:c>
      <x:c r="J170" s="20" t="str">
        <x:v>S1. Generar impacto integral y medible</x:v>
      </x:c>
      <x:c r="K170" s="20" t="n">
        <x:v>30.6</x:v>
      </x:c>
      <x:c r="L170" s="20" t="n">
        <x:v>23.3</x:v>
      </x:c>
      <x:c r="M170" s="52" t="n">
        <x:v>0.3133047210300429</x:v>
      </x:c>
      <x:c r="N170" s="20" t="str">
        <x:v>Strong improvement</x:v>
      </x:c>
      <x:c r="O170" s="20" t="str">
        <x:v>Prototype retrieval heuristic; association is not proof of causality.</x:v>
      </x:c>
      <x:c r="P170" s="20" t="str">
        <x:v>YES</x:v>
      </x:c>
    </x:row>
    <x:row r="171">
      <x:c r="A171" s="20" t="str">
        <x:v>OPS-010</x:v>
      </x:c>
      <x:c r="B171" s="20" t="str">
        <x:v>Incremento de actividad física — programa de nutrición</x:v>
      </x:c>
      <x:c r="C171" s="20" t="n">
        <x:v>2</x:v>
      </x:c>
      <x:c r="D171" s="20" t="str">
        <x:v>OPS-004</x:v>
      </x:c>
      <x:c r="E171" s="20" t="str">
        <x:v>Mejora de habilidades deportivas</x:v>
      </x:c>
      <x:c r="F171" s="20" t="str">
        <x:v>Same strategic objective; Same department; Same BSC perspective</x:v>
      </x:c>
      <x:c r="G171" s="20" t="n">
        <x:v>87</x:v>
      </x:c>
      <x:c r="H171" s="20" t="str">
        <x:v>Operaciones</x:v>
      </x:c>
      <x:c r="I171" s="20" t="str">
        <x:v>Resultados estratégicos</x:v>
      </x:c>
      <x:c r="J171" s="20" t="str">
        <x:v>S1. Generar impacto integral y medible</x:v>
      </x:c>
      <x:c r="K171" s="20" t="n">
        <x:v>30.6</x:v>
      </x:c>
      <x:c r="L171" s="20" t="n">
        <x:v>23.3</x:v>
      </x:c>
      <x:c r="M171" s="52" t="n">
        <x:v>0.3133047210300429</x:v>
      </x:c>
      <x:c r="N171" s="20" t="str">
        <x:v>Strong improvement</x:v>
      </x:c>
      <x:c r="O171" s="20" t="str">
        <x:v>Prototype retrieval heuristic; association is not proof of causality.</x:v>
      </x:c>
      <x:c r="P171" s="20" t="str">
        <x:v>YES</x:v>
      </x:c>
    </x:row>
    <x:row r="172">
      <x:c r="A172" s="20" t="str">
        <x:v>OPS-010</x:v>
      </x:c>
      <x:c r="B172" s="20" t="str">
        <x:v>Incremento de actividad física — programa de nutrición</x:v>
      </x:c>
      <x:c r="C172" s="20" t="n">
        <x:v>3</x:v>
      </x:c>
      <x:c r="D172" s="20" t="str">
        <x:v>OPS-005</x:v>
      </x:c>
      <x:c r="E172" s="20" t="str">
        <x:v>Incremento del tiempo de actividad física de beneficiarios</x:v>
      </x:c>
      <x:c r="F172" s="20" t="str">
        <x:v>Same strategic objective; Same department; Same BSC perspective</x:v>
      </x:c>
      <x:c r="G172" s="20" t="n">
        <x:v>87</x:v>
      </x:c>
      <x:c r="H172" s="20" t="str">
        <x:v>Operaciones</x:v>
      </x:c>
      <x:c r="I172" s="20" t="str">
        <x:v>Resultados estratégicos</x:v>
      </x:c>
      <x:c r="J172" s="20" t="str">
        <x:v>S1. Generar impacto integral y medible</x:v>
      </x:c>
      <x:c r="K172" s="20" t="n">
        <x:v>30.596330275229356</x:v>
      </x:c>
      <x:c r="L172" s="20" t="n">
        <x:v>23.29935275080906</x:v>
      </x:c>
      <x:c r="M172" s="52" t="n">
        <x:v>0.31318370095782644</x:v>
      </x:c>
      <x:c r="N172" s="20" t="str">
        <x:v>Strong improvement</x:v>
      </x:c>
      <x:c r="O172" s="20" t="str">
        <x:v>Prototype retrieval heuristic; association is not proof of causality.</x:v>
      </x:c>
      <x:c r="P172" s="20" t="str">
        <x:v>YES</x:v>
      </x:c>
    </x:row>
    <x:row r="173">
      <x:c r="A173" s="20" t="str">
        <x:v>OPS-010</x:v>
      </x:c>
      <x:c r="B173" s="20" t="str">
        <x:v>Incremento de actividad física — programa de nutrición</x:v>
      </x:c>
      <x:c r="C173" s="20" t="n">
        <x:v>4</x:v>
      </x:c>
      <x:c r="D173" s="20" t="str">
        <x:v>REC-C02</x:v>
      </x:c>
      <x:c r="E173" s="20" t="str">
        <x:v>Beneficiarios con mejora significativa en el outcome principal</x:v>
      </x:c>
      <x:c r="F173" s="20" t="str">
        <x:v>Strategic-map adjacent objective; Same department</x:v>
      </x:c>
      <x:c r="G173" s="20" t="n">
        <x:v>67</x:v>
      </x:c>
      <x:c r="H173" s="20" t="str">
        <x:v>Operaciones</x:v>
      </x:c>
      <x:c r="I173" s="20" t="str">
        <x:v>Beneficiarios y grupos de interés</x:v>
      </x:c>
      <x:c r="J173" s="20" t="str">
        <x:v>C2. Mejorar resultados obtenidos</x:v>
      </x:c>
      <x:c r="K173" s="20" t="n">
        <x:v>88</x:v>
      </x:c>
      <x:c r="L173" s="20" t="n">
        <x:v>74.33522539141951</x:v>
      </x:c>
      <x:c r="M173" s="52" t="n">
        <x:v>0.18382636948535852</x:v>
      </x:c>
      <x:c r="N173" s="20" t="str">
        <x:v>Strong improvement</x:v>
      </x:c>
      <x:c r="O173" s="20" t="str">
        <x:v>Prototype retrieval heuristic; association is not proof of causality.</x:v>
      </x:c>
      <x:c r="P173" s="20" t="str">
        <x:v>YES</x:v>
      </x:c>
    </x:row>
    <x:row r="174">
      <x:c r="A174" s="20" t="str">
        <x:v>OPS-010</x:v>
      </x:c>
      <x:c r="B174" s="20" t="str">
        <x:v>Incremento de actividad física — programa de nutrición</x:v>
      </x:c>
      <x:c r="C174" s="20" t="n">
        <x:v>5</x:v>
      </x:c>
      <x:c r="D174" s="20" t="str">
        <x:v>OPS-002</x:v>
      </x:c>
      <x:c r="E174" s="20" t="str">
        <x:v>Asistencia regular de beneficiarios</x:v>
      </x:c>
      <x:c r="F174" s="20" t="str">
        <x:v>Strategic-map adjacent objective; Same department</x:v>
      </x:c>
      <x:c r="G174" s="20" t="n">
        <x:v>65</x:v>
      </x:c>
      <x:c r="H174" s="20" t="str">
        <x:v>Operaciones</x:v>
      </x:c>
      <x:c r="I174" s="20" t="str">
        <x:v>Beneficiarios y grupos de interés</x:v>
      </x:c>
      <x:c r="J174" s="20" t="str">
        <x:v>C1. Incrementar alcance y acceso</x:v>
      </x:c>
      <x:c r="K174" s="20" t="n">
        <x:v>81.95555555555556</x:v>
      </x:c>
      <x:c r="L174" s="20" t="n">
        <x:v>70.98183624237264</x:v>
      </x:c>
      <x:c r="M174" s="52" t="n">
        <x:v>0.15459897762735192</x:v>
      </x:c>
      <x:c r="N174" s="20" t="str">
        <x:v>Strong improvement</x:v>
      </x:c>
      <x:c r="O174" s="20" t="str">
        <x:v>Prototype retrieval heuristic; association is not proof of causality.</x:v>
      </x:c>
      <x:c r="P174" s="20" t="str">
        <x:v>YES</x:v>
      </x:c>
    </x:row>
    <x:row r="175">
      <x:c r="A175" s="20" t="str">
        <x:v>OPS-010</x:v>
      </x:c>
      <x:c r="B175" s="20" t="str">
        <x:v>Incremento de actividad física — programa de nutrición</x:v>
      </x:c>
      <x:c r="C175" s="20" t="n">
        <x:v>6</x:v>
      </x:c>
      <x:c r="D175" s="20" t="str">
        <x:v>OPS-010B</x:v>
      </x:c>
      <x:c r="E175" s="20" t="str">
        <x:v>Cobertura de acceso al suplemento nutricional</x:v>
      </x:c>
      <x:c r="F175" s="20" t="str">
        <x:v>Same strategic objective; Same department; Same BSC perspective</x:v>
      </x:c>
      <x:c r="G175" s="20" t="n">
        <x:v>87</x:v>
      </x:c>
      <x:c r="H175" s="20" t="str">
        <x:v>Operaciones</x:v>
      </x:c>
      <x:c r="I175" s="20" t="str">
        <x:v>Resultados estratégicos</x:v>
      </x:c>
      <x:c r="J175" s="20" t="str">
        <x:v>S1. Generar impacto integral y medible</x:v>
      </x:c>
      <x:c r="K175" s="20" t="n">
        <x:v>100</x:v>
      </x:c>
      <x:c r="L175" s="20" t="n">
        <x:v>88.9514687100894</x:v>
      </x:c>
      <x:c r="M175" s="52" t="n">
        <x:v>0.12420853135005526</x:v>
      </x:c>
      <x:c r="N175" s="20" t="str">
        <x:v>Strong improvement</x:v>
      </x:c>
      <x:c r="O175" s="20" t="str">
        <x:v>Prototype retrieval heuristic; association is not proof of causality.</x:v>
      </x:c>
      <x:c r="P175" s="20" t="str">
        <x:v>YES</x:v>
      </x:c>
    </x:row>
    <x:row r="176">
      <x:c r="A176" s="20" t="str">
        <x:v>OPS-010</x:v>
      </x:c>
      <x:c r="B176" s="20" t="str">
        <x:v>Incremento de actividad física — programa de nutrición</x:v>
      </x:c>
      <x:c r="C176" s="20" t="n">
        <x:v>7</x:v>
      </x:c>
      <x:c r="D176" s="20" t="str">
        <x:v>OPS-006</x:v>
      </x:c>
      <x:c r="E176" s="20" t="str">
        <x:v>Beneficiarios que alcanzan competencia deportiva inicial</x:v>
      </x:c>
      <x:c r="F176" s="20" t="str">
        <x:v>Strategic-map adjacent objective; Same department</x:v>
      </x:c>
      <x:c r="G176" s="20" t="n">
        <x:v>65</x:v>
      </x:c>
      <x:c r="H176" s="20" t="str">
        <x:v>Operaciones</x:v>
      </x:c>
      <x:c r="I176" s="20" t="str">
        <x:v>Beneficiarios y grupos de interés</x:v>
      </x:c>
      <x:c r="J176" s="20" t="str">
        <x:v>C2. Mejorar resultados obtenidos</x:v>
      </x:c>
      <x:c r="K176" s="20" t="n">
        <x:v>72</x:v>
      </x:c>
      <x:c r="L176" s="20" t="n">
        <x:v>61.00146634501679</x:v>
      </x:c>
      <x:c r="M176" s="52" t="n">
        <x:v>0.18029949629041472</x:v>
      </x:c>
      <x:c r="N176" s="20" t="str">
        <x:v>Strong improvement</x:v>
      </x:c>
      <x:c r="O176" s="20" t="str">
        <x:v>Prototype retrieval heuristic; association is not proof of causality.</x:v>
      </x:c>
      <x:c r="P176" s="20" t="str">
        <x:v>YES</x:v>
      </x:c>
    </x:row>
    <x:row r="177">
      <x:c r="A177" s="20" t="str">
        <x:v>OPS-010</x:v>
      </x:c>
      <x:c r="B177" s="20" t="str">
        <x:v>Incremento de actividad física — programa de nutrición</x:v>
      </x:c>
      <x:c r="C177" s="20" t="n">
        <x:v>8</x:v>
      </x:c>
      <x:c r="D177" s="20" t="str">
        <x:v>REC-S01</x:v>
      </x:c>
      <x:c r="E177" s="20" t="str">
        <x:v>Programas que alcanzan su meta principal de impacto</x:v>
      </x:c>
      <x:c r="F177" s="20" t="str">
        <x:v>Same strategic objective; Same BSC perspective</x:v>
      </x:c>
      <x:c r="G177" s="20" t="n">
        <x:v>62</x:v>
      </x:c>
      <x:c r="H177" s="20" t="str">
        <x:v>Dirección + Operaciones</x:v>
      </x:c>
      <x:c r="I177" s="20" t="str">
        <x:v>Resultados estratégicos</x:v>
      </x:c>
      <x:c r="J177" s="20" t="str">
        <x:v>S1. Generar impacto integral y medible</x:v>
      </x:c>
      <x:c r="K177" s="20" t="n">
        <x:v>93.33333333333333</x:v>
      </x:c>
      <x:c r="L177" s="20" t="n">
        <x:v>81.77655677655677</x:v>
      </x:c>
      <x:c r="M177" s="52" t="n">
        <x:v>0.14132138857782753</x:v>
      </x:c>
      <x:c r="N177" s="20" t="str">
        <x:v>Strong improvement</x:v>
      </x:c>
      <x:c r="O177" s="20" t="str">
        <x:v>Prototype retrieval heuristic; association is not proof of causality.</x:v>
      </x:c>
      <x:c r="P177" s="20" t="str">
        <x:v>YES</x:v>
      </x:c>
    </x:row>
    <x:row r="178">
      <x:c r="A178" s="20" t="str">
        <x:v>OPS-012</x:v>
      </x:c>
      <x:c r="B178" s="20" t="str">
        <x:v>Países con plan de escalamiento de nutrición listo para 2027</x:v>
      </x:c>
      <x:c r="C178" s="20" t="n">
        <x:v>1</x:v>
      </x:c>
      <x:c r="D178" s="20" t="str">
        <x:v>REC-P01</x:v>
      </x:c>
      <x:c r="E178" s="20" t="str">
        <x:v>Programas ejecutados conforme al plan</x:v>
      </x:c>
      <x:c r="F178" s="20" t="str">
        <x:v>Same strategic objective; Same department; Same BSC perspective</x:v>
      </x:c>
      <x:c r="G178" s="20" t="n">
        <x:v>85</x:v>
      </x:c>
      <x:c r="H178" s="20" t="str">
        <x:v>Operaciones</x:v>
      </x:c>
      <x:c r="I178" s="20" t="str">
        <x:v>Procesos internos</x:v>
      </x:c>
      <x:c r="J178" s="20" t="str">
        <x:v>P1. Estandarizar y escalar programas</x:v>
      </x:c>
      <x:c r="K178" s="20" t="n">
        <x:v>93.33333333333333</x:v>
      </x:c>
      <x:c r="L178" s="20" t="n">
        <x:v>81.77655677655677</x:v>
      </x:c>
      <x:c r="M178" s="52" t="n">
        <x:v>0.14132138857782753</x:v>
      </x:c>
      <x:c r="N178" s="20" t="str">
        <x:v>Strong improvement</x:v>
      </x:c>
      <x:c r="O178" s="20" t="str">
        <x:v>Prototype retrieval heuristic; association is not proof of causality.</x:v>
      </x:c>
      <x:c r="P178" s="20" t="str">
        <x:v>YES</x:v>
      </x:c>
    </x:row>
    <x:row r="179">
      <x:c r="A179" s="20" t="str">
        <x:v>OPS-012</x:v>
      </x:c>
      <x:c r="B179" s="20" t="str">
        <x:v>Países con plan de escalamiento de nutrición listo para 2027</x:v>
      </x:c>
      <x:c r="C179" s="20" t="n">
        <x:v>2</x:v>
      </x:c>
      <x:c r="D179" s="20" t="str">
        <x:v>OPS-002</x:v>
      </x:c>
      <x:c r="E179" s="20" t="str">
        <x:v>Asistencia regular de beneficiarios</x:v>
      </x:c>
      <x:c r="F179" s="20" t="str">
        <x:v>Strategic-map adjacent objective; Same department</x:v>
      </x:c>
      <x:c r="G179" s="20" t="n">
        <x:v>67</x:v>
      </x:c>
      <x:c r="H179" s="20" t="str">
        <x:v>Operaciones</x:v>
      </x:c>
      <x:c r="I179" s="20" t="str">
        <x:v>Beneficiarios y grupos de interés</x:v>
      </x:c>
      <x:c r="J179" s="20" t="str">
        <x:v>C1. Incrementar alcance y acceso</x:v>
      </x:c>
      <x:c r="K179" s="20" t="n">
        <x:v>81.95555555555556</x:v>
      </x:c>
      <x:c r="L179" s="20" t="n">
        <x:v>70.98183624237264</x:v>
      </x:c>
      <x:c r="M179" s="52" t="n">
        <x:v>0.15459897762735192</x:v>
      </x:c>
      <x:c r="N179" s="20" t="str">
        <x:v>Strong improvement</x:v>
      </x:c>
      <x:c r="O179" s="20" t="str">
        <x:v>Prototype retrieval heuristic; association is not proof of causality.</x:v>
      </x:c>
      <x:c r="P179" s="20" t="str">
        <x:v>YES</x:v>
      </x:c>
    </x:row>
    <x:row r="180">
      <x:c r="A180" s="20" t="str">
        <x:v>OPS-012</x:v>
      </x:c>
      <x:c r="B180" s="20" t="str">
        <x:v>Países con plan de escalamiento de nutrición listo para 2027</x:v>
      </x:c>
      <x:c r="C180" s="20" t="n">
        <x:v>3</x:v>
      </x:c>
      <x:c r="D180" s="20" t="str">
        <x:v>OPS-006</x:v>
      </x:c>
      <x:c r="E180" s="20" t="str">
        <x:v>Beneficiarios que alcanzan competencia deportiva inicial</x:v>
      </x:c>
      <x:c r="F180" s="20" t="str">
        <x:v>Strategic-map adjacent objective; Same department</x:v>
      </x:c>
      <x:c r="G180" s="20" t="n">
        <x:v>67</x:v>
      </x:c>
      <x:c r="H180" s="20" t="str">
        <x:v>Operaciones</x:v>
      </x:c>
      <x:c r="I180" s="20" t="str">
        <x:v>Beneficiarios y grupos de interés</x:v>
      </x:c>
      <x:c r="J180" s="20" t="str">
        <x:v>C2. Mejorar resultados obtenidos</x:v>
      </x:c>
      <x:c r="K180" s="20" t="n">
        <x:v>72</x:v>
      </x:c>
      <x:c r="L180" s="20" t="n">
        <x:v>61.00146634501679</x:v>
      </x:c>
      <x:c r="M180" s="52" t="n">
        <x:v>0.18029949629041472</x:v>
      </x:c>
      <x:c r="N180" s="20" t="str">
        <x:v>Strong improvement</x:v>
      </x:c>
      <x:c r="O180" s="20" t="str">
        <x:v>Prototype retrieval heuristic; association is not proof of causality.</x:v>
      </x:c>
      <x:c r="P180" s="20" t="str">
        <x:v>YES</x:v>
      </x:c>
    </x:row>
    <x:row r="181">
      <x:c r="A181" s="20" t="str">
        <x:v>OPS-012</x:v>
      </x:c>
      <x:c r="B181" s="20" t="str">
        <x:v>Países con plan de escalamiento de nutrición listo para 2027</x:v>
      </x:c>
      <x:c r="C181" s="20" t="n">
        <x:v>4</x:v>
      </x:c>
      <x:c r="D181" s="20" t="str">
        <x:v>OPS-008</x:v>
      </x:c>
      <x:c r="E181" s="20" t="str">
        <x:v>Cobertura del piloto de nutrición infantil</x:v>
      </x:c>
      <x:c r="F181" s="20" t="str">
        <x:v>Strategic-map adjacent objective; Same department</x:v>
      </x:c>
      <x:c r="G181" s="20" t="n">
        <x:v>67</x:v>
      </x:c>
      <x:c r="H181" s="20" t="str">
        <x:v>Operaciones</x:v>
      </x:c>
      <x:c r="I181" s="20" t="str">
        <x:v>Beneficiarios y grupos de interés</x:v>
      </x:c>
      <x:c r="J181" s="20" t="str">
        <x:v>C1. Incrementar alcance y acceso</x:v>
      </x:c>
      <x:c r="K181" s="20" t="n">
        <x:v>100</x:v>
      </x:c>
      <x:c r="L181" s="20" t="n">
        <x:v>88.9514687100894</x:v>
      </x:c>
      <x:c r="M181" s="52" t="n">
        <x:v>0.12420853135005526</x:v>
      </x:c>
      <x:c r="N181" s="20" t="str">
        <x:v>Strong improvement</x:v>
      </x:c>
      <x:c r="O181" s="20" t="str">
        <x:v>Prototype retrieval heuristic; association is not proof of causality.</x:v>
      </x:c>
      <x:c r="P181" s="20" t="str">
        <x:v>YES</x:v>
      </x:c>
    </x:row>
    <x:row r="182">
      <x:c r="A182" s="20" t="str">
        <x:v>OPS-012</x:v>
      </x:c>
      <x:c r="B182" s="20" t="str">
        <x:v>Países con plan de escalamiento de nutrición listo para 2027</x:v>
      </x:c>
      <x:c r="C182" s="20" t="n">
        <x:v>5</x:v>
      </x:c>
      <x:c r="D182" s="20" t="str">
        <x:v>OPS-013</x:v>
      </x:c>
      <x:c r="E182" s="20" t="str">
        <x:v>Cumplimiento de cobertura — Sueña Chivas Estadio</x:v>
      </x:c>
      <x:c r="F182" s="20" t="str">
        <x:v>Strategic-map adjacent objective; Same department</x:v>
      </x:c>
      <x:c r="G182" s="20" t="n">
        <x:v>67</x:v>
      </x:c>
      <x:c r="H182" s="20" t="str">
        <x:v>Operaciones</x:v>
      </x:c>
      <x:c r="I182" s="20" t="str">
        <x:v>Beneficiarios y grupos de interés</x:v>
      </x:c>
      <x:c r="J182" s="20" t="str">
        <x:v>C1. Incrementar alcance y acceso</x:v>
      </x:c>
      <x:c r="K182" s="20" t="n">
        <x:v>100</x:v>
      </x:c>
      <x:c r="L182" s="20" t="n">
        <x:v>88.9514687100894</x:v>
      </x:c>
      <x:c r="M182" s="52" t="n">
        <x:v>0.12420853135005526</x:v>
      </x:c>
      <x:c r="N182" s="20" t="str">
        <x:v>Strong improvement</x:v>
      </x:c>
      <x:c r="O182" s="20" t="str">
        <x:v>Prototype retrieval heuristic; association is not proof of causality.</x:v>
      </x:c>
      <x:c r="P182" s="20" t="str">
        <x:v>YES</x:v>
      </x:c>
    </x:row>
    <x:row r="183">
      <x:c r="A183" s="20" t="str">
        <x:v>OPS-012</x:v>
      </x:c>
      <x:c r="B183" s="20" t="str">
        <x:v>Países con plan de escalamiento de nutrición listo para 2027</x:v>
      </x:c>
      <x:c r="C183" s="20" t="n">
        <x:v>6</x:v>
      </x:c>
      <x:c r="D183" s="20" t="str">
        <x:v>OPS-009</x:v>
      </x:c>
      <x:c r="E183" s="20" t="str">
        <x:v>Cobertura de seguimiento nutricional con registros completos</x:v>
      </x:c>
      <x:c r="F183" s="20" t="str">
        <x:v>Same department; Same BSC perspective</x:v>
      </x:c>
      <x:c r="G183" s="20" t="n">
        <x:v>37</x:v>
      </x:c>
      <x:c r="H183" s="20" t="str">
        <x:v>Operaciones</x:v>
      </x:c>
      <x:c r="I183" s="20" t="str">
        <x:v>Procesos internos</x:v>
      </x:c>
      <x:c r="J183" s="20" t="str">
        <x:v>P2. Fortalecer medición de impacto</x:v>
      </x:c>
      <x:c r="K183" s="20" t="n">
        <x:v>96</x:v>
      </x:c>
      <x:c r="L183" s="20" t="n">
        <x:v>84.01745423584504</x:v>
      </x:c>
      <x:c r="M183" s="52" t="n">
        <x:v>0.14261971959444059</x:v>
      </x:c>
      <x:c r="N183" s="20" t="str">
        <x:v>Strong improvement</x:v>
      </x:c>
      <x:c r="O183" s="20" t="str">
        <x:v>Prototype retrieval heuristic; association is not proof of causality.</x:v>
      </x:c>
      <x:c r="P183" s="20" t="str">
        <x:v>YES</x:v>
      </x:c>
    </x:row>
    <x:row r="184">
      <x:c r="A184" s="20" t="str">
        <x:v>OPS-012</x:v>
      </x:c>
      <x:c r="B184" s="20" t="str">
        <x:v>Países con plan de escalamiento de nutrición listo para 2027</x:v>
      </x:c>
      <x:c r="C184" s="20" t="n">
        <x:v>7</x:v>
      </x:c>
      <x:c r="D184" s="20" t="str">
        <x:v>OPS-014</x:v>
      </x:c>
      <x:c r="E184" s="20" t="str">
        <x:v>Cumplimiento de cobertura — Sueña Chivas Tour</x:v>
      </x:c>
      <x:c r="F184" s="20" t="str">
        <x:v>Strategic-map adjacent objective; Same department</x:v>
      </x:c>
      <x:c r="G184" s="20" t="n">
        <x:v>67</x:v>
      </x:c>
      <x:c r="H184" s="20" t="str">
        <x:v>Operaciones</x:v>
      </x:c>
      <x:c r="I184" s="20" t="str">
        <x:v>Beneficiarios y grupos de interés</x:v>
      </x:c>
      <x:c r="J184" s="20" t="str">
        <x:v>C1. Incrementar alcance y acceso</x:v>
      </x:c>
      <x:c r="K184" s="20" t="n">
        <x:v>100</x:v>
      </x:c>
      <x:c r="L184" s="20" t="n">
        <x:v>88.9514687100894</x:v>
      </x:c>
      <x:c r="M184" s="52" t="n">
        <x:v>0.12420853135005526</x:v>
      </x:c>
      <x:c r="N184" s="20" t="str">
        <x:v>Strong improvement</x:v>
      </x:c>
      <x:c r="O184" s="20" t="str">
        <x:v>Prototype retrieval heuristic; association is not proof of causality.</x:v>
      </x:c>
      <x:c r="P184" s="20" t="str">
        <x:v>YES</x:v>
      </x:c>
    </x:row>
    <x:row r="185">
      <x:c r="A185" s="20" t="str">
        <x:v>OPS-012</x:v>
      </x:c>
      <x:c r="B185" s="20" t="str">
        <x:v>Países con plan de escalamiento de nutrición listo para 2027</x:v>
      </x:c>
      <x:c r="C185" s="20" t="n">
        <x:v>8</x:v>
      </x:c>
      <x:c r="D185" s="20" t="str">
        <x:v>OPS-015</x:v>
      </x:c>
      <x:c r="E185" s="20" t="str">
        <x:v>Sueña Chivas Individuales completados</x:v>
      </x:c>
      <x:c r="F185" s="20" t="str">
        <x:v>Strategic-map adjacent objective; Same department</x:v>
      </x:c>
      <x:c r="G185" s="20" t="n">
        <x:v>67</x:v>
      </x:c>
      <x:c r="H185" s="20" t="str">
        <x:v>Operaciones</x:v>
      </x:c>
      <x:c r="I185" s="20" t="str">
        <x:v>Beneficiarios y grupos de interés</x:v>
      </x:c>
      <x:c r="J185" s="20" t="str">
        <x:v>C1. Incrementar alcance y acceso</x:v>
      </x:c>
      <x:c r="K185" s="20" t="n">
        <x:v>12</x:v>
      </x:c>
      <x:c r="L185" s="20" t="n">
        <x:v>9.333333333333334</x:v>
      </x:c>
      <x:c r="M185" s="52" t="n">
        <x:v>0.28571428571428564</x:v>
      </x:c>
      <x:c r="N185" s="20" t="str">
        <x:v>Strong improvement</x:v>
      </x:c>
      <x:c r="O185" s="20" t="str">
        <x:v>Prototype retrieval heuristic; association is not proof of causality.</x:v>
      </x:c>
      <x:c r="P185" s="20" t="str">
        <x:v>YES</x:v>
      </x:c>
    </x:row>
    <x:row r="186">
      <x:c r="A186" s="20" t="str">
        <x:v>OPS-013</x:v>
      </x:c>
      <x:c r="B186" s="20" t="str">
        <x:v>Cumplimiento de cobertura — Sueña Chivas Estadio</x:v>
      </x:c>
      <x:c r="C186" s="20" t="n">
        <x:v>1</x:v>
      </x:c>
      <x:c r="D186" s="20" t="str">
        <x:v>OPS-002</x:v>
      </x:c>
      <x:c r="E186" s="20" t="str">
        <x:v>Asistencia regular de beneficiarios</x:v>
      </x:c>
      <x:c r="F186" s="20" t="str">
        <x:v>Same strategic objective; Same department; Same BSC perspective</x:v>
      </x:c>
      <x:c r="G186" s="20" t="n">
        <x:v>87</x:v>
      </x:c>
      <x:c r="H186" s="20" t="str">
        <x:v>Operaciones</x:v>
      </x:c>
      <x:c r="I186" s="20" t="str">
        <x:v>Beneficiarios y grupos de interés</x:v>
      </x:c>
      <x:c r="J186" s="20" t="str">
        <x:v>C1. Incrementar alcance y acceso</x:v>
      </x:c>
      <x:c r="K186" s="20" t="n">
        <x:v>81.95555555555556</x:v>
      </x:c>
      <x:c r="L186" s="20" t="n">
        <x:v>70.98183624237264</x:v>
      </x:c>
      <x:c r="M186" s="52" t="n">
        <x:v>0.15459897762735192</x:v>
      </x:c>
      <x:c r="N186" s="20" t="str">
        <x:v>Strong improvement</x:v>
      </x:c>
      <x:c r="O186" s="20" t="str">
        <x:v>Prototype retrieval heuristic; association is not proof of causality.</x:v>
      </x:c>
      <x:c r="P186" s="20" t="str">
        <x:v>YES</x:v>
      </x:c>
    </x:row>
    <x:row r="187">
      <x:c r="A187" s="20" t="str">
        <x:v>OPS-013</x:v>
      </x:c>
      <x:c r="B187" s="20" t="str">
        <x:v>Cumplimiento de cobertura — Sueña Chivas Estadio</x:v>
      </x:c>
      <x:c r="C187" s="20" t="n">
        <x:v>2</x:v>
      </x:c>
      <x:c r="D187" s="20" t="str">
        <x:v>OPS-008</x:v>
      </x:c>
      <x:c r="E187" s="20" t="str">
        <x:v>Cobertura del piloto de nutrición infantil</x:v>
      </x:c>
      <x:c r="F187" s="20" t="str">
        <x:v>Same strategic objective; Same department; Same BSC perspective</x:v>
      </x:c>
      <x:c r="G187" s="20" t="n">
        <x:v>87</x:v>
      </x:c>
      <x:c r="H187" s="20" t="str">
        <x:v>Operaciones</x:v>
      </x:c>
      <x:c r="I187" s="20" t="str">
        <x:v>Beneficiarios y grupos de interés</x:v>
      </x:c>
      <x:c r="J187" s="20" t="str">
        <x:v>C1. Incrementar alcance y acceso</x:v>
      </x:c>
      <x:c r="K187" s="20" t="n">
        <x:v>100</x:v>
      </x:c>
      <x:c r="L187" s="20" t="n">
        <x:v>88.9514687100894</x:v>
      </x:c>
      <x:c r="M187" s="52" t="n">
        <x:v>0.12420853135005526</x:v>
      </x:c>
      <x:c r="N187" s="20" t="str">
        <x:v>Strong improvement</x:v>
      </x:c>
      <x:c r="O187" s="20" t="str">
        <x:v>Prototype retrieval heuristic; association is not proof of causality.</x:v>
      </x:c>
      <x:c r="P187" s="20" t="str">
        <x:v>YES</x:v>
      </x:c>
    </x:row>
    <x:row r="188">
      <x:c r="A188" s="20" t="str">
        <x:v>OPS-013</x:v>
      </x:c>
      <x:c r="B188" s="20" t="str">
        <x:v>Cumplimiento de cobertura — Sueña Chivas Estadio</x:v>
      </x:c>
      <x:c r="C188" s="20" t="n">
        <x:v>3</x:v>
      </x:c>
      <x:c r="D188" s="20" t="str">
        <x:v>OPS-014</x:v>
      </x:c>
      <x:c r="E188" s="20" t="str">
        <x:v>Cumplimiento de cobertura — Sueña Chivas Tour</x:v>
      </x:c>
      <x:c r="F188" s="20" t="str">
        <x:v>Same strategic objective; Same department; Same BSC perspective</x:v>
      </x:c>
      <x:c r="G188" s="20" t="n">
        <x:v>87</x:v>
      </x:c>
      <x:c r="H188" s="20" t="str">
        <x:v>Operaciones</x:v>
      </x:c>
      <x:c r="I188" s="20" t="str">
        <x:v>Beneficiarios y grupos de interés</x:v>
      </x:c>
      <x:c r="J188" s="20" t="str">
        <x:v>C1. Incrementar alcance y acceso</x:v>
      </x:c>
      <x:c r="K188" s="20" t="n">
        <x:v>100</x:v>
      </x:c>
      <x:c r="L188" s="20" t="n">
        <x:v>88.9514687100894</x:v>
      </x:c>
      <x:c r="M188" s="52" t="n">
        <x:v>0.12420853135005526</x:v>
      </x:c>
      <x:c r="N188" s="20" t="str">
        <x:v>Strong improvement</x:v>
      </x:c>
      <x:c r="O188" s="20" t="str">
        <x:v>Prototype retrieval heuristic; association is not proof of causality.</x:v>
      </x:c>
      <x:c r="P188" s="20" t="str">
        <x:v>YES</x:v>
      </x:c>
    </x:row>
    <x:row r="189">
      <x:c r="A189" s="20" t="str">
        <x:v>OPS-013</x:v>
      </x:c>
      <x:c r="B189" s="20" t="str">
        <x:v>Cumplimiento de cobertura — Sueña Chivas Estadio</x:v>
      </x:c>
      <x:c r="C189" s="20" t="n">
        <x:v>4</x:v>
      </x:c>
      <x:c r="D189" s="20" t="str">
        <x:v>OPS-012</x:v>
      </x:c>
      <x:c r="E189" s="20" t="str">
        <x:v>Países con plan de escalamiento de nutrición listo para 2027</x:v>
      </x:c>
      <x:c r="F189" s="20" t="str">
        <x:v>Strategic-map adjacent objective; Same department</x:v>
      </x:c>
      <x:c r="G189" s="20" t="n">
        <x:v>67</x:v>
      </x:c>
      <x:c r="H189" s="20" t="str">
        <x:v>Operaciones</x:v>
      </x:c>
      <x:c r="I189" s="20" t="str">
        <x:v>Procesos internos</x:v>
      </x:c>
      <x:c r="J189" s="20" t="str">
        <x:v>P1. Estandarizar y escalar programas</x:v>
      </x:c>
      <x:c r="K189" s="20" t="n">
        <x:v>100</x:v>
      </x:c>
      <x:c r="L189" s="20" t="n">
        <x:v>91.66666666666667</x:v>
      </x:c>
      <x:c r="M189" s="52" t="n">
        <x:v>0.09090909090909086</x:v>
      </x:c>
      <x:c r="N189" s="20" t="str">
        <x:v>Improving</x:v>
      </x:c>
      <x:c r="O189" s="20" t="str">
        <x:v>Prototype retrieval heuristic; association is not proof of causality.</x:v>
      </x:c>
      <x:c r="P189" s="20" t="str">
        <x:v>YES</x:v>
      </x:c>
    </x:row>
    <x:row r="190">
      <x:c r="A190" s="20" t="str">
        <x:v>OPS-013</x:v>
      </x:c>
      <x:c r="B190" s="20" t="str">
        <x:v>Cumplimiento de cobertura — Sueña Chivas Estadio</x:v>
      </x:c>
      <x:c r="C190" s="20" t="n">
        <x:v>5</x:v>
      </x:c>
      <x:c r="D190" s="20" t="str">
        <x:v>OPS-001</x:v>
      </x:c>
      <x:c r="E190" s="20" t="str">
        <x:v>Países con operación programática activa según modelo definido</x:v>
      </x:c>
      <x:c r="F190" s="20" t="str">
        <x:v>Strategic-map adjacent objective; Same department</x:v>
      </x:c>
      <x:c r="G190" s="20" t="n">
        <x:v>65</x:v>
      </x:c>
      <x:c r="H190" s="20" t="str">
        <x:v>Operaciones</x:v>
      </x:c>
      <x:c r="I190" s="20" t="str">
        <x:v>Resultados estratégicos</x:v>
      </x:c>
      <x:c r="J190" s="20" t="str">
        <x:v>S2. Ampliar alcance geográfico y poblacional</x:v>
      </x:c>
      <x:c r="K190" s="20" t="n">
        <x:v>4</x:v>
      </x:c>
      <x:c r="L190" s="20" t="n">
        <x:v>2.6666666666666665</x:v>
      </x:c>
      <x:c r="M190" s="52" t="n">
        <x:v>0.5000000000000001</x:v>
      </x:c>
      <x:c r="N190" s="20" t="str">
        <x:v>Strong improvement</x:v>
      </x:c>
      <x:c r="O190" s="20" t="str">
        <x:v>Prototype retrieval heuristic; association is not proof of causality.</x:v>
      </x:c>
      <x:c r="P190" s="20" t="str">
        <x:v>YES</x:v>
      </x:c>
    </x:row>
    <x:row r="191">
      <x:c r="A191" s="20" t="str">
        <x:v>OPS-013</x:v>
      </x:c>
      <x:c r="B191" s="20" t="str">
        <x:v>Cumplimiento de cobertura — Sueña Chivas Estadio</x:v>
      </x:c>
      <x:c r="C191" s="20" t="n">
        <x:v>6</x:v>
      </x:c>
      <x:c r="D191" s="20" t="str">
        <x:v>OPS-015</x:v>
      </x:c>
      <x:c r="E191" s="20" t="str">
        <x:v>Sueña Chivas Individuales completados</x:v>
      </x:c>
      <x:c r="F191" s="20" t="str">
        <x:v>Same strategic objective; Same department; Same BSC perspective</x:v>
      </x:c>
      <x:c r="G191" s="20" t="n">
        <x:v>87</x:v>
      </x:c>
      <x:c r="H191" s="20" t="str">
        <x:v>Operaciones</x:v>
      </x:c>
      <x:c r="I191" s="20" t="str">
        <x:v>Beneficiarios y grupos de interés</x:v>
      </x:c>
      <x:c r="J191" s="20" t="str">
        <x:v>C1. Incrementar alcance y acceso</x:v>
      </x:c>
      <x:c r="K191" s="20" t="n">
        <x:v>12</x:v>
      </x:c>
      <x:c r="L191" s="20" t="n">
        <x:v>9.333333333333334</x:v>
      </x:c>
      <x:c r="M191" s="52" t="n">
        <x:v>0.28571428571428564</x:v>
      </x:c>
      <x:c r="N191" s="20" t="str">
        <x:v>Strong improvement</x:v>
      </x:c>
      <x:c r="O191" s="20" t="str">
        <x:v>Prototype retrieval heuristic; association is not proof of causality.</x:v>
      </x:c>
      <x:c r="P191" s="20" t="str">
        <x:v>YES</x:v>
      </x:c>
    </x:row>
    <x:row r="192">
      <x:c r="A192" s="20" t="str">
        <x:v>OPS-013</x:v>
      </x:c>
      <x:c r="B192" s="20" t="str">
        <x:v>Cumplimiento de cobertura — Sueña Chivas Estadio</x:v>
      </x:c>
      <x:c r="C192" s="20" t="n">
        <x:v>7</x:v>
      </x:c>
      <x:c r="D192" s="20" t="str">
        <x:v>REC-C01</x:v>
      </x:c>
      <x:c r="E192" s="20" t="str">
        <x:v>Tasa de finalización/retención de participantes</x:v>
      </x:c>
      <x:c r="F192" s="20" t="str">
        <x:v>Same strategic objective; Same department; Same BSC perspective</x:v>
      </x:c>
      <x:c r="G192" s="20" t="n">
        <x:v>85</x:v>
      </x:c>
      <x:c r="H192" s="20" t="str">
        <x:v>Operaciones</x:v>
      </x:c>
      <x:c r="I192" s="20" t="str">
        <x:v>Beneficiarios y grupos de interés</x:v>
      </x:c>
      <x:c r="J192" s="20" t="str">
        <x:v>C1. Incrementar alcance y acceso</x:v>
      </x:c>
      <x:c r="K192" s="20" t="n">
        <x:v>87.02222222222223</x:v>
      </x:c>
      <x:c r="L192" s="20" t="n">
        <x:v>76.02109644766095</x:v>
      </x:c>
      <x:c r="M192" s="52" t="n">
        <x:v>0.14471148521430935</x:v>
      </x:c>
      <x:c r="N192" s="20" t="str">
        <x:v>Strong improvement</x:v>
      </x:c>
      <x:c r="O192" s="20" t="str">
        <x:v>Prototype retrieval heuristic; association is not proof of causality.</x:v>
      </x:c>
      <x:c r="P192" s="20" t="str">
        <x:v>YES</x:v>
      </x:c>
    </x:row>
    <x:row r="193">
      <x:c r="A193" s="20" t="str">
        <x:v>OPS-013</x:v>
      </x:c>
      <x:c r="B193" s="20" t="str">
        <x:v>Cumplimiento de cobertura — Sueña Chivas Estadio</x:v>
      </x:c>
      <x:c r="C193" s="20" t="n">
        <x:v>8</x:v>
      </x:c>
      <x:c r="D193" s="20" t="str">
        <x:v>OPS-006</x:v>
      </x:c>
      <x:c r="E193" s="20" t="str">
        <x:v>Beneficiarios que alcanzan competencia deportiva inicial</x:v>
      </x:c>
      <x:c r="F193" s="20" t="str">
        <x:v>Same department; Same BSC perspective</x:v>
      </x:c>
      <x:c r="G193" s="20" t="n">
        <x:v>37</x:v>
      </x:c>
      <x:c r="H193" s="20" t="str">
        <x:v>Operaciones</x:v>
      </x:c>
      <x:c r="I193" s="20" t="str">
        <x:v>Beneficiarios y grupos de interés</x:v>
      </x:c>
      <x:c r="J193" s="20" t="str">
        <x:v>C2. Mejorar resultados obtenidos</x:v>
      </x:c>
      <x:c r="K193" s="20" t="n">
        <x:v>72</x:v>
      </x:c>
      <x:c r="L193" s="20" t="n">
        <x:v>61.00146634501679</x:v>
      </x:c>
      <x:c r="M193" s="52" t="n">
        <x:v>0.18029949629041472</x:v>
      </x:c>
      <x:c r="N193" s="20" t="str">
        <x:v>Strong improvement</x:v>
      </x:c>
      <x:c r="O193" s="20" t="str">
        <x:v>Prototype retrieval heuristic; association is not proof of causality.</x:v>
      </x:c>
      <x:c r="P193" s="20" t="str">
        <x:v>YES</x:v>
      </x:c>
    </x:row>
    <x:row r="194">
      <x:c r="A194" s="20" t="str">
        <x:v>OPS-014</x:v>
      </x:c>
      <x:c r="B194" s="20" t="str">
        <x:v>Cumplimiento de cobertura — Sueña Chivas Tour</x:v>
      </x:c>
      <x:c r="C194" s="20" t="n">
        <x:v>1</x:v>
      </x:c>
      <x:c r="D194" s="20" t="str">
        <x:v>OPS-002</x:v>
      </x:c>
      <x:c r="E194" s="20" t="str">
        <x:v>Asistencia regular de beneficiarios</x:v>
      </x:c>
      <x:c r="F194" s="20" t="str">
        <x:v>Same strategic objective; Same department; Same BSC perspective</x:v>
      </x:c>
      <x:c r="G194" s="20" t="n">
        <x:v>87</x:v>
      </x:c>
      <x:c r="H194" s="20" t="str">
        <x:v>Operaciones</x:v>
      </x:c>
      <x:c r="I194" s="20" t="str">
        <x:v>Beneficiarios y grupos de interés</x:v>
      </x:c>
      <x:c r="J194" s="20" t="str">
        <x:v>C1. Incrementar alcance y acceso</x:v>
      </x:c>
      <x:c r="K194" s="20" t="n">
        <x:v>81.95555555555556</x:v>
      </x:c>
      <x:c r="L194" s="20" t="n">
        <x:v>70.98183624237264</x:v>
      </x:c>
      <x:c r="M194" s="52" t="n">
        <x:v>0.15459897762735192</x:v>
      </x:c>
      <x:c r="N194" s="20" t="str">
        <x:v>Strong improvement</x:v>
      </x:c>
      <x:c r="O194" s="20" t="str">
        <x:v>Prototype retrieval heuristic; association is not proof of causality.</x:v>
      </x:c>
      <x:c r="P194" s="20" t="str">
        <x:v>YES</x:v>
      </x:c>
    </x:row>
    <x:row r="195">
      <x:c r="A195" s="20" t="str">
        <x:v>OPS-014</x:v>
      </x:c>
      <x:c r="B195" s="20" t="str">
        <x:v>Cumplimiento de cobertura — Sueña Chivas Tour</x:v>
      </x:c>
      <x:c r="C195" s="20" t="n">
        <x:v>2</x:v>
      </x:c>
      <x:c r="D195" s="20" t="str">
        <x:v>OPS-008</x:v>
      </x:c>
      <x:c r="E195" s="20" t="str">
        <x:v>Cobertura del piloto de nutrición infantil</x:v>
      </x:c>
      <x:c r="F195" s="20" t="str">
        <x:v>Same strategic objective; Same department; Same BSC perspective</x:v>
      </x:c>
      <x:c r="G195" s="20" t="n">
        <x:v>87</x:v>
      </x:c>
      <x:c r="H195" s="20" t="str">
        <x:v>Operaciones</x:v>
      </x:c>
      <x:c r="I195" s="20" t="str">
        <x:v>Beneficiarios y grupos de interés</x:v>
      </x:c>
      <x:c r="J195" s="20" t="str">
        <x:v>C1. Incrementar alcance y acceso</x:v>
      </x:c>
      <x:c r="K195" s="20" t="n">
        <x:v>100</x:v>
      </x:c>
      <x:c r="L195" s="20" t="n">
        <x:v>88.9514687100894</x:v>
      </x:c>
      <x:c r="M195" s="52" t="n">
        <x:v>0.12420853135005526</x:v>
      </x:c>
      <x:c r="N195" s="20" t="str">
        <x:v>Strong improvement</x:v>
      </x:c>
      <x:c r="O195" s="20" t="str">
        <x:v>Prototype retrieval heuristic; association is not proof of causality.</x:v>
      </x:c>
      <x:c r="P195" s="20" t="str">
        <x:v>YES</x:v>
      </x:c>
    </x:row>
    <x:row r="196">
      <x:c r="A196" s="20" t="str">
        <x:v>OPS-014</x:v>
      </x:c>
      <x:c r="B196" s="20" t="str">
        <x:v>Cumplimiento de cobertura — Sueña Chivas Tour</x:v>
      </x:c>
      <x:c r="C196" s="20" t="n">
        <x:v>3</x:v>
      </x:c>
      <x:c r="D196" s="20" t="str">
        <x:v>OPS-013</x:v>
      </x:c>
      <x:c r="E196" s="20" t="str">
        <x:v>Cumplimiento de cobertura — Sueña Chivas Estadio</x:v>
      </x:c>
      <x:c r="F196" s="20" t="str">
        <x:v>Same strategic objective; Same department; Same BSC perspective</x:v>
      </x:c>
      <x:c r="G196" s="20" t="n">
        <x:v>87</x:v>
      </x:c>
      <x:c r="H196" s="20" t="str">
        <x:v>Operaciones</x:v>
      </x:c>
      <x:c r="I196" s="20" t="str">
        <x:v>Beneficiarios y grupos de interés</x:v>
      </x:c>
      <x:c r="J196" s="20" t="str">
        <x:v>C1. Incrementar alcance y acceso</x:v>
      </x:c>
      <x:c r="K196" s="20" t="n">
        <x:v>100</x:v>
      </x:c>
      <x:c r="L196" s="20" t="n">
        <x:v>88.9514687100894</x:v>
      </x:c>
      <x:c r="M196" s="52" t="n">
        <x:v>0.12420853135005526</x:v>
      </x:c>
      <x:c r="N196" s="20" t="str">
        <x:v>Strong improvement</x:v>
      </x:c>
      <x:c r="O196" s="20" t="str">
        <x:v>Prototype retrieval heuristic; association is not proof of causality.</x:v>
      </x:c>
      <x:c r="P196" s="20" t="str">
        <x:v>YES</x:v>
      </x:c>
    </x:row>
    <x:row r="197">
      <x:c r="A197" s="20" t="str">
        <x:v>OPS-014</x:v>
      </x:c>
      <x:c r="B197" s="20" t="str">
        <x:v>Cumplimiento de cobertura — Sueña Chivas Tour</x:v>
      </x:c>
      <x:c r="C197" s="20" t="n">
        <x:v>4</x:v>
      </x:c>
      <x:c r="D197" s="20" t="str">
        <x:v>OPS-012</x:v>
      </x:c>
      <x:c r="E197" s="20" t="str">
        <x:v>Países con plan de escalamiento de nutrición listo para 2027</x:v>
      </x:c>
      <x:c r="F197" s="20" t="str">
        <x:v>Strategic-map adjacent objective; Same department</x:v>
      </x:c>
      <x:c r="G197" s="20" t="n">
        <x:v>67</x:v>
      </x:c>
      <x:c r="H197" s="20" t="str">
        <x:v>Operaciones</x:v>
      </x:c>
      <x:c r="I197" s="20" t="str">
        <x:v>Procesos internos</x:v>
      </x:c>
      <x:c r="J197" s="20" t="str">
        <x:v>P1. Estandarizar y escalar programas</x:v>
      </x:c>
      <x:c r="K197" s="20" t="n">
        <x:v>100</x:v>
      </x:c>
      <x:c r="L197" s="20" t="n">
        <x:v>91.66666666666667</x:v>
      </x:c>
      <x:c r="M197" s="52" t="n">
        <x:v>0.09090909090909086</x:v>
      </x:c>
      <x:c r="N197" s="20" t="str">
        <x:v>Improving</x:v>
      </x:c>
      <x:c r="O197" s="20" t="str">
        <x:v>Prototype retrieval heuristic; association is not proof of causality.</x:v>
      </x:c>
      <x:c r="P197" s="20" t="str">
        <x:v>YES</x:v>
      </x:c>
    </x:row>
    <x:row r="198">
      <x:c r="A198" s="20" t="str">
        <x:v>OPS-014</x:v>
      </x:c>
      <x:c r="B198" s="20" t="str">
        <x:v>Cumplimiento de cobertura — Sueña Chivas Tour</x:v>
      </x:c>
      <x:c r="C198" s="20" t="n">
        <x:v>5</x:v>
      </x:c>
      <x:c r="D198" s="20" t="str">
        <x:v>OPS-001</x:v>
      </x:c>
      <x:c r="E198" s="20" t="str">
        <x:v>Países con operación programática activa según modelo definido</x:v>
      </x:c>
      <x:c r="F198" s="20" t="str">
        <x:v>Strategic-map adjacent objective; Same department</x:v>
      </x:c>
      <x:c r="G198" s="20" t="n">
        <x:v>65</x:v>
      </x:c>
      <x:c r="H198" s="20" t="str">
        <x:v>Operaciones</x:v>
      </x:c>
      <x:c r="I198" s="20" t="str">
        <x:v>Resultados estratégicos</x:v>
      </x:c>
      <x:c r="J198" s="20" t="str">
        <x:v>S2. Ampliar alcance geográfico y poblacional</x:v>
      </x:c>
      <x:c r="K198" s="20" t="n">
        <x:v>4</x:v>
      </x:c>
      <x:c r="L198" s="20" t="n">
        <x:v>2.6666666666666665</x:v>
      </x:c>
      <x:c r="M198" s="52" t="n">
        <x:v>0.5000000000000001</x:v>
      </x:c>
      <x:c r="N198" s="20" t="str">
        <x:v>Strong improvement</x:v>
      </x:c>
      <x:c r="O198" s="20" t="str">
        <x:v>Prototype retrieval heuristic; association is not proof of causality.</x:v>
      </x:c>
      <x:c r="P198" s="20" t="str">
        <x:v>YES</x:v>
      </x:c>
    </x:row>
    <x:row r="199">
      <x:c r="A199" s="20" t="str">
        <x:v>OPS-014</x:v>
      </x:c>
      <x:c r="B199" s="20" t="str">
        <x:v>Cumplimiento de cobertura — Sueña Chivas Tour</x:v>
      </x:c>
      <x:c r="C199" s="20" t="n">
        <x:v>6</x:v>
      </x:c>
      <x:c r="D199" s="20" t="str">
        <x:v>OPS-015</x:v>
      </x:c>
      <x:c r="E199" s="20" t="str">
        <x:v>Sueña Chivas Individuales completados</x:v>
      </x:c>
      <x:c r="F199" s="20" t="str">
        <x:v>Same strategic objective; Same department; Same BSC perspective</x:v>
      </x:c>
      <x:c r="G199" s="20" t="n">
        <x:v>87</x:v>
      </x:c>
      <x:c r="H199" s="20" t="str">
        <x:v>Operaciones</x:v>
      </x:c>
      <x:c r="I199" s="20" t="str">
        <x:v>Beneficiarios y grupos de interés</x:v>
      </x:c>
      <x:c r="J199" s="20" t="str">
        <x:v>C1. Incrementar alcance y acceso</x:v>
      </x:c>
      <x:c r="K199" s="20" t="n">
        <x:v>12</x:v>
      </x:c>
      <x:c r="L199" s="20" t="n">
        <x:v>9.333333333333334</x:v>
      </x:c>
      <x:c r="M199" s="52" t="n">
        <x:v>0.28571428571428564</x:v>
      </x:c>
      <x:c r="N199" s="20" t="str">
        <x:v>Strong improvement</x:v>
      </x:c>
      <x:c r="O199" s="20" t="str">
        <x:v>Prototype retrieval heuristic; association is not proof of causality.</x:v>
      </x:c>
      <x:c r="P199" s="20" t="str">
        <x:v>YES</x:v>
      </x:c>
    </x:row>
    <x:row r="200">
      <x:c r="A200" s="20" t="str">
        <x:v>OPS-014</x:v>
      </x:c>
      <x:c r="B200" s="20" t="str">
        <x:v>Cumplimiento de cobertura — Sueña Chivas Tour</x:v>
      </x:c>
      <x:c r="C200" s="20" t="n">
        <x:v>7</x:v>
      </x:c>
      <x:c r="D200" s="20" t="str">
        <x:v>REC-C01</x:v>
      </x:c>
      <x:c r="E200" s="20" t="str">
        <x:v>Tasa de finalización/retención de participantes</x:v>
      </x:c>
      <x:c r="F200" s="20" t="str">
        <x:v>Same strategic objective; Same department; Same BSC perspective</x:v>
      </x:c>
      <x:c r="G200" s="20" t="n">
        <x:v>85</x:v>
      </x:c>
      <x:c r="H200" s="20" t="str">
        <x:v>Operaciones</x:v>
      </x:c>
      <x:c r="I200" s="20" t="str">
        <x:v>Beneficiarios y grupos de interés</x:v>
      </x:c>
      <x:c r="J200" s="20" t="str">
        <x:v>C1. Incrementar alcance y acceso</x:v>
      </x:c>
      <x:c r="K200" s="20" t="n">
        <x:v>87.02222222222223</x:v>
      </x:c>
      <x:c r="L200" s="20" t="n">
        <x:v>76.02109644766095</x:v>
      </x:c>
      <x:c r="M200" s="52" t="n">
        <x:v>0.14471148521430935</x:v>
      </x:c>
      <x:c r="N200" s="20" t="str">
        <x:v>Strong improvement</x:v>
      </x:c>
      <x:c r="O200" s="20" t="str">
        <x:v>Prototype retrieval heuristic; association is not proof of causality.</x:v>
      </x:c>
      <x:c r="P200" s="20" t="str">
        <x:v>YES</x:v>
      </x:c>
    </x:row>
    <x:row r="201">
      <x:c r="A201" s="20" t="str">
        <x:v>OPS-014</x:v>
      </x:c>
      <x:c r="B201" s="20" t="str">
        <x:v>Cumplimiento de cobertura — Sueña Chivas Tour</x:v>
      </x:c>
      <x:c r="C201" s="20" t="n">
        <x:v>8</x:v>
      </x:c>
      <x:c r="D201" s="20" t="str">
        <x:v>OPS-006</x:v>
      </x:c>
      <x:c r="E201" s="20" t="str">
        <x:v>Beneficiarios que alcanzan competencia deportiva inicial</x:v>
      </x:c>
      <x:c r="F201" s="20" t="str">
        <x:v>Same department; Same BSC perspective</x:v>
      </x:c>
      <x:c r="G201" s="20" t="n">
        <x:v>37</x:v>
      </x:c>
      <x:c r="H201" s="20" t="str">
        <x:v>Operaciones</x:v>
      </x:c>
      <x:c r="I201" s="20" t="str">
        <x:v>Beneficiarios y grupos de interés</x:v>
      </x:c>
      <x:c r="J201" s="20" t="str">
        <x:v>C2. Mejorar resultados obtenidos</x:v>
      </x:c>
      <x:c r="K201" s="20" t="n">
        <x:v>72</x:v>
      </x:c>
      <x:c r="L201" s="20" t="n">
        <x:v>61.00146634501679</x:v>
      </x:c>
      <x:c r="M201" s="52" t="n">
        <x:v>0.18029949629041472</x:v>
      </x:c>
      <x:c r="N201" s="20" t="str">
        <x:v>Strong improvement</x:v>
      </x:c>
      <x:c r="O201" s="20" t="str">
        <x:v>Prototype retrieval heuristic; association is not proof of causality.</x:v>
      </x:c>
      <x:c r="P201" s="20" t="str">
        <x:v>YES</x:v>
      </x:c>
    </x:row>
    <x:row r="202">
      <x:c r="A202" s="20" t="str">
        <x:v>OPS-015</x:v>
      </x:c>
      <x:c r="B202" s="20" t="str">
        <x:v>Sueña Chivas Individuales completados</x:v>
      </x:c>
      <x:c r="C202" s="20" t="n">
        <x:v>1</x:v>
      </x:c>
      <x:c r="D202" s="20" t="str">
        <x:v>OPS-002</x:v>
      </x:c>
      <x:c r="E202" s="20" t="str">
        <x:v>Asistencia regular de beneficiarios</x:v>
      </x:c>
      <x:c r="F202" s="20" t="str">
        <x:v>Same strategic objective; Same department; Same BSC perspective</x:v>
      </x:c>
      <x:c r="G202" s="20" t="n">
        <x:v>87</x:v>
      </x:c>
      <x:c r="H202" s="20" t="str">
        <x:v>Operaciones</x:v>
      </x:c>
      <x:c r="I202" s="20" t="str">
        <x:v>Beneficiarios y grupos de interés</x:v>
      </x:c>
      <x:c r="J202" s="20" t="str">
        <x:v>C1. Incrementar alcance y acceso</x:v>
      </x:c>
      <x:c r="K202" s="20" t="n">
        <x:v>81.95555555555556</x:v>
      </x:c>
      <x:c r="L202" s="20" t="n">
        <x:v>70.98183624237264</x:v>
      </x:c>
      <x:c r="M202" s="52" t="n">
        <x:v>0.15459897762735192</x:v>
      </x:c>
      <x:c r="N202" s="20" t="str">
        <x:v>Strong improvement</x:v>
      </x:c>
      <x:c r="O202" s="20" t="str">
        <x:v>Prototype retrieval heuristic; association is not proof of causality.</x:v>
      </x:c>
      <x:c r="P202" s="20" t="str">
        <x:v>YES</x:v>
      </x:c>
    </x:row>
    <x:row r="203">
      <x:c r="A203" s="20" t="str">
        <x:v>OPS-015</x:v>
      </x:c>
      <x:c r="B203" s="20" t="str">
        <x:v>Sueña Chivas Individuales completados</x:v>
      </x:c>
      <x:c r="C203" s="20" t="n">
        <x:v>2</x:v>
      </x:c>
      <x:c r="D203" s="20" t="str">
        <x:v>OPS-008</x:v>
      </x:c>
      <x:c r="E203" s="20" t="str">
        <x:v>Cobertura del piloto de nutrición infantil</x:v>
      </x:c>
      <x:c r="F203" s="20" t="str">
        <x:v>Same strategic objective; Same department; Same BSC perspective</x:v>
      </x:c>
      <x:c r="G203" s="20" t="n">
        <x:v>87</x:v>
      </x:c>
      <x:c r="H203" s="20" t="str">
        <x:v>Operaciones</x:v>
      </x:c>
      <x:c r="I203" s="20" t="str">
        <x:v>Beneficiarios y grupos de interés</x:v>
      </x:c>
      <x:c r="J203" s="20" t="str">
        <x:v>C1. Incrementar alcance y acceso</x:v>
      </x:c>
      <x:c r="K203" s="20" t="n">
        <x:v>100</x:v>
      </x:c>
      <x:c r="L203" s="20" t="n">
        <x:v>88.9514687100894</x:v>
      </x:c>
      <x:c r="M203" s="52" t="n">
        <x:v>0.12420853135005526</x:v>
      </x:c>
      <x:c r="N203" s="20" t="str">
        <x:v>Strong improvement</x:v>
      </x:c>
      <x:c r="O203" s="20" t="str">
        <x:v>Prototype retrieval heuristic; association is not proof of causality.</x:v>
      </x:c>
      <x:c r="P203" s="20" t="str">
        <x:v>YES</x:v>
      </x:c>
    </x:row>
    <x:row r="204">
      <x:c r="A204" s="20" t="str">
        <x:v>OPS-015</x:v>
      </x:c>
      <x:c r="B204" s="20" t="str">
        <x:v>Sueña Chivas Individuales completados</x:v>
      </x:c>
      <x:c r="C204" s="20" t="n">
        <x:v>3</x:v>
      </x:c>
      <x:c r="D204" s="20" t="str">
        <x:v>OPS-013</x:v>
      </x:c>
      <x:c r="E204" s="20" t="str">
        <x:v>Cumplimiento de cobertura — Sueña Chivas Estadio</x:v>
      </x:c>
      <x:c r="F204" s="20" t="str">
        <x:v>Same strategic objective; Same department; Same BSC perspective</x:v>
      </x:c>
      <x:c r="G204" s="20" t="n">
        <x:v>87</x:v>
      </x:c>
      <x:c r="H204" s="20" t="str">
        <x:v>Operaciones</x:v>
      </x:c>
      <x:c r="I204" s="20" t="str">
        <x:v>Beneficiarios y grupos de interés</x:v>
      </x:c>
      <x:c r="J204" s="20" t="str">
        <x:v>C1. Incrementar alcance y acceso</x:v>
      </x:c>
      <x:c r="K204" s="20" t="n">
        <x:v>100</x:v>
      </x:c>
      <x:c r="L204" s="20" t="n">
        <x:v>88.9514687100894</x:v>
      </x:c>
      <x:c r="M204" s="52" t="n">
        <x:v>0.12420853135005526</x:v>
      </x:c>
      <x:c r="N204" s="20" t="str">
        <x:v>Strong improvement</x:v>
      </x:c>
      <x:c r="O204" s="20" t="str">
        <x:v>Prototype retrieval heuristic; association is not proof of causality.</x:v>
      </x:c>
      <x:c r="P204" s="20" t="str">
        <x:v>YES</x:v>
      </x:c>
    </x:row>
    <x:row r="205">
      <x:c r="A205" s="20" t="str">
        <x:v>OPS-015</x:v>
      </x:c>
      <x:c r="B205" s="20" t="str">
        <x:v>Sueña Chivas Individuales completados</x:v>
      </x:c>
      <x:c r="C205" s="20" t="n">
        <x:v>4</x:v>
      </x:c>
      <x:c r="D205" s="20" t="str">
        <x:v>OPS-012</x:v>
      </x:c>
      <x:c r="E205" s="20" t="str">
        <x:v>Países con plan de escalamiento de nutrición listo para 2027</x:v>
      </x:c>
      <x:c r="F205" s="20" t="str">
        <x:v>Strategic-map adjacent objective; Same department</x:v>
      </x:c>
      <x:c r="G205" s="20" t="n">
        <x:v>67</x:v>
      </x:c>
      <x:c r="H205" s="20" t="str">
        <x:v>Operaciones</x:v>
      </x:c>
      <x:c r="I205" s="20" t="str">
        <x:v>Procesos internos</x:v>
      </x:c>
      <x:c r="J205" s="20" t="str">
        <x:v>P1. Estandarizar y escalar programas</x:v>
      </x:c>
      <x:c r="K205" s="20" t="n">
        <x:v>100</x:v>
      </x:c>
      <x:c r="L205" s="20" t="n">
        <x:v>91.66666666666667</x:v>
      </x:c>
      <x:c r="M205" s="52" t="n">
        <x:v>0.09090909090909086</x:v>
      </x:c>
      <x:c r="N205" s="20" t="str">
        <x:v>Improving</x:v>
      </x:c>
      <x:c r="O205" s="20" t="str">
        <x:v>Prototype retrieval heuristic; association is not proof of causality.</x:v>
      </x:c>
      <x:c r="P205" s="20" t="str">
        <x:v>YES</x:v>
      </x:c>
    </x:row>
    <x:row r="206">
      <x:c r="A206" s="20" t="str">
        <x:v>OPS-015</x:v>
      </x:c>
      <x:c r="B206" s="20" t="str">
        <x:v>Sueña Chivas Individuales completados</x:v>
      </x:c>
      <x:c r="C206" s="20" t="n">
        <x:v>5</x:v>
      </x:c>
      <x:c r="D206" s="20" t="str">
        <x:v>OPS-001</x:v>
      </x:c>
      <x:c r="E206" s="20" t="str">
        <x:v>Países con operación programática activa según modelo definido</x:v>
      </x:c>
      <x:c r="F206" s="20" t="str">
        <x:v>Strategic-map adjacent objective; Same department</x:v>
      </x:c>
      <x:c r="G206" s="20" t="n">
        <x:v>65</x:v>
      </x:c>
      <x:c r="H206" s="20" t="str">
        <x:v>Operaciones</x:v>
      </x:c>
      <x:c r="I206" s="20" t="str">
        <x:v>Resultados estratégicos</x:v>
      </x:c>
      <x:c r="J206" s="20" t="str">
        <x:v>S2. Ampliar alcance geográfico y poblacional</x:v>
      </x:c>
      <x:c r="K206" s="20" t="n">
        <x:v>4</x:v>
      </x:c>
      <x:c r="L206" s="20" t="n">
        <x:v>2.6666666666666665</x:v>
      </x:c>
      <x:c r="M206" s="52" t="n">
        <x:v>0.5000000000000001</x:v>
      </x:c>
      <x:c r="N206" s="20" t="str">
        <x:v>Strong improvement</x:v>
      </x:c>
      <x:c r="O206" s="20" t="str">
        <x:v>Prototype retrieval heuristic; association is not proof of causality.</x:v>
      </x:c>
      <x:c r="P206" s="20" t="str">
        <x:v>YES</x:v>
      </x:c>
    </x:row>
    <x:row r="207">
      <x:c r="A207" s="20" t="str">
        <x:v>OPS-015</x:v>
      </x:c>
      <x:c r="B207" s="20" t="str">
        <x:v>Sueña Chivas Individuales completados</x:v>
      </x:c>
      <x:c r="C207" s="20" t="n">
        <x:v>6</x:v>
      </x:c>
      <x:c r="D207" s="20" t="str">
        <x:v>OPS-014</x:v>
      </x:c>
      <x:c r="E207" s="20" t="str">
        <x:v>Cumplimiento de cobertura — Sueña Chivas Tour</x:v>
      </x:c>
      <x:c r="F207" s="20" t="str">
        <x:v>Same strategic objective; Same department; Same BSC perspective</x:v>
      </x:c>
      <x:c r="G207" s="20" t="n">
        <x:v>87</x:v>
      </x:c>
      <x:c r="H207" s="20" t="str">
        <x:v>Operaciones</x:v>
      </x:c>
      <x:c r="I207" s="20" t="str">
        <x:v>Beneficiarios y grupos de interés</x:v>
      </x:c>
      <x:c r="J207" s="20" t="str">
        <x:v>C1. Incrementar alcance y acceso</x:v>
      </x:c>
      <x:c r="K207" s="20" t="n">
        <x:v>100</x:v>
      </x:c>
      <x:c r="L207" s="20" t="n">
        <x:v>88.9514687100894</x:v>
      </x:c>
      <x:c r="M207" s="52" t="n">
        <x:v>0.12420853135005526</x:v>
      </x:c>
      <x:c r="N207" s="20" t="str">
        <x:v>Strong improvement</x:v>
      </x:c>
      <x:c r="O207" s="20" t="str">
        <x:v>Prototype retrieval heuristic; association is not proof of causality.</x:v>
      </x:c>
      <x:c r="P207" s="20" t="str">
        <x:v>YES</x:v>
      </x:c>
    </x:row>
    <x:row r="208">
      <x:c r="A208" s="20" t="str">
        <x:v>OPS-015</x:v>
      </x:c>
      <x:c r="B208" s="20" t="str">
        <x:v>Sueña Chivas Individuales completados</x:v>
      </x:c>
      <x:c r="C208" s="20" t="n">
        <x:v>7</x:v>
      </x:c>
      <x:c r="D208" s="20" t="str">
        <x:v>REC-C01</x:v>
      </x:c>
      <x:c r="E208" s="20" t="str">
        <x:v>Tasa de finalización/retención de participantes</x:v>
      </x:c>
      <x:c r="F208" s="20" t="str">
        <x:v>Same strategic objective; Same department; Same BSC perspective</x:v>
      </x:c>
      <x:c r="G208" s="20" t="n">
        <x:v>85</x:v>
      </x:c>
      <x:c r="H208" s="20" t="str">
        <x:v>Operaciones</x:v>
      </x:c>
      <x:c r="I208" s="20" t="str">
        <x:v>Beneficiarios y grupos de interés</x:v>
      </x:c>
      <x:c r="J208" s="20" t="str">
        <x:v>C1. Incrementar alcance y acceso</x:v>
      </x:c>
      <x:c r="K208" s="20" t="n">
        <x:v>87.02222222222223</x:v>
      </x:c>
      <x:c r="L208" s="20" t="n">
        <x:v>76.02109644766095</x:v>
      </x:c>
      <x:c r="M208" s="52" t="n">
        <x:v>0.14471148521430935</x:v>
      </x:c>
      <x:c r="N208" s="20" t="str">
        <x:v>Strong improvement</x:v>
      </x:c>
      <x:c r="O208" s="20" t="str">
        <x:v>Prototype retrieval heuristic; association is not proof of causality.</x:v>
      </x:c>
      <x:c r="P208" s="20" t="str">
        <x:v>YES</x:v>
      </x:c>
    </x:row>
    <x:row r="209">
      <x:c r="A209" s="20" t="str">
        <x:v>OPS-015</x:v>
      </x:c>
      <x:c r="B209" s="20" t="str">
        <x:v>Sueña Chivas Individuales completados</x:v>
      </x:c>
      <x:c r="C209" s="20" t="n">
        <x:v>8</x:v>
      </x:c>
      <x:c r="D209" s="20" t="str">
        <x:v>OPS-006</x:v>
      </x:c>
      <x:c r="E209" s="20" t="str">
        <x:v>Beneficiarios que alcanzan competencia deportiva inicial</x:v>
      </x:c>
      <x:c r="F209" s="20" t="str">
        <x:v>Same department; Same BSC perspective</x:v>
      </x:c>
      <x:c r="G209" s="20" t="n">
        <x:v>37</x:v>
      </x:c>
      <x:c r="H209" s="20" t="str">
        <x:v>Operaciones</x:v>
      </x:c>
      <x:c r="I209" s="20" t="str">
        <x:v>Beneficiarios y grupos de interés</x:v>
      </x:c>
      <x:c r="J209" s="20" t="str">
        <x:v>C2. Mejorar resultados obtenidos</x:v>
      </x:c>
      <x:c r="K209" s="20" t="n">
        <x:v>72</x:v>
      </x:c>
      <x:c r="L209" s="20" t="n">
        <x:v>61.00146634501679</x:v>
      </x:c>
      <x:c r="M209" s="52" t="n">
        <x:v>0.18029949629041472</x:v>
      </x:c>
      <x:c r="N209" s="20" t="str">
        <x:v>Strong improvement</x:v>
      </x:c>
      <x:c r="O209" s="20" t="str">
        <x:v>Prototype retrieval heuristic; association is not proof of causality.</x:v>
      </x:c>
      <x:c r="P209" s="20" t="str">
        <x:v>YES</x:v>
      </x:c>
    </x:row>
    <x:row r="210">
      <x:c r="A210" s="20" t="str">
        <x:v>OPS-016</x:v>
      </x:c>
      <x:c r="B210" s="20" t="str">
        <x:v>Proyectos OSC financiados conforme a reglas de operación</x:v>
      </x:c>
      <x:c r="C210" s="20" t="n">
        <x:v>1</x:v>
      </x:c>
      <x:c r="D210" s="20" t="str">
        <x:v>OPS-020</x:v>
      </x:c>
      <x:c r="E210" s="20" t="str">
        <x:v>Donativos en especie asignados a organizaciones elegibles</x:v>
      </x:c>
      <x:c r="F210" s="20" t="str">
        <x:v>Same strategic objective; Same department; Same BSC perspective</x:v>
      </x:c>
      <x:c r="G210" s="20" t="n">
        <x:v>87</x:v>
      </x:c>
      <x:c r="H210" s="20" t="str">
        <x:v>Operaciones</x:v>
      </x:c>
      <x:c r="I210" s="20" t="str">
        <x:v>Procesos internos</x:v>
      </x:c>
      <x:c r="J210" s="20" t="str">
        <x:v>P6. Construir ecosistema de alianzas</x:v>
      </x:c>
      <x:c r="K210" s="20" t="n">
        <x:v>100</x:v>
      </x:c>
      <x:c r="L210" s="20" t="n">
        <x:v>88.9514687100894</x:v>
      </x:c>
      <x:c r="M210" s="52" t="n">
        <x:v>0.12420853135005526</x:v>
      </x:c>
      <x:c r="N210" s="20" t="str">
        <x:v>Strong improvement</x:v>
      </x:c>
      <x:c r="O210" s="20" t="str">
        <x:v>Prototype retrieval heuristic; association is not proof of causality.</x:v>
      </x:c>
      <x:c r="P210" s="20" t="str">
        <x:v>YES</x:v>
      </x:c>
    </x:row>
    <x:row r="211">
      <x:c r="A211" s="20" t="str">
        <x:v>OPS-016</x:v>
      </x:c>
      <x:c r="B211" s="20" t="str">
        <x:v>Proyectos OSC financiados conforme a reglas de operación</x:v>
      </x:c>
      <x:c r="C211" s="20" t="n">
        <x:v>2</x:v>
      </x:c>
      <x:c r="D211" s="20" t="str">
        <x:v>FND-016</x:v>
      </x:c>
      <x:c r="E211" s="20" t="str">
        <x:v>Nuevas alianzas estratégicas activas por país</x:v>
      </x:c>
      <x:c r="F211" s="20" t="str">
        <x:v>Same strategic objective; Same BSC perspective</x:v>
      </x:c>
      <x:c r="G211" s="20" t="n">
        <x:v>62</x:v>
      </x:c>
      <x:c r="H211" s="20" t="str">
        <x:v>Procuración de Fondos</x:v>
      </x:c>
      <x:c r="I211" s="20" t="str">
        <x:v>Procesos internos</x:v>
      </x:c>
      <x:c r="J211" s="20" t="str">
        <x:v>P6. Construir ecosistema de alianzas</x:v>
      </x:c>
      <x:c r="K211" s="20" t="n">
        <x:v>4</x:v>
      </x:c>
      <x:c r="L211" s="20" t="n">
        <x:v>2.6666666666666665</x:v>
      </x:c>
      <x:c r="M211" s="52" t="n">
        <x:v>0.5000000000000001</x:v>
      </x:c>
      <x:c r="N211" s="20" t="str">
        <x:v>Strong improvement</x:v>
      </x:c>
      <x:c r="O211" s="20" t="str">
        <x:v>Prototype retrieval heuristic; association is not proof of causality.</x:v>
      </x:c>
      <x:c r="P211" s="20" t="str">
        <x:v>YES</x:v>
      </x:c>
    </x:row>
    <x:row r="212">
      <x:c r="A212" s="20" t="str">
        <x:v>OPS-016</x:v>
      </x:c>
      <x:c r="B212" s="20" t="str">
        <x:v>Proyectos OSC financiados conforme a reglas de operación</x:v>
      </x:c>
      <x:c r="C212" s="20" t="n">
        <x:v>3</x:v>
      </x:c>
      <x:c r="D212" s="20" t="str">
        <x:v>REC-P07</x:v>
      </x:c>
      <x:c r="E212" s="20" t="str">
        <x:v>Conversión de alianzas estratégicas a recursos o capacidad programática</x:v>
      </x:c>
      <x:c r="F212" s="20" t="str">
        <x:v>Same strategic objective; Same BSC perspective</x:v>
      </x:c>
      <x:c r="G212" s="20" t="n">
        <x:v>60</x:v>
      </x:c>
      <x:c r="H212" s="20" t="str">
        <x:v>Procuración de Fondos</x:v>
      </x:c>
      <x:c r="I212" s="20" t="str">
        <x:v>Procesos internos</x:v>
      </x:c>
      <x:c r="J212" s="20" t="str">
        <x:v>P6. Construir ecosistema de alianzas</x:v>
      </x:c>
      <x:c r="K212" s="20" t="n">
        <x:v>72</x:v>
      </x:c>
      <x:c r="L212" s="20" t="n">
        <x:v>61.16347381864623</x:v>
      </x:c>
      <x:c r="M212" s="52" t="n">
        <x:v>0.17717316406005307</x:v>
      </x:c>
      <x:c r="N212" s="20" t="str">
        <x:v>Strong improvement</x:v>
      </x:c>
      <x:c r="O212" s="20" t="str">
        <x:v>Prototype retrieval heuristic; association is not proof of causality.</x:v>
      </x:c>
      <x:c r="P212" s="20" t="str">
        <x:v>YES</x:v>
      </x:c>
    </x:row>
    <x:row r="213">
      <x:c r="A213" s="20" t="str">
        <x:v>OPS-016</x:v>
      </x:c>
      <x:c r="B213" s="20" t="str">
        <x:v>Proyectos OSC financiados conforme a reglas de operación</x:v>
      </x:c>
      <x:c r="C213" s="20" t="n">
        <x:v>4</x:v>
      </x:c>
      <x:c r="D213" s="20" t="str">
        <x:v>ADM-004</x:v>
      </x:c>
      <x:c r="E213" s="20" t="str">
        <x:v>Presupuestos anuales aprobados dentro del calendario</x:v>
      </x:c>
      <x:c r="F213" s="20" t="str">
        <x:v>Strategic-map adjacent objective</x:v>
      </x:c>
      <x:c r="G213" s="20" t="n">
        <x:v>42</x:v>
      </x:c>
      <x:c r="H213" s="20" t="str">
        <x:v>Administración</x:v>
      </x:c>
      <x:c r="I213" s="20" t="str">
        <x:v>Capacidades y tecnología</x:v>
      </x:c>
      <x:c r="J213" s="20" t="str">
        <x:v>L4. Fortalecer colaboración interdepartamental</x:v>
      </x:c>
      <x:c r="K213" s="20" t="n">
        <x:v>100</x:v>
      </x:c>
      <x:c r="L213" s="20" t="n">
        <x:v>88.9514687100894</x:v>
      </x:c>
      <x:c r="M213" s="52" t="n">
        <x:v>0.12420853135005526</x:v>
      </x:c>
      <x:c r="N213" s="20" t="str">
        <x:v>Strong improvement</x:v>
      </x:c>
      <x:c r="O213" s="20" t="str">
        <x:v>Prototype retrieval heuristic; association is not proof of causality.</x:v>
      </x:c>
      <x:c r="P213" s="20" t="str">
        <x:v>YES</x:v>
      </x:c>
    </x:row>
    <x:row r="214">
      <x:c r="A214" s="20" t="str">
        <x:v>OPS-016</x:v>
      </x:c>
      <x:c r="B214" s="20" t="str">
        <x:v>Proyectos OSC financiados conforme a reglas de operación</x:v>
      </x:c>
      <x:c r="C214" s="20" t="n">
        <x:v>5</x:v>
      </x:c>
      <x:c r="D214" s="20" t="str">
        <x:v>ADM-012</x:v>
      </x:c>
      <x:c r="E214" s="20" t="str">
        <x:v>Nuevos convenios universitarios activados</x:v>
      </x:c>
      <x:c r="F214" s="20" t="str">
        <x:v>Strategic-map adjacent objective</x:v>
      </x:c>
      <x:c r="G214" s="20" t="n">
        <x:v>42</x:v>
      </x:c>
      <x:c r="H214" s="20" t="str">
        <x:v>Administración</x:v>
      </x:c>
      <x:c r="I214" s="20" t="str">
        <x:v>Capacidades y tecnología</x:v>
      </x:c>
      <x:c r="J214" s="20" t="str">
        <x:v>L4. Fortalecer colaboración interdepartamental</x:v>
      </x:c>
      <x:c r="K214" s="20" t="n">
        <x:v>2</x:v>
      </x:c>
      <x:c r="L214" s="20" t="n">
        <x:v>1.3333333333333333</x:v>
      </x:c>
      <x:c r="M214" s="52" t="n">
        <x:v>0.5000000000000001</x:v>
      </x:c>
      <x:c r="N214" s="20" t="str">
        <x:v>Strong improvement</x:v>
      </x:c>
      <x:c r="O214" s="20" t="str">
        <x:v>Prototype retrieval heuristic; association is not proof of causality.</x:v>
      </x:c>
      <x:c r="P214" s="20" t="str">
        <x:v>YES</x:v>
      </x:c>
    </x:row>
    <x:row r="215">
      <x:c r="A215" s="20" t="str">
        <x:v>OPS-016</x:v>
      </x:c>
      <x:c r="B215" s="20" t="str">
        <x:v>Proyectos OSC financiados conforme a reglas de operación</x:v>
      </x:c>
      <x:c r="C215" s="20" t="n">
        <x:v>6</x:v>
      </x:c>
      <x:c r="D215" s="20" t="str">
        <x:v>OPS-009</x:v>
      </x:c>
      <x:c r="E215" s="20" t="str">
        <x:v>Cobertura de seguimiento nutricional con registros completos</x:v>
      </x:c>
      <x:c r="F215" s="20" t="str">
        <x:v>Same department; Same BSC perspective</x:v>
      </x:c>
      <x:c r="G215" s="20" t="n">
        <x:v>37</x:v>
      </x:c>
      <x:c r="H215" s="20" t="str">
        <x:v>Operaciones</x:v>
      </x:c>
      <x:c r="I215" s="20" t="str">
        <x:v>Procesos internos</x:v>
      </x:c>
      <x:c r="J215" s="20" t="str">
        <x:v>P2. Fortalecer medición de impacto</x:v>
      </x:c>
      <x:c r="K215" s="20" t="n">
        <x:v>96</x:v>
      </x:c>
      <x:c r="L215" s="20" t="n">
        <x:v>84.01745423584504</x:v>
      </x:c>
      <x:c r="M215" s="52" t="n">
        <x:v>0.14261971959444059</x:v>
      </x:c>
      <x:c r="N215" s="20" t="str">
        <x:v>Strong improvement</x:v>
      </x:c>
      <x:c r="O215" s="20" t="str">
        <x:v>Prototype retrieval heuristic; association is not proof of causality.</x:v>
      </x:c>
      <x:c r="P215" s="20" t="str">
        <x:v>YES</x:v>
      </x:c>
    </x:row>
    <x:row r="216">
      <x:c r="A216" s="20" t="str">
        <x:v>OPS-016</x:v>
      </x:c>
      <x:c r="B216" s="20" t="str">
        <x:v>Proyectos OSC financiados conforme a reglas de operación</x:v>
      </x:c>
      <x:c r="C216" s="20" t="n">
        <x:v>7</x:v>
      </x:c>
      <x:c r="D216" s="20" t="str">
        <x:v>OPS-012</x:v>
      </x:c>
      <x:c r="E216" s="20" t="str">
        <x:v>Países con plan de escalamiento de nutrición listo para 2027</x:v>
      </x:c>
      <x:c r="F216" s="20" t="str">
        <x:v>Same department; Same BSC perspective</x:v>
      </x:c>
      <x:c r="G216" s="20" t="n">
        <x:v>37</x:v>
      </x:c>
      <x:c r="H216" s="20" t="str">
        <x:v>Operaciones</x:v>
      </x:c>
      <x:c r="I216" s="20" t="str">
        <x:v>Procesos internos</x:v>
      </x:c>
      <x:c r="J216" s="20" t="str">
        <x:v>P1. Estandarizar y escalar programas</x:v>
      </x:c>
      <x:c r="K216" s="20" t="n">
        <x:v>100</x:v>
      </x:c>
      <x:c r="L216" s="20" t="n">
        <x:v>91.66666666666667</x:v>
      </x:c>
      <x:c r="M216" s="52" t="n">
        <x:v>0.09090909090909086</x:v>
      </x:c>
      <x:c r="N216" s="20" t="str">
        <x:v>Improving</x:v>
      </x:c>
      <x:c r="O216" s="20" t="str">
        <x:v>Prototype retrieval heuristic; association is not proof of causality.</x:v>
      </x:c>
      <x:c r="P216" s="20" t="str">
        <x:v>YES</x:v>
      </x:c>
    </x:row>
    <x:row r="217">
      <x:c r="A217" s="20" t="str">
        <x:v>OPS-016</x:v>
      </x:c>
      <x:c r="B217" s="20" t="str">
        <x:v>Proyectos OSC financiados conforme a reglas de operación</x:v>
      </x:c>
      <x:c r="C217" s="20" t="n">
        <x:v>8</x:v>
      </x:c>
      <x:c r="D217" s="20" t="str">
        <x:v>OPS-019</x:v>
      </x:c>
      <x:c r="E217" s="20" t="str">
        <x:v>Proyectos OSC con seguimiento y reporte de resultados aprobado</x:v>
      </x:c>
      <x:c r="F217" s="20" t="str">
        <x:v>Same department; Same BSC perspective</x:v>
      </x:c>
      <x:c r="G217" s="20" t="n">
        <x:v>37</x:v>
      </x:c>
      <x:c r="H217" s="20" t="str">
        <x:v>Operaciones</x:v>
      </x:c>
      <x:c r="I217" s="20" t="str">
        <x:v>Procesos internos</x:v>
      </x:c>
      <x:c r="J217" s="20" t="str">
        <x:v>P2. Fortalecer medición de impacto</x:v>
      </x:c>
      <x:c r="K217" s="20" t="n">
        <x:v>100</x:v>
      </x:c>
      <x:c r="L217" s="20" t="n">
        <x:v>88.9514687100894</x:v>
      </x:c>
      <x:c r="M217" s="52" t="n">
        <x:v>0.12420853135005526</x:v>
      </x:c>
      <x:c r="N217" s="20" t="str">
        <x:v>Strong improvement</x:v>
      </x:c>
      <x:c r="O217" s="20" t="str">
        <x:v>Prototype retrieval heuristic; association is not proof of causality.</x:v>
      </x:c>
      <x:c r="P217" s="20" t="str">
        <x:v>YES</x:v>
      </x:c>
    </x:row>
    <x:row r="218">
      <x:c r="A218" s="20" t="str">
        <x:v>OPS-019</x:v>
      </x:c>
      <x:c r="B218" s="20" t="str">
        <x:v>Proyectos OSC con seguimiento y reporte de resultados aprobado</x:v>
      </x:c>
      <x:c r="C218" s="20" t="n">
        <x:v>1</x:v>
      </x:c>
      <x:c r="D218" s="20" t="str">
        <x:v>OPS-009</x:v>
      </x:c>
      <x:c r="E218" s="20" t="str">
        <x:v>Cobertura de seguimiento nutricional con registros completos</x:v>
      </x:c>
      <x:c r="F218" s="20" t="str">
        <x:v>Same strategic objective; Same department; Same BSC perspective</x:v>
      </x:c>
      <x:c r="G218" s="20" t="n">
        <x:v>87</x:v>
      </x:c>
      <x:c r="H218" s="20" t="str">
        <x:v>Operaciones</x:v>
      </x:c>
      <x:c r="I218" s="20" t="str">
        <x:v>Procesos internos</x:v>
      </x:c>
      <x:c r="J218" s="20" t="str">
        <x:v>P2. Fortalecer medición de impacto</x:v>
      </x:c>
      <x:c r="K218" s="20" t="n">
        <x:v>96</x:v>
      </x:c>
      <x:c r="L218" s="20" t="n">
        <x:v>84.01745423584504</x:v>
      </x:c>
      <x:c r="M218" s="52" t="n">
        <x:v>0.14261971959444059</x:v>
      </x:c>
      <x:c r="N218" s="20" t="str">
        <x:v>Strong improvement</x:v>
      </x:c>
      <x:c r="O218" s="20" t="str">
        <x:v>Prototype retrieval heuristic; association is not proof of causality.</x:v>
      </x:c>
      <x:c r="P218" s="20" t="str">
        <x:v>YES</x:v>
      </x:c>
    </x:row>
    <x:row r="219">
      <x:c r="A219" s="20" t="str">
        <x:v>OPS-019</x:v>
      </x:c>
      <x:c r="B219" s="20" t="str">
        <x:v>Proyectos OSC con seguimiento y reporte de resultados aprobado</x:v>
      </x:c>
      <x:c r="C219" s="20" t="n">
        <x:v>2</x:v>
      </x:c>
      <x:c r="D219" s="20" t="str">
        <x:v>REC-P02</x:v>
      </x:c>
      <x:c r="E219" s="20" t="str">
        <x:v>Cobertura de medición de impacto</x:v>
      </x:c>
      <x:c r="F219" s="20" t="str">
        <x:v>Same strategic objective; Same department; Same BSC perspective</x:v>
      </x:c>
      <x:c r="G219" s="20" t="n">
        <x:v>85</x:v>
      </x:c>
      <x:c r="H219" s="20" t="str">
        <x:v>Operaciones</x:v>
      </x:c>
      <x:c r="I219" s="20" t="str">
        <x:v>Procesos internos</x:v>
      </x:c>
      <x:c r="J219" s="20" t="str">
        <x:v>P2. Fortalecer medición de impacto</x:v>
      </x:c>
      <x:c r="K219" s="20" t="n">
        <x:v>100</x:v>
      </x:c>
      <x:c r="L219" s="20" t="n">
        <x:v>88.9514687100894</x:v>
      </x:c>
      <x:c r="M219" s="52" t="n">
        <x:v>0.12420853135005526</x:v>
      </x:c>
      <x:c r="N219" s="20" t="str">
        <x:v>Strong improvement</x:v>
      </x:c>
      <x:c r="O219" s="20" t="str">
        <x:v>Prototype retrieval heuristic; association is not proof of causality.</x:v>
      </x:c>
      <x:c r="P219" s="20" t="str">
        <x:v>YES</x:v>
      </x:c>
    </x:row>
    <x:row r="220">
      <x:c r="A220" s="20" t="str">
        <x:v>OPS-019</x:v>
      </x:c>
      <x:c r="B220" s="20" t="str">
        <x:v>Proyectos OSC con seguimiento y reporte de resultados aprobado</x:v>
      </x:c>
      <x:c r="C220" s="20" t="n">
        <x:v>3</x:v>
      </x:c>
      <x:c r="D220" s="20" t="str">
        <x:v>MKT-002</x:v>
      </x:c>
      <x:c r="E220" s="20" t="str">
        <x:v>Acciones de mejora derivadas de analítica implementadas en plazo</x:v>
      </x:c>
      <x:c r="F220" s="20" t="str">
        <x:v>Same strategic objective; Same BSC perspective</x:v>
      </x:c>
      <x:c r="G220" s="20" t="n">
        <x:v>62</x:v>
      </x:c>
      <x:c r="H220" s="20" t="str">
        <x:v>Marketing y Comunicación</x:v>
      </x:c>
      <x:c r="I220" s="20" t="str">
        <x:v>Procesos internos</x:v>
      </x:c>
      <x:c r="J220" s="20" t="str">
        <x:v>P2. Fortalecer medición de impacto</x:v>
      </x:c>
      <x:c r="K220" s="20" t="n">
        <x:v>82.14285714285714</x:v>
      </x:c>
      <x:c r="L220" s="20" t="n">
        <x:v>71.67277167277167</x:v>
      </x:c>
      <x:c r="M220" s="52" t="n">
        <x:v>0.1460817717206132</x:v>
      </x:c>
      <x:c r="N220" s="20" t="str">
        <x:v>Strong improvement</x:v>
      </x:c>
      <x:c r="O220" s="20" t="str">
        <x:v>Prototype retrieval heuristic; association is not proof of causality.</x:v>
      </x:c>
      <x:c r="P220" s="20" t="str">
        <x:v>YES</x:v>
      </x:c>
    </x:row>
    <x:row r="221">
      <x:c r="A221" s="20" t="str">
        <x:v>OPS-019</x:v>
      </x:c>
      <x:c r="B221" s="20" t="str">
        <x:v>Proyectos OSC con seguimiento y reporte de resultados aprobado</x:v>
      </x:c>
      <x:c r="C221" s="20" t="n">
        <x:v>4</x:v>
      </x:c>
      <x:c r="D221" s="20" t="str">
        <x:v>OPS-006</x:v>
      </x:c>
      <x:c r="E221" s="20" t="str">
        <x:v>Beneficiarios que alcanzan competencia deportiva inicial</x:v>
      </x:c>
      <x:c r="F221" s="20" t="str">
        <x:v>Strategic-map adjacent objective; Same department</x:v>
      </x:c>
      <x:c r="G221" s="20" t="n">
        <x:v>67</x:v>
      </x:c>
      <x:c r="H221" s="20" t="str">
        <x:v>Operaciones</x:v>
      </x:c>
      <x:c r="I221" s="20" t="str">
        <x:v>Beneficiarios y grupos de interés</x:v>
      </x:c>
      <x:c r="J221" s="20" t="str">
        <x:v>C2. Mejorar resultados obtenidos</x:v>
      </x:c>
      <x:c r="K221" s="20" t="n">
        <x:v>72</x:v>
      </x:c>
      <x:c r="L221" s="20" t="n">
        <x:v>61.00146634501679</x:v>
      </x:c>
      <x:c r="M221" s="52" t="n">
        <x:v>0.18029949629041472</x:v>
      </x:c>
      <x:c r="N221" s="20" t="str">
        <x:v>Strong improvement</x:v>
      </x:c>
      <x:c r="O221" s="20" t="str">
        <x:v>Prototype retrieval heuristic; association is not proof of causality.</x:v>
      </x:c>
      <x:c r="P221" s="20" t="str">
        <x:v>YES</x:v>
      </x:c>
    </x:row>
    <x:row r="222">
      <x:c r="A222" s="20" t="str">
        <x:v>OPS-019</x:v>
      </x:c>
      <x:c r="B222" s="20" t="str">
        <x:v>Proyectos OSC con seguimiento y reporte de resultados aprobado</x:v>
      </x:c>
      <x:c r="C222" s="20" t="n">
        <x:v>5</x:v>
      </x:c>
      <x:c r="D222" s="20" t="str">
        <x:v>OPS-003</x:v>
      </x:c>
      <x:c r="E222" s="20" t="str">
        <x:v>Mejora de habilidades psicosociales</x:v>
      </x:c>
      <x:c r="F222" s="20" t="str">
        <x:v>Strategic-map adjacent objective; Same department</x:v>
      </x:c>
      <x:c r="G222" s="20" t="n">
        <x:v>65</x:v>
      </x:c>
      <x:c r="H222" s="20" t="str">
        <x:v>Operaciones</x:v>
      </x:c>
      <x:c r="I222" s="20" t="str">
        <x:v>Resultados estratégicos</x:v>
      </x:c>
      <x:c r="J222" s="20" t="str">
        <x:v>S1. Generar impacto integral y medible</x:v>
      </x:c>
      <x:c r="K222" s="20" t="n">
        <x:v>30.6</x:v>
      </x:c>
      <x:c r="L222" s="20" t="n">
        <x:v>23.3</x:v>
      </x:c>
      <x:c r="M222" s="52" t="n">
        <x:v>0.3133047210300429</x:v>
      </x:c>
      <x:c r="N222" s="20" t="str">
        <x:v>Strong improvement</x:v>
      </x:c>
      <x:c r="O222" s="20" t="str">
        <x:v>Prototype retrieval heuristic; association is not proof of causality.</x:v>
      </x:c>
      <x:c r="P222" s="20" t="str">
        <x:v>YES</x:v>
      </x:c>
    </x:row>
    <x:row r="223">
      <x:c r="A223" s="20" t="str">
        <x:v>OPS-019</x:v>
      </x:c>
      <x:c r="B223" s="20" t="str">
        <x:v>Proyectos OSC con seguimiento y reporte de resultados aprobado</x:v>
      </x:c>
      <x:c r="C223" s="20" t="n">
        <x:v>6</x:v>
      </x:c>
      <x:c r="D223" s="20" t="str">
        <x:v>OPS-004</x:v>
      </x:c>
      <x:c r="E223" s="20" t="str">
        <x:v>Mejora de habilidades deportivas</x:v>
      </x:c>
      <x:c r="F223" s="20" t="str">
        <x:v>Strategic-map adjacent objective; Same department</x:v>
      </x:c>
      <x:c r="G223" s="20" t="n">
        <x:v>65</x:v>
      </x:c>
      <x:c r="H223" s="20" t="str">
        <x:v>Operaciones</x:v>
      </x:c>
      <x:c r="I223" s="20" t="str">
        <x:v>Resultados estratégicos</x:v>
      </x:c>
      <x:c r="J223" s="20" t="str">
        <x:v>S1. Generar impacto integral y medible</x:v>
      </x:c>
      <x:c r="K223" s="20" t="n">
        <x:v>30.6</x:v>
      </x:c>
      <x:c r="L223" s="20" t="n">
        <x:v>23.3</x:v>
      </x:c>
      <x:c r="M223" s="52" t="n">
        <x:v>0.3133047210300429</x:v>
      </x:c>
      <x:c r="N223" s="20" t="str">
        <x:v>Strong improvement</x:v>
      </x:c>
      <x:c r="O223" s="20" t="str">
        <x:v>Prototype retrieval heuristic; association is not proof of causality.</x:v>
      </x:c>
      <x:c r="P223" s="20" t="str">
        <x:v>YES</x:v>
      </x:c>
    </x:row>
    <x:row r="224">
      <x:c r="A224" s="20" t="str">
        <x:v>OPS-019</x:v>
      </x:c>
      <x:c r="B224" s="20" t="str">
        <x:v>Proyectos OSC con seguimiento y reporte de resultados aprobado</x:v>
      </x:c>
      <x:c r="C224" s="20" t="n">
        <x:v>7</x:v>
      </x:c>
      <x:c r="D224" s="20" t="str">
        <x:v>OPS-005</x:v>
      </x:c>
      <x:c r="E224" s="20" t="str">
        <x:v>Incremento del tiempo de actividad física de beneficiarios</x:v>
      </x:c>
      <x:c r="F224" s="20" t="str">
        <x:v>Strategic-map adjacent objective; Same department</x:v>
      </x:c>
      <x:c r="G224" s="20" t="n">
        <x:v>65</x:v>
      </x:c>
      <x:c r="H224" s="20" t="str">
        <x:v>Operaciones</x:v>
      </x:c>
      <x:c r="I224" s="20" t="str">
        <x:v>Resultados estratégicos</x:v>
      </x:c>
      <x:c r="J224" s="20" t="str">
        <x:v>S1. Generar impacto integral y medible</x:v>
      </x:c>
      <x:c r="K224" s="20" t="n">
        <x:v>30.596330275229356</x:v>
      </x:c>
      <x:c r="L224" s="20" t="n">
        <x:v>23.29935275080906</x:v>
      </x:c>
      <x:c r="M224" s="52" t="n">
        <x:v>0.31318370095782644</x:v>
      </x:c>
      <x:c r="N224" s="20" t="str">
        <x:v>Strong improvement</x:v>
      </x:c>
      <x:c r="O224" s="20" t="str">
        <x:v>Prototype retrieval heuristic; association is not proof of causality.</x:v>
      </x:c>
      <x:c r="P224" s="20" t="str">
        <x:v>YES</x:v>
      </x:c>
    </x:row>
    <x:row r="225">
      <x:c r="A225" s="20" t="str">
        <x:v>OPS-019</x:v>
      </x:c>
      <x:c r="B225" s="20" t="str">
        <x:v>Proyectos OSC con seguimiento y reporte de resultados aprobado</x:v>
      </x:c>
      <x:c r="C225" s="20" t="n">
        <x:v>8</x:v>
      </x:c>
      <x:c r="D225" s="20" t="str">
        <x:v>OPS-012</x:v>
      </x:c>
      <x:c r="E225" s="20" t="str">
        <x:v>Países con plan de escalamiento de nutrición listo para 2027</x:v>
      </x:c>
      <x:c r="F225" s="20" t="str">
        <x:v>Same department; Same BSC perspective</x:v>
      </x:c>
      <x:c r="G225" s="20" t="n">
        <x:v>37</x:v>
      </x:c>
      <x:c r="H225" s="20" t="str">
        <x:v>Operaciones</x:v>
      </x:c>
      <x:c r="I225" s="20" t="str">
        <x:v>Procesos internos</x:v>
      </x:c>
      <x:c r="J225" s="20" t="str">
        <x:v>P1. Estandarizar y escalar programas</x:v>
      </x:c>
      <x:c r="K225" s="20" t="n">
        <x:v>100</x:v>
      </x:c>
      <x:c r="L225" s="20" t="n">
        <x:v>91.66666666666667</x:v>
      </x:c>
      <x:c r="M225" s="52" t="n">
        <x:v>0.09090909090909086</x:v>
      </x:c>
      <x:c r="N225" s="20" t="str">
        <x:v>Improving</x:v>
      </x:c>
      <x:c r="O225" s="20" t="str">
        <x:v>Prototype retrieval heuristic; association is not proof of causality.</x:v>
      </x:c>
      <x:c r="P225" s="20" t="str">
        <x:v>YES</x:v>
      </x:c>
    </x:row>
    <x:row r="226">
      <x:c r="A226" s="20" t="str">
        <x:v>OPS-020</x:v>
      </x:c>
      <x:c r="B226" s="20" t="str">
        <x:v>Donativos en especie asignados a organizaciones elegibles</x:v>
      </x:c>
      <x:c r="C226" s="20" t="n">
        <x:v>1</x:v>
      </x:c>
      <x:c r="D226" s="20" t="str">
        <x:v>OPS-016</x:v>
      </x:c>
      <x:c r="E226" s="20" t="str">
        <x:v>Proyectos OSC financiados conforme a reglas de operación</x:v>
      </x:c>
      <x:c r="F226" s="20" t="str">
        <x:v>Same strategic objective; Same department; Same BSC perspective</x:v>
      </x:c>
      <x:c r="G226" s="20" t="n">
        <x:v>87</x:v>
      </x:c>
      <x:c r="H226" s="20" t="str">
        <x:v>Operaciones</x:v>
      </x:c>
      <x:c r="I226" s="20" t="str">
        <x:v>Procesos internos</x:v>
      </x:c>
      <x:c r="J226" s="20" t="str">
        <x:v>P6. Construir ecosistema de alianzas</x:v>
      </x:c>
      <x:c r="K226" s="20" t="n">
        <x:v>4</x:v>
      </x:c>
      <x:c r="L226" s="20" t="n">
        <x:v>2.6666666666666665</x:v>
      </x:c>
      <x:c r="M226" s="52" t="n">
        <x:v>0.5000000000000001</x:v>
      </x:c>
      <x:c r="N226" s="20" t="str">
        <x:v>Strong improvement</x:v>
      </x:c>
      <x:c r="O226" s="20" t="str">
        <x:v>Prototype retrieval heuristic; association is not proof of causality.</x:v>
      </x:c>
      <x:c r="P226" s="20" t="str">
        <x:v>YES</x:v>
      </x:c>
    </x:row>
    <x:row r="227">
      <x:c r="A227" s="20" t="str">
        <x:v>OPS-020</x:v>
      </x:c>
      <x:c r="B227" s="20" t="str">
        <x:v>Donativos en especie asignados a organizaciones elegibles</x:v>
      </x:c>
      <x:c r="C227" s="20" t="n">
        <x:v>2</x:v>
      </x:c>
      <x:c r="D227" s="20" t="str">
        <x:v>FND-016</x:v>
      </x:c>
      <x:c r="E227" s="20" t="str">
        <x:v>Nuevas alianzas estratégicas activas por país</x:v>
      </x:c>
      <x:c r="F227" s="20" t="str">
        <x:v>Same strategic objective; Same BSC perspective</x:v>
      </x:c>
      <x:c r="G227" s="20" t="n">
        <x:v>62</x:v>
      </x:c>
      <x:c r="H227" s="20" t="str">
        <x:v>Procuración de Fondos</x:v>
      </x:c>
      <x:c r="I227" s="20" t="str">
        <x:v>Procesos internos</x:v>
      </x:c>
      <x:c r="J227" s="20" t="str">
        <x:v>P6. Construir ecosistema de alianzas</x:v>
      </x:c>
      <x:c r="K227" s="20" t="n">
        <x:v>4</x:v>
      </x:c>
      <x:c r="L227" s="20" t="n">
        <x:v>2.6666666666666665</x:v>
      </x:c>
      <x:c r="M227" s="52" t="n">
        <x:v>0.5000000000000001</x:v>
      </x:c>
      <x:c r="N227" s="20" t="str">
        <x:v>Strong improvement</x:v>
      </x:c>
      <x:c r="O227" s="20" t="str">
        <x:v>Prototype retrieval heuristic; association is not proof of causality.</x:v>
      </x:c>
      <x:c r="P227" s="20" t="str">
        <x:v>YES</x:v>
      </x:c>
    </x:row>
    <x:row r="228">
      <x:c r="A228" s="20" t="str">
        <x:v>OPS-020</x:v>
      </x:c>
      <x:c r="B228" s="20" t="str">
        <x:v>Donativos en especie asignados a organizaciones elegibles</x:v>
      </x:c>
      <x:c r="C228" s="20" t="n">
        <x:v>3</x:v>
      </x:c>
      <x:c r="D228" s="20" t="str">
        <x:v>REC-P07</x:v>
      </x:c>
      <x:c r="E228" s="20" t="str">
        <x:v>Conversión de alianzas estratégicas a recursos o capacidad programática</x:v>
      </x:c>
      <x:c r="F228" s="20" t="str">
        <x:v>Same strategic objective; Same BSC perspective</x:v>
      </x:c>
      <x:c r="G228" s="20" t="n">
        <x:v>60</x:v>
      </x:c>
      <x:c r="H228" s="20" t="str">
        <x:v>Procuración de Fondos</x:v>
      </x:c>
      <x:c r="I228" s="20" t="str">
        <x:v>Procesos internos</x:v>
      </x:c>
      <x:c r="J228" s="20" t="str">
        <x:v>P6. Construir ecosistema de alianzas</x:v>
      </x:c>
      <x:c r="K228" s="20" t="n">
        <x:v>72</x:v>
      </x:c>
      <x:c r="L228" s="20" t="n">
        <x:v>61.16347381864623</x:v>
      </x:c>
      <x:c r="M228" s="52" t="n">
        <x:v>0.17717316406005307</x:v>
      </x:c>
      <x:c r="N228" s="20" t="str">
        <x:v>Strong improvement</x:v>
      </x:c>
      <x:c r="O228" s="20" t="str">
        <x:v>Prototype retrieval heuristic; association is not proof of causality.</x:v>
      </x:c>
      <x:c r="P228" s="20" t="str">
        <x:v>YES</x:v>
      </x:c>
    </x:row>
    <x:row r="229">
      <x:c r="A229" s="20" t="str">
        <x:v>OPS-020</x:v>
      </x:c>
      <x:c r="B229" s="20" t="str">
        <x:v>Donativos en especie asignados a organizaciones elegibles</x:v>
      </x:c>
      <x:c r="C229" s="20" t="n">
        <x:v>4</x:v>
      </x:c>
      <x:c r="D229" s="20" t="str">
        <x:v>ADM-004</x:v>
      </x:c>
      <x:c r="E229" s="20" t="str">
        <x:v>Presupuestos anuales aprobados dentro del calendario</x:v>
      </x:c>
      <x:c r="F229" s="20" t="str">
        <x:v>Strategic-map adjacent objective</x:v>
      </x:c>
      <x:c r="G229" s="20" t="n">
        <x:v>42</x:v>
      </x:c>
      <x:c r="H229" s="20" t="str">
        <x:v>Administración</x:v>
      </x:c>
      <x:c r="I229" s="20" t="str">
        <x:v>Capacidades y tecnología</x:v>
      </x:c>
      <x:c r="J229" s="20" t="str">
        <x:v>L4. Fortalecer colaboración interdepartamental</x:v>
      </x:c>
      <x:c r="K229" s="20" t="n">
        <x:v>100</x:v>
      </x:c>
      <x:c r="L229" s="20" t="n">
        <x:v>88.9514687100894</x:v>
      </x:c>
      <x:c r="M229" s="52" t="n">
        <x:v>0.12420853135005526</x:v>
      </x:c>
      <x:c r="N229" s="20" t="str">
        <x:v>Strong improvement</x:v>
      </x:c>
      <x:c r="O229" s="20" t="str">
        <x:v>Prototype retrieval heuristic; association is not proof of causality.</x:v>
      </x:c>
      <x:c r="P229" s="20" t="str">
        <x:v>YES</x:v>
      </x:c>
    </x:row>
    <x:row r="230">
      <x:c r="A230" s="20" t="str">
        <x:v>OPS-020</x:v>
      </x:c>
      <x:c r="B230" s="20" t="str">
        <x:v>Donativos en especie asignados a organizaciones elegibles</x:v>
      </x:c>
      <x:c r="C230" s="20" t="n">
        <x:v>5</x:v>
      </x:c>
      <x:c r="D230" s="20" t="str">
        <x:v>ADM-012</x:v>
      </x:c>
      <x:c r="E230" s="20" t="str">
        <x:v>Nuevos convenios universitarios activados</x:v>
      </x:c>
      <x:c r="F230" s="20" t="str">
        <x:v>Strategic-map adjacent objective</x:v>
      </x:c>
      <x:c r="G230" s="20" t="n">
        <x:v>42</x:v>
      </x:c>
      <x:c r="H230" s="20" t="str">
        <x:v>Administración</x:v>
      </x:c>
      <x:c r="I230" s="20" t="str">
        <x:v>Capacidades y tecnología</x:v>
      </x:c>
      <x:c r="J230" s="20" t="str">
        <x:v>L4. Fortalecer colaboración interdepartamental</x:v>
      </x:c>
      <x:c r="K230" s="20" t="n">
        <x:v>2</x:v>
      </x:c>
      <x:c r="L230" s="20" t="n">
        <x:v>1.3333333333333333</x:v>
      </x:c>
      <x:c r="M230" s="52" t="n">
        <x:v>0.5000000000000001</x:v>
      </x:c>
      <x:c r="N230" s="20" t="str">
        <x:v>Strong improvement</x:v>
      </x:c>
      <x:c r="O230" s="20" t="str">
        <x:v>Prototype retrieval heuristic; association is not proof of causality.</x:v>
      </x:c>
      <x:c r="P230" s="20" t="str">
        <x:v>YES</x:v>
      </x:c>
    </x:row>
    <x:row r="231">
      <x:c r="A231" s="20" t="str">
        <x:v>OPS-020</x:v>
      </x:c>
      <x:c r="B231" s="20" t="str">
        <x:v>Donativos en especie asignados a organizaciones elegibles</x:v>
      </x:c>
      <x:c r="C231" s="20" t="n">
        <x:v>6</x:v>
      </x:c>
      <x:c r="D231" s="20" t="str">
        <x:v>OPS-009</x:v>
      </x:c>
      <x:c r="E231" s="20" t="str">
        <x:v>Cobertura de seguimiento nutricional con registros completos</x:v>
      </x:c>
      <x:c r="F231" s="20" t="str">
        <x:v>Same department; Same BSC perspective</x:v>
      </x:c>
      <x:c r="G231" s="20" t="n">
        <x:v>37</x:v>
      </x:c>
      <x:c r="H231" s="20" t="str">
        <x:v>Operaciones</x:v>
      </x:c>
      <x:c r="I231" s="20" t="str">
        <x:v>Procesos internos</x:v>
      </x:c>
      <x:c r="J231" s="20" t="str">
        <x:v>P2. Fortalecer medición de impacto</x:v>
      </x:c>
      <x:c r="K231" s="20" t="n">
        <x:v>96</x:v>
      </x:c>
      <x:c r="L231" s="20" t="n">
        <x:v>84.01745423584504</x:v>
      </x:c>
      <x:c r="M231" s="52" t="n">
        <x:v>0.14261971959444059</x:v>
      </x:c>
      <x:c r="N231" s="20" t="str">
        <x:v>Strong improvement</x:v>
      </x:c>
      <x:c r="O231" s="20" t="str">
        <x:v>Prototype retrieval heuristic; association is not proof of causality.</x:v>
      </x:c>
      <x:c r="P231" s="20" t="str">
        <x:v>YES</x:v>
      </x:c>
    </x:row>
    <x:row r="232">
      <x:c r="A232" s="20" t="str">
        <x:v>OPS-020</x:v>
      </x:c>
      <x:c r="B232" s="20" t="str">
        <x:v>Donativos en especie asignados a organizaciones elegibles</x:v>
      </x:c>
      <x:c r="C232" s="20" t="n">
        <x:v>7</x:v>
      </x:c>
      <x:c r="D232" s="20" t="str">
        <x:v>OPS-012</x:v>
      </x:c>
      <x:c r="E232" s="20" t="str">
        <x:v>Países con plan de escalamiento de nutrición listo para 2027</x:v>
      </x:c>
      <x:c r="F232" s="20" t="str">
        <x:v>Same department; Same BSC perspective</x:v>
      </x:c>
      <x:c r="G232" s="20" t="n">
        <x:v>37</x:v>
      </x:c>
      <x:c r="H232" s="20" t="str">
        <x:v>Operaciones</x:v>
      </x:c>
      <x:c r="I232" s="20" t="str">
        <x:v>Procesos internos</x:v>
      </x:c>
      <x:c r="J232" s="20" t="str">
        <x:v>P1. Estandarizar y escalar programas</x:v>
      </x:c>
      <x:c r="K232" s="20" t="n">
        <x:v>100</x:v>
      </x:c>
      <x:c r="L232" s="20" t="n">
        <x:v>91.66666666666667</x:v>
      </x:c>
      <x:c r="M232" s="52" t="n">
        <x:v>0.09090909090909086</x:v>
      </x:c>
      <x:c r="N232" s="20" t="str">
        <x:v>Improving</x:v>
      </x:c>
      <x:c r="O232" s="20" t="str">
        <x:v>Prototype retrieval heuristic; association is not proof of causality.</x:v>
      </x:c>
      <x:c r="P232" s="20" t="str">
        <x:v>YES</x:v>
      </x:c>
    </x:row>
    <x:row r="233">
      <x:c r="A233" s="20" t="str">
        <x:v>OPS-020</x:v>
      </x:c>
      <x:c r="B233" s="20" t="str">
        <x:v>Donativos en especie asignados a organizaciones elegibles</x:v>
      </x:c>
      <x:c r="C233" s="20" t="n">
        <x:v>8</x:v>
      </x:c>
      <x:c r="D233" s="20" t="str">
        <x:v>OPS-019</x:v>
      </x:c>
      <x:c r="E233" s="20" t="str">
        <x:v>Proyectos OSC con seguimiento y reporte de resultados aprobado</x:v>
      </x:c>
      <x:c r="F233" s="20" t="str">
        <x:v>Same department; Same BSC perspective</x:v>
      </x:c>
      <x:c r="G233" s="20" t="n">
        <x:v>37</x:v>
      </x:c>
      <x:c r="H233" s="20" t="str">
        <x:v>Operaciones</x:v>
      </x:c>
      <x:c r="I233" s="20" t="str">
        <x:v>Procesos internos</x:v>
      </x:c>
      <x:c r="J233" s="20" t="str">
        <x:v>P2. Fortalecer medición de impacto</x:v>
      </x:c>
      <x:c r="K233" s="20" t="n">
        <x:v>100</x:v>
      </x:c>
      <x:c r="L233" s="20" t="n">
        <x:v>88.9514687100894</x:v>
      </x:c>
      <x:c r="M233" s="52" t="n">
        <x:v>0.12420853135005526</x:v>
      </x:c>
      <x:c r="N233" s="20" t="str">
        <x:v>Strong improvement</x:v>
      </x:c>
      <x:c r="O233" s="20" t="str">
        <x:v>Prototype retrieval heuristic; association is not proof of causality.</x:v>
      </x:c>
      <x:c r="P233" s="20" t="str">
        <x:v>YES</x:v>
      </x:c>
    </x:row>
    <x:row r="234">
      <x:c r="A234" s="20" t="str">
        <x:v>LEG-001</x:v>
      </x:c>
      <x:c r="B234" s="20" t="str">
        <x:v>Tiempo de ciclo para liberación contractual</x:v>
      </x:c>
      <x:c r="C234" s="20" t="n">
        <x:v>1</x:v>
      </x:c>
      <x:c r="D234" s="20" t="str">
        <x:v>LEG-004</x:v>
      </x:c>
      <x:c r="E234" s="20" t="str">
        <x:v>Reducción de procesos administrativos duplicados por estructura societaria</x:v>
      </x:c>
      <x:c r="F234" s="20" t="str">
        <x:v>Same strategic objective; Same department; Same BSC perspective</x:v>
      </x:c>
      <x:c r="G234" s="20" t="n">
        <x:v>87</x:v>
      </x:c>
      <x:c r="H234" s="20" t="str">
        <x:v>Jurídico</x:v>
      </x:c>
      <x:c r="I234" s="20" t="str">
        <x:v>Procesos internos</x:v>
      </x:c>
      <x:c r="J234" s="20" t="str">
        <x:v>P4. Simplificar y digitalizar procesos</x:v>
      </x:c>
      <x:c r="K234" s="20" t="n">
        <x:v>52</x:v>
      </x:c>
      <x:c r="L234" s="20" t="n">
        <x:v>41</x:v>
      </x:c>
      <x:c r="M234" s="52" t="n">
        <x:v>0.2682926829268293</x:v>
      </x:c>
      <x:c r="N234" s="20" t="str">
        <x:v>Strong improvement</x:v>
      </x:c>
      <x:c r="O234" s="20" t="str">
        <x:v>Prototype retrieval heuristic; association is not proof of causality.</x:v>
      </x:c>
      <x:c r="P234" s="20" t="str">
        <x:v>YES</x:v>
      </x:c>
    </x:row>
    <x:row r="235">
      <x:c r="A235" s="20" t="str">
        <x:v>LEG-001</x:v>
      </x:c>
      <x:c r="B235" s="20" t="str">
        <x:v>Tiempo de ciclo para liberación contractual</x:v>
      </x:c>
      <x:c r="C235" s="20" t="n">
        <x:v>2</x:v>
      </x:c>
      <x:c r="D235" s="20" t="str">
        <x:v>ADM-001</x:v>
      </x:c>
      <x:c r="E235" s="20" t="str">
        <x:v>Facturación de donativos emitida dentro del SLA</x:v>
      </x:c>
      <x:c r="F235" s="20" t="str">
        <x:v>Same strategic objective; Same BSC perspective</x:v>
      </x:c>
      <x:c r="G235" s="20" t="n">
        <x:v>62</x:v>
      </x:c>
      <x:c r="H235" s="20" t="str">
        <x:v>Administración</x:v>
      </x:c>
      <x:c r="I235" s="20" t="str">
        <x:v>Procesos internos</x:v>
      </x:c>
      <x:c r="J235" s="20" t="str">
        <x:v>P4. Simplificar y digitalizar procesos</x:v>
      </x:c>
      <x:c r="K235" s="20" t="n">
        <x:v>100</x:v>
      </x:c>
      <x:c r="L235" s="20" t="n">
        <x:v>89.08024931406226</x:v>
      </x:c>
      <x:c r="M235" s="52" t="n">
        <x:v>0.12258329730801444</x:v>
      </x:c>
      <x:c r="N235" s="20" t="str">
        <x:v>Strong improvement</x:v>
      </x:c>
      <x:c r="O235" s="20" t="str">
        <x:v>Prototype retrieval heuristic; association is not proof of causality.</x:v>
      </x:c>
      <x:c r="P235" s="20" t="str">
        <x:v>YES</x:v>
      </x:c>
    </x:row>
    <x:row r="236">
      <x:c r="A236" s="20" t="str">
        <x:v>LEG-001</x:v>
      </x:c>
      <x:c r="B236" s="20" t="str">
        <x:v>Tiempo de ciclo para liberación contractual</x:v>
      </x:c>
      <x:c r="C236" s="20" t="n">
        <x:v>3</x:v>
      </x:c>
      <x:c r="D236" s="20" t="str">
        <x:v>ADM-002</x:v>
      </x:c>
      <x:c r="E236" s="20" t="str">
        <x:v>Solicitudes de compra procesadas dentro del SLA</x:v>
      </x:c>
      <x:c r="F236" s="20" t="str">
        <x:v>Same strategic objective; Same BSC perspective</x:v>
      </x:c>
      <x:c r="G236" s="20" t="n">
        <x:v>62</x:v>
      </x:c>
      <x:c r="H236" s="20" t="str">
        <x:v>Administración</x:v>
      </x:c>
      <x:c r="I236" s="20" t="str">
        <x:v>Procesos internos</x:v>
      </x:c>
      <x:c r="J236" s="20" t="str">
        <x:v>P4. Simplificar y digitalizar procesos</x:v>
      </x:c>
      <x:c r="K236" s="20" t="n">
        <x:v>100</x:v>
      </x:c>
      <x:c r="L236" s="20" t="n">
        <x:v>89.08024931406226</x:v>
      </x:c>
      <x:c r="M236" s="52" t="n">
        <x:v>0.12258329730801444</x:v>
      </x:c>
      <x:c r="N236" s="20" t="str">
        <x:v>Strong improvement</x:v>
      </x:c>
      <x:c r="O236" s="20" t="str">
        <x:v>Prototype retrieval heuristic; association is not proof of causality.</x:v>
      </x:c>
      <x:c r="P236" s="20" t="str">
        <x:v>YES</x:v>
      </x:c>
    </x:row>
    <x:row r="237">
      <x:c r="A237" s="20" t="str">
        <x:v>LEG-001</x:v>
      </x:c>
      <x:c r="B237" s="20" t="str">
        <x:v>Tiempo de ciclo para liberación contractual</x:v>
      </x:c>
      <x:c r="C237" s="20" t="n">
        <x:v>4</x:v>
      </x:c>
      <x:c r="D237" s="20" t="str">
        <x:v>LEG-003</x:v>
      </x:c>
      <x:c r="E237" s="20" t="str">
        <x:v>Reducción de cargas regulatorias duplicadas con cumplimiento íntegro</x:v>
      </x:c>
      <x:c r="F237" s="20" t="str">
        <x:v>Strategic-map adjacent objective; Same department; Same BSC perspective</x:v>
      </x:c>
      <x:c r="G237" s="20" t="n">
        <x:v>77</x:v>
      </x:c>
      <x:c r="H237" s="20" t="str">
        <x:v>Jurídico</x:v>
      </x:c>
      <x:c r="I237" s="20" t="str">
        <x:v>Procesos internos</x:v>
      </x:c>
      <x:c r="J237" s="20" t="str">
        <x:v>P5. Fortalecer cumplimiento, transparencia y gobierno</x:v>
      </x:c>
      <x:c r="K237" s="20" t="n">
        <x:v>52</x:v>
      </x:c>
      <x:c r="L237" s="20" t="n">
        <x:v>41</x:v>
      </x:c>
      <x:c r="M237" s="52" t="n">
        <x:v>0.2682926829268293</x:v>
      </x:c>
      <x:c r="N237" s="20" t="str">
        <x:v>Strong improvement</x:v>
      </x:c>
      <x:c r="O237" s="20" t="str">
        <x:v>Prototype retrieval heuristic; association is not proof of causality.</x:v>
      </x:c>
      <x:c r="P237" s="20" t="str">
        <x:v>YES</x:v>
      </x:c>
    </x:row>
    <x:row r="238">
      <x:c r="A238" s="20" t="str">
        <x:v>LEG-001</x:v>
      </x:c>
      <x:c r="B238" s="20" t="str">
        <x:v>Tiempo de ciclo para liberación contractual</x:v>
      </x:c>
      <x:c r="C238" s="20" t="n">
        <x:v>5</x:v>
      </x:c>
      <x:c r="D238" s="20" t="str">
        <x:v>LEG-015</x:v>
      </x:c>
      <x:c r="E238" s="20" t="str">
        <x:v>Proyectos OSC con reglas de operación aplicables antes de aprobación</x:v>
      </x:c>
      <x:c r="F238" s="20" t="str">
        <x:v>Strategic-map adjacent objective; Same department; Same BSC perspective</x:v>
      </x:c>
      <x:c r="G238" s="20" t="n">
        <x:v>77</x:v>
      </x:c>
      <x:c r="H238" s="20" t="str">
        <x:v>Jurídico</x:v>
      </x:c>
      <x:c r="I238" s="20" t="str">
        <x:v>Procesos internos</x:v>
      </x:c>
      <x:c r="J238" s="20" t="str">
        <x:v>P5. Fortalecer cumplimiento, transparencia y gobierno</x:v>
      </x:c>
      <x:c r="K238" s="20" t="n">
        <x:v>100</x:v>
      </x:c>
      <x:c r="L238" s="20" t="n">
        <x:v>88.9514687100894</x:v>
      </x:c>
      <x:c r="M238" s="52" t="n">
        <x:v>0.12420853135005526</x:v>
      </x:c>
      <x:c r="N238" s="20" t="str">
        <x:v>Strong improvement</x:v>
      </x:c>
      <x:c r="O238" s="20" t="str">
        <x:v>Prototype retrieval heuristic; association is not proof of causality.</x:v>
      </x:c>
      <x:c r="P238" s="20" t="str">
        <x:v>YES</x:v>
      </x:c>
    </x:row>
    <x:row r="239">
      <x:c r="A239" s="20" t="str">
        <x:v>LEG-001</x:v>
      </x:c>
      <x:c r="B239" s="20" t="str">
        <x:v>Tiempo de ciclo para liberación contractual</x:v>
      </x:c>
      <x:c r="C239" s="20" t="n">
        <x:v>6</x:v>
      </x:c>
      <x:c r="D239" s="20" t="str">
        <x:v>LEG-016</x:v>
      </x:c>
      <x:c r="E239" s="20" t="str">
        <x:v>Donativos a OSC con convenio formalizado previo al desembolso</x:v>
      </x:c>
      <x:c r="F239" s="20" t="str">
        <x:v>Strategic-map adjacent objective; Same department; Same BSC perspective</x:v>
      </x:c>
      <x:c r="G239" s="20" t="n">
        <x:v>77</x:v>
      </x:c>
      <x:c r="H239" s="20" t="str">
        <x:v>Jurídico</x:v>
      </x:c>
      <x:c r="I239" s="20" t="str">
        <x:v>Procesos internos</x:v>
      </x:c>
      <x:c r="J239" s="20" t="str">
        <x:v>P5. Fortalecer cumplimiento, transparencia y gobierno</x:v>
      </x:c>
      <x:c r="K239" s="20" t="n">
        <x:v>100</x:v>
      </x:c>
      <x:c r="L239" s="20" t="n">
        <x:v>89.19551966335592</x:v>
      </x:c>
      <x:c r="M239" s="52" t="n">
        <x:v>0.12113254541733295</x:v>
      </x:c>
      <x:c r="N239" s="20" t="str">
        <x:v>Strong improvement</x:v>
      </x:c>
      <x:c r="O239" s="20" t="str">
        <x:v>Prototype retrieval heuristic; association is not proof of causality.</x:v>
      </x:c>
      <x:c r="P239" s="20" t="str">
        <x:v>YES</x:v>
      </x:c>
    </x:row>
    <x:row r="240">
      <x:c r="A240" s="20" t="str">
        <x:v>LEG-001</x:v>
      </x:c>
      <x:c r="B240" s="20" t="str">
        <x:v>Tiempo de ciclo para liberación contractual</x:v>
      </x:c>
      <x:c r="C240" s="20" t="n">
        <x:v>7</x:v>
      </x:c>
      <x:c r="D240" s="20" t="str">
        <x:v>LEG-017</x:v>
      </x:c>
      <x:c r="E240" s="20" t="str">
        <x:v>Proyectos OSC con cierre operativo-financiero validado</x:v>
      </x:c>
      <x:c r="F240" s="20" t="str">
        <x:v>Strategic-map adjacent objective; Same department; Same BSC perspective</x:v>
      </x:c>
      <x:c r="G240" s="20" t="n">
        <x:v>77</x:v>
      </x:c>
      <x:c r="H240" s="20" t="str">
        <x:v>Jurídico</x:v>
      </x:c>
      <x:c r="I240" s="20" t="str">
        <x:v>Procesos internos</x:v>
      </x:c>
      <x:c r="J240" s="20" t="str">
        <x:v>P5. Fortalecer cumplimiento, transparencia y gobierno</x:v>
      </x:c>
      <x:c r="K240" s="20" t="n">
        <x:v>100</x:v>
      </x:c>
      <x:c r="L240" s="20" t="n">
        <x:v>88.9514687100894</x:v>
      </x:c>
      <x:c r="M240" s="52" t="n">
        <x:v>0.12420853135005526</x:v>
      </x:c>
      <x:c r="N240" s="20" t="str">
        <x:v>Strong improvement</x:v>
      </x:c>
      <x:c r="O240" s="20" t="str">
        <x:v>Prototype retrieval heuristic; association is not proof of causality.</x:v>
      </x:c>
      <x:c r="P240" s="20" t="str">
        <x:v>YES</x:v>
      </x:c>
    </x:row>
    <x:row r="241">
      <x:c r="A241" s="20" t="str">
        <x:v>LEG-001</x:v>
      </x:c>
      <x:c r="B241" s="20" t="str">
        <x:v>Tiempo de ciclo para liberación contractual</x:v>
      </x:c>
      <x:c r="C241" s="20" t="n">
        <x:v>8</x:v>
      </x:c>
      <x:c r="D241" s="20" t="str">
        <x:v>REC-P06</x:v>
      </x:c>
      <x:c r="E241" s="20" t="str">
        <x:v>Obligaciones regulatorias vencidas</x:v>
      </x:c>
      <x:c r="F241" s="20" t="str">
        <x:v>Strategic-map adjacent objective; Same department; Same BSC perspective</x:v>
      </x:c>
      <x:c r="G241" s="20" t="n">
        <x:v>75</x:v>
      </x:c>
      <x:c r="H241" s="20" t="str">
        <x:v>Jurídico</x:v>
      </x:c>
      <x:c r="I241" s="20" t="str">
        <x:v>Procesos internos</x:v>
      </x:c>
      <x:c r="J241" s="20" t="str">
        <x:v>P5. Fortalecer cumplimiento, transparencia y gobierno</x:v>
      </x:c>
      <x:c r="K241" s="20" t="n">
        <x:v>0</x:v>
      </x:c>
      <x:c r="L241" s="20" t="n">
        <x:v>2.6666666666666665</x:v>
      </x:c>
      <x:c r="M241" s="52" t="n">
        <x:v>1</x:v>
      </x:c>
      <x:c r="N241" s="20" t="str">
        <x:v>Strong improvement</x:v>
      </x:c>
      <x:c r="O241" s="20" t="str">
        <x:v>Prototype retrieval heuristic; association is not proof of causality.</x:v>
      </x:c>
      <x:c r="P241" s="20" t="str">
        <x:v>YES</x:v>
      </x:c>
    </x:row>
    <x:row r="242">
      <x:c r="A242" s="20" t="str">
        <x:v>LEG-002</x:v>
      </x:c>
      <x:c r="B242" s="20" t="str">
        <x:v>Expedientes jurídicos completos en repositorio digital</x:v>
      </x:c>
      <x:c r="C242" s="20" t="n">
        <x:v>1</x:v>
      </x:c>
      <x:c r="D242" s="20" t="str">
        <x:v>LEG-008</x:v>
      </x:c>
      <x:c r="E242" s="20" t="str">
        <x:v>Adopción activa de WEBDOX por usuarios jurídicos</x:v>
      </x:c>
      <x:c r="F242" s="20" t="str">
        <x:v>Same strategic objective; Same department; Same BSC perspective</x:v>
      </x:c>
      <x:c r="G242" s="20" t="n">
        <x:v>87</x:v>
      </x:c>
      <x:c r="H242" s="20" t="str">
        <x:v>Jurídico</x:v>
      </x:c>
      <x:c r="I242" s="20" t="str">
        <x:v>Capacidades y tecnología</x:v>
      </x:c>
      <x:c r="J242" s="20" t="str">
        <x:v>L2. Integrar información en una sola plataforma</x:v>
      </x:c>
      <x:c r="K242" s="20" t="n">
        <x:v>90.9090909090909</x:v>
      </x:c>
      <x:c r="L242" s="20" t="n">
        <x:v>81.3625527232716</x:v>
      </x:c>
      <x:c r="M242" s="52" t="n">
        <x:v>0.11733331694113337</x:v>
      </x:c>
      <x:c r="N242" s="20" t="str">
        <x:v>Strong improvement</x:v>
      </x:c>
      <x:c r="O242" s="20" t="str">
        <x:v>Prototype retrieval heuristic; association is not proof of causality.</x:v>
      </x:c>
      <x:c r="P242" s="20" t="str">
        <x:v>YES</x:v>
      </x:c>
    </x:row>
    <x:row r="243">
      <x:c r="A243" s="20" t="str">
        <x:v>LEG-002</x:v>
      </x:c>
      <x:c r="B243" s="20" t="str">
        <x:v>Expedientes jurídicos completos en repositorio digital</x:v>
      </x:c>
      <x:c r="C243" s="20" t="n">
        <x:v>2</x:v>
      </x:c>
      <x:c r="D243" s="20" t="str">
        <x:v>LEG-009</x:v>
      </x:c>
      <x:c r="E243" s="20" t="str">
        <x:v>Convenios tramitados end-to-end en WEBDOX</x:v>
      </x:c>
      <x:c r="F243" s="20" t="str">
        <x:v>Same strategic objective; Same department; Same BSC perspective</x:v>
      </x:c>
      <x:c r="G243" s="20" t="n">
        <x:v>87</x:v>
      </x:c>
      <x:c r="H243" s="20" t="str">
        <x:v>Jurídico</x:v>
      </x:c>
      <x:c r="I243" s="20" t="str">
        <x:v>Capacidades y tecnología</x:v>
      </x:c>
      <x:c r="J243" s="20" t="str">
        <x:v>L2. Integrar información en una sola plataforma</x:v>
      </x:c>
      <x:c r="K243" s="20" t="n">
        <x:v>92.04545454545455</x:v>
      </x:c>
      <x:c r="L243" s="20" t="n">
        <x:v>81.2376620563755</x:v>
      </x:c>
      <x:c r="M243" s="52" t="n">
        <x:v>0.13303918669617668</x:v>
      </x:c>
      <x:c r="N243" s="20" t="str">
        <x:v>Strong improvement</x:v>
      </x:c>
      <x:c r="O243" s="20" t="str">
        <x:v>Prototype retrieval heuristic; association is not proof of causality.</x:v>
      </x:c>
      <x:c r="P243" s="20" t="str">
        <x:v>YES</x:v>
      </x:c>
    </x:row>
    <x:row r="244">
      <x:c r="A244" s="20" t="str">
        <x:v>LEG-002</x:v>
      </x:c>
      <x:c r="B244" s="20" t="str">
        <x:v>Expedientes jurídicos completos en repositorio digital</x:v>
      </x:c>
      <x:c r="C244" s="20" t="n">
        <x:v>3</x:v>
      </x:c>
      <x:c r="D244" s="20" t="str">
        <x:v>REC-L02</x:v>
      </x:c>
      <x:c r="E244" s="20" t="str">
        <x:v>Adopción de la plataforma de gestión</x:v>
      </x:c>
      <x:c r="F244" s="20" t="str">
        <x:v>Same strategic objective; Same BSC perspective</x:v>
      </x:c>
      <x:c r="G244" s="20" t="n">
        <x:v>60</x:v>
      </x:c>
      <x:c r="H244" s="20" t="str">
        <x:v>Dirección + Administración</x:v>
      </x:c>
      <x:c r="I244" s="20" t="str">
        <x:v>Capacidades y tecnología</x:v>
      </x:c>
      <x:c r="J244" s="20" t="str">
        <x:v>L2. Integrar información en una sola plataforma</x:v>
      </x:c>
      <x:c r="K244" s="20" t="n">
        <x:v>92</x:v>
      </x:c>
      <x:c r="L244" s="20" t="n">
        <x:v>80.92081736909323</x:v>
      </x:c>
      <x:c r="M244" s="52" t="n">
        <x:v>0.13691387446536518</x:v>
      </x:c>
      <x:c r="N244" s="20" t="str">
        <x:v>Strong improvement</x:v>
      </x:c>
      <x:c r="O244" s="20" t="str">
        <x:v>Prototype retrieval heuristic; association is not proof of causality.</x:v>
      </x:c>
      <x:c r="P244" s="20" t="str">
        <x:v>YES</x:v>
      </x:c>
    </x:row>
    <x:row r="245">
      <x:c r="A245" s="20" t="str">
        <x:v>LEG-002</x:v>
      </x:c>
      <x:c r="B245" s="20" t="str">
        <x:v>Expedientes jurídicos completos en repositorio digital</x:v>
      </x:c>
      <x:c r="C245" s="20" t="n">
        <x:v>4</x:v>
      </x:c>
      <x:c r="D245" s="20" t="str">
        <x:v>LEG-001</x:v>
      </x:c>
      <x:c r="E245" s="20" t="str">
        <x:v>Tiempo de ciclo para liberación contractual</x:v>
      </x:c>
      <x:c r="F245" s="20" t="str">
        <x:v>Strategic-map adjacent objective; Same department</x:v>
      </x:c>
      <x:c r="G245" s="20" t="n">
        <x:v>67</x:v>
      </x:c>
      <x:c r="H245" s="20" t="str">
        <x:v>Jurídico</x:v>
      </x:c>
      <x:c r="I245" s="20" t="str">
        <x:v>Procesos internos</x:v>
      </x:c>
      <x:c r="J245" s="20" t="str">
        <x:v>P4. Simplificar y digitalizar procesos</x:v>
      </x:c>
      <x:c r="K245" s="20" t="n">
        <x:v>3.1</x:v>
      </x:c>
      <x:c r="L245" s="20" t="n">
        <x:v>4.8999999999999995</x:v>
      </x:c>
      <x:c r="M245" s="52" t="n">
        <x:v>0.3673469387755101</x:v>
      </x:c>
      <x:c r="N245" s="20" t="str">
        <x:v>Strong improvement</x:v>
      </x:c>
      <x:c r="O245" s="20" t="str">
        <x:v>Prototype retrieval heuristic; association is not proof of causality.</x:v>
      </x:c>
      <x:c r="P245" s="20" t="str">
        <x:v>YES</x:v>
      </x:c>
    </x:row>
    <x:row r="246">
      <x:c r="A246" s="20" t="str">
        <x:v>LEG-002</x:v>
      </x:c>
      <x:c r="B246" s="20" t="str">
        <x:v>Expedientes jurídicos completos en repositorio digital</x:v>
      </x:c>
      <x:c r="C246" s="20" t="n">
        <x:v>5</x:v>
      </x:c>
      <x:c r="D246" s="20" t="str">
        <x:v>LEG-003</x:v>
      </x:c>
      <x:c r="E246" s="20" t="str">
        <x:v>Reducción de cargas regulatorias duplicadas con cumplimiento íntegro</x:v>
      </x:c>
      <x:c r="F246" s="20" t="str">
        <x:v>Strategic-map adjacent objective; Same department</x:v>
      </x:c>
      <x:c r="G246" s="20" t="n">
        <x:v>67</x:v>
      </x:c>
      <x:c r="H246" s="20" t="str">
        <x:v>Jurídico</x:v>
      </x:c>
      <x:c r="I246" s="20" t="str">
        <x:v>Procesos internos</x:v>
      </x:c>
      <x:c r="J246" s="20" t="str">
        <x:v>P5. Fortalecer cumplimiento, transparencia y gobierno</x:v>
      </x:c>
      <x:c r="K246" s="20" t="n">
        <x:v>52</x:v>
      </x:c>
      <x:c r="L246" s="20" t="n">
        <x:v>41</x:v>
      </x:c>
      <x:c r="M246" s="52" t="n">
        <x:v>0.2682926829268293</x:v>
      </x:c>
      <x:c r="N246" s="20" t="str">
        <x:v>Strong improvement</x:v>
      </x:c>
      <x:c r="O246" s="20" t="str">
        <x:v>Prototype retrieval heuristic; association is not proof of causality.</x:v>
      </x:c>
      <x:c r="P246" s="20" t="str">
        <x:v>YES</x:v>
      </x:c>
    </x:row>
    <x:row r="247">
      <x:c r="A247" s="20" t="str">
        <x:v>LEG-002</x:v>
      </x:c>
      <x:c r="B247" s="20" t="str">
        <x:v>Expedientes jurídicos completos en repositorio digital</x:v>
      </x:c>
      <x:c r="C247" s="20" t="n">
        <x:v>6</x:v>
      </x:c>
      <x:c r="D247" s="20" t="str">
        <x:v>LEG-004</x:v>
      </x:c>
      <x:c r="E247" s="20" t="str">
        <x:v>Reducción de procesos administrativos duplicados por estructura societaria</x:v>
      </x:c>
      <x:c r="F247" s="20" t="str">
        <x:v>Strategic-map adjacent objective; Same department</x:v>
      </x:c>
      <x:c r="G247" s="20" t="n">
        <x:v>67</x:v>
      </x:c>
      <x:c r="H247" s="20" t="str">
        <x:v>Jurídico</x:v>
      </x:c>
      <x:c r="I247" s="20" t="str">
        <x:v>Procesos internos</x:v>
      </x:c>
      <x:c r="J247" s="20" t="str">
        <x:v>P4. Simplificar y digitalizar procesos</x:v>
      </x:c>
      <x:c r="K247" s="20" t="n">
        <x:v>52</x:v>
      </x:c>
      <x:c r="L247" s="20" t="n">
        <x:v>41</x:v>
      </x:c>
      <x:c r="M247" s="52" t="n">
        <x:v>0.2682926829268293</x:v>
      </x:c>
      <x:c r="N247" s="20" t="str">
        <x:v>Strong improvement</x:v>
      </x:c>
      <x:c r="O247" s="20" t="str">
        <x:v>Prototype retrieval heuristic; association is not proof of causality.</x:v>
      </x:c>
      <x:c r="P247" s="20" t="str">
        <x:v>YES</x:v>
      </x:c>
    </x:row>
    <x:row r="248">
      <x:c r="A248" s="20" t="str">
        <x:v>LEG-002</x:v>
      </x:c>
      <x:c r="B248" s="20" t="str">
        <x:v>Expedientes jurídicos completos en repositorio digital</x:v>
      </x:c>
      <x:c r="C248" s="20" t="n">
        <x:v>7</x:v>
      </x:c>
      <x:c r="D248" s="20" t="str">
        <x:v>LEG-015</x:v>
      </x:c>
      <x:c r="E248" s="20" t="str">
        <x:v>Proyectos OSC con reglas de operación aplicables antes de aprobación</x:v>
      </x:c>
      <x:c r="F248" s="20" t="str">
        <x:v>Strategic-map adjacent objective; Same department</x:v>
      </x:c>
      <x:c r="G248" s="20" t="n">
        <x:v>67</x:v>
      </x:c>
      <x:c r="H248" s="20" t="str">
        <x:v>Jurídico</x:v>
      </x:c>
      <x:c r="I248" s="20" t="str">
        <x:v>Procesos internos</x:v>
      </x:c>
      <x:c r="J248" s="20" t="str">
        <x:v>P5. Fortalecer cumplimiento, transparencia y gobierno</x:v>
      </x:c>
      <x:c r="K248" s="20" t="n">
        <x:v>100</x:v>
      </x:c>
      <x:c r="L248" s="20" t="n">
        <x:v>88.9514687100894</x:v>
      </x:c>
      <x:c r="M248" s="52" t="n">
        <x:v>0.12420853135005526</x:v>
      </x:c>
      <x:c r="N248" s="20" t="str">
        <x:v>Strong improvement</x:v>
      </x:c>
      <x:c r="O248" s="20" t="str">
        <x:v>Prototype retrieval heuristic; association is not proof of causality.</x:v>
      </x:c>
      <x:c r="P248" s="20" t="str">
        <x:v>YES</x:v>
      </x:c>
    </x:row>
    <x:row r="249">
      <x:c r="A249" s="20" t="str">
        <x:v>LEG-002</x:v>
      </x:c>
      <x:c r="B249" s="20" t="str">
        <x:v>Expedientes jurídicos completos en repositorio digital</x:v>
      </x:c>
      <x:c r="C249" s="20" t="n">
        <x:v>8</x:v>
      </x:c>
      <x:c r="D249" s="20" t="str">
        <x:v>REC-L03</x:v>
      </x:c>
      <x:c r="E249" s="20" t="str">
        <x:v>Cobertura de procesos críticos digitalizados</x:v>
      </x:c>
      <x:c r="F249" s="20" t="str">
        <x:v>Same strategic objective; Same BSC perspective</x:v>
      </x:c>
      <x:c r="G249" s="20" t="n">
        <x:v>60</x:v>
      </x:c>
      <x:c r="H249" s="20" t="str">
        <x:v>Administración + Jurídico</x:v>
      </x:c>
      <x:c r="I249" s="20" t="str">
        <x:v>Capacidades y tecnología</x:v>
      </x:c>
      <x:c r="J249" s="20" t="str">
        <x:v>L2. Integrar información en una sola plataforma</x:v>
      </x:c>
      <x:c r="K249" s="20" t="n">
        <x:v>81.6</x:v>
      </x:c>
      <x:c r="L249" s="20" t="n">
        <x:v>71.05278842060451</x:v>
      </x:c>
      <x:c r="M249" s="52" t="n">
        <x:v>0.14844190937250967</x:v>
      </x:c>
      <x:c r="N249" s="20" t="str">
        <x:v>Strong improvement</x:v>
      </x:c>
      <x:c r="O249" s="20" t="str">
        <x:v>Prototype retrieval heuristic; association is not proof of causality.</x:v>
      </x:c>
      <x:c r="P249" s="20" t="str">
        <x:v>YES</x:v>
      </x:c>
    </x:row>
    <x:row r="250">
      <x:c r="A250" s="20" t="str">
        <x:v>LEG-003</x:v>
      </x:c>
      <x:c r="B250" s="20" t="str">
        <x:v>Reducción de cargas regulatorias duplicadas con cumplimiento íntegro</x:v>
      </x:c>
      <x:c r="C250" s="20" t="n">
        <x:v>1</x:v>
      </x:c>
      <x:c r="D250" s="20" t="str">
        <x:v>LEG-015</x:v>
      </x:c>
      <x:c r="E250" s="20" t="str">
        <x:v>Proyectos OSC con reglas de operación aplicables antes de aprobación</x:v>
      </x:c>
      <x:c r="F250" s="20" t="str">
        <x:v>Same strategic objective; Same department; Same BSC perspective</x:v>
      </x:c>
      <x:c r="G250" s="20" t="n">
        <x:v>87</x:v>
      </x:c>
      <x:c r="H250" s="20" t="str">
        <x:v>Jurídico</x:v>
      </x:c>
      <x:c r="I250" s="20" t="str">
        <x:v>Procesos internos</x:v>
      </x:c>
      <x:c r="J250" s="20" t="str">
        <x:v>P5. Fortalecer cumplimiento, transparencia y gobierno</x:v>
      </x:c>
      <x:c r="K250" s="20" t="n">
        <x:v>100</x:v>
      </x:c>
      <x:c r="L250" s="20" t="n">
        <x:v>88.9514687100894</x:v>
      </x:c>
      <x:c r="M250" s="52" t="n">
        <x:v>0.12420853135005526</x:v>
      </x:c>
      <x:c r="N250" s="20" t="str">
        <x:v>Strong improvement</x:v>
      </x:c>
      <x:c r="O250" s="20" t="str">
        <x:v>Prototype retrieval heuristic; association is not proof of causality.</x:v>
      </x:c>
      <x:c r="P250" s="20" t="str">
        <x:v>YES</x:v>
      </x:c>
    </x:row>
    <x:row r="251">
      <x:c r="A251" s="20" t="str">
        <x:v>LEG-003</x:v>
      </x:c>
      <x:c r="B251" s="20" t="str">
        <x:v>Reducción de cargas regulatorias duplicadas con cumplimiento íntegro</x:v>
      </x:c>
      <x:c r="C251" s="20" t="n">
        <x:v>2</x:v>
      </x:c>
      <x:c r="D251" s="20" t="str">
        <x:v>LEG-016</x:v>
      </x:c>
      <x:c r="E251" s="20" t="str">
        <x:v>Donativos a OSC con convenio formalizado previo al desembolso</x:v>
      </x:c>
      <x:c r="F251" s="20" t="str">
        <x:v>Same strategic objective; Same department; Same BSC perspective</x:v>
      </x:c>
      <x:c r="G251" s="20" t="n">
        <x:v>87</x:v>
      </x:c>
      <x:c r="H251" s="20" t="str">
        <x:v>Jurídico</x:v>
      </x:c>
      <x:c r="I251" s="20" t="str">
        <x:v>Procesos internos</x:v>
      </x:c>
      <x:c r="J251" s="20" t="str">
        <x:v>P5. Fortalecer cumplimiento, transparencia y gobierno</x:v>
      </x:c>
      <x:c r="K251" s="20" t="n">
        <x:v>100</x:v>
      </x:c>
      <x:c r="L251" s="20" t="n">
        <x:v>89.19551966335592</x:v>
      </x:c>
      <x:c r="M251" s="52" t="n">
        <x:v>0.12113254541733295</x:v>
      </x:c>
      <x:c r="N251" s="20" t="str">
        <x:v>Strong improvement</x:v>
      </x:c>
      <x:c r="O251" s="20" t="str">
        <x:v>Prototype retrieval heuristic; association is not proof of causality.</x:v>
      </x:c>
      <x:c r="P251" s="20" t="str">
        <x:v>YES</x:v>
      </x:c>
    </x:row>
    <x:row r="252">
      <x:c r="A252" s="20" t="str">
        <x:v>LEG-003</x:v>
      </x:c>
      <x:c r="B252" s="20" t="str">
        <x:v>Reducción de cargas regulatorias duplicadas con cumplimiento íntegro</x:v>
      </x:c>
      <x:c r="C252" s="20" t="n">
        <x:v>3</x:v>
      </x:c>
      <x:c r="D252" s="20" t="str">
        <x:v>LEG-017</x:v>
      </x:c>
      <x:c r="E252" s="20" t="str">
        <x:v>Proyectos OSC con cierre operativo-financiero validado</x:v>
      </x:c>
      <x:c r="F252" s="20" t="str">
        <x:v>Same strategic objective; Same department; Same BSC perspective</x:v>
      </x:c>
      <x:c r="G252" s="20" t="n">
        <x:v>87</x:v>
      </x:c>
      <x:c r="H252" s="20" t="str">
        <x:v>Jurídico</x:v>
      </x:c>
      <x:c r="I252" s="20" t="str">
        <x:v>Procesos internos</x:v>
      </x:c>
      <x:c r="J252" s="20" t="str">
        <x:v>P5. Fortalecer cumplimiento, transparencia y gobierno</x:v>
      </x:c>
      <x:c r="K252" s="20" t="n">
        <x:v>100</x:v>
      </x:c>
      <x:c r="L252" s="20" t="n">
        <x:v>88.9514687100894</x:v>
      </x:c>
      <x:c r="M252" s="52" t="n">
        <x:v>0.12420853135005526</x:v>
      </x:c>
      <x:c r="N252" s="20" t="str">
        <x:v>Strong improvement</x:v>
      </x:c>
      <x:c r="O252" s="20" t="str">
        <x:v>Prototype retrieval heuristic; association is not proof of causality.</x:v>
      </x:c>
      <x:c r="P252" s="20" t="str">
        <x:v>YES</x:v>
      </x:c>
    </x:row>
    <x:row r="253">
      <x:c r="A253" s="20" t="str">
        <x:v>LEG-003</x:v>
      </x:c>
      <x:c r="B253" s="20" t="str">
        <x:v>Reducción de cargas regulatorias duplicadas con cumplimiento íntegro</x:v>
      </x:c>
      <x:c r="C253" s="20" t="n">
        <x:v>4</x:v>
      </x:c>
      <x:c r="D253" s="20" t="str">
        <x:v>LEG-001</x:v>
      </x:c>
      <x:c r="E253" s="20" t="str">
        <x:v>Tiempo de ciclo para liberación contractual</x:v>
      </x:c>
      <x:c r="F253" s="20" t="str">
        <x:v>Strategic-map adjacent objective; Same department; Same BSC perspective</x:v>
      </x:c>
      <x:c r="G253" s="20" t="n">
        <x:v>77</x:v>
      </x:c>
      <x:c r="H253" s="20" t="str">
        <x:v>Jurídico</x:v>
      </x:c>
      <x:c r="I253" s="20" t="str">
        <x:v>Procesos internos</x:v>
      </x:c>
      <x:c r="J253" s="20" t="str">
        <x:v>P4. Simplificar y digitalizar procesos</x:v>
      </x:c>
      <x:c r="K253" s="20" t="n">
        <x:v>3.1</x:v>
      </x:c>
      <x:c r="L253" s="20" t="n">
        <x:v>4.8999999999999995</x:v>
      </x:c>
      <x:c r="M253" s="52" t="n">
        <x:v>0.3673469387755101</x:v>
      </x:c>
      <x:c r="N253" s="20" t="str">
        <x:v>Strong improvement</x:v>
      </x:c>
      <x:c r="O253" s="20" t="str">
        <x:v>Prototype retrieval heuristic; association is not proof of causality.</x:v>
      </x:c>
      <x:c r="P253" s="20" t="str">
        <x:v>YES</x:v>
      </x:c>
    </x:row>
    <x:row r="254">
      <x:c r="A254" s="20" t="str">
        <x:v>LEG-003</x:v>
      </x:c>
      <x:c r="B254" s="20" t="str">
        <x:v>Reducción de cargas regulatorias duplicadas con cumplimiento íntegro</x:v>
      </x:c>
      <x:c r="C254" s="20" t="n">
        <x:v>5</x:v>
      </x:c>
      <x:c r="D254" s="20" t="str">
        <x:v>LEG-004</x:v>
      </x:c>
      <x:c r="E254" s="20" t="str">
        <x:v>Reducción de procesos administrativos duplicados por estructura societaria</x:v>
      </x:c>
      <x:c r="F254" s="20" t="str">
        <x:v>Strategic-map adjacent objective; Same department; Same BSC perspective</x:v>
      </x:c>
      <x:c r="G254" s="20" t="n">
        <x:v>77</x:v>
      </x:c>
      <x:c r="H254" s="20" t="str">
        <x:v>Jurídico</x:v>
      </x:c>
      <x:c r="I254" s="20" t="str">
        <x:v>Procesos internos</x:v>
      </x:c>
      <x:c r="J254" s="20" t="str">
        <x:v>P4. Simplificar y digitalizar procesos</x:v>
      </x:c>
      <x:c r="K254" s="20" t="n">
        <x:v>52</x:v>
      </x:c>
      <x:c r="L254" s="20" t="n">
        <x:v>41</x:v>
      </x:c>
      <x:c r="M254" s="52" t="n">
        <x:v>0.2682926829268293</x:v>
      </x:c>
      <x:c r="N254" s="20" t="str">
        <x:v>Strong improvement</x:v>
      </x:c>
      <x:c r="O254" s="20" t="str">
        <x:v>Prototype retrieval heuristic; association is not proof of causality.</x:v>
      </x:c>
      <x:c r="P254" s="20" t="str">
        <x:v>YES</x:v>
      </x:c>
    </x:row>
    <x:row r="255">
      <x:c r="A255" s="20" t="str">
        <x:v>LEG-003</x:v>
      </x:c>
      <x:c r="B255" s="20" t="str">
        <x:v>Reducción de cargas regulatorias duplicadas con cumplimiento íntegro</x:v>
      </x:c>
      <x:c r="C255" s="20" t="n">
        <x:v>6</x:v>
      </x:c>
      <x:c r="D255" s="20" t="str">
        <x:v>REC-P06</x:v>
      </x:c>
      <x:c r="E255" s="20" t="str">
        <x:v>Obligaciones regulatorias vencidas</x:v>
      </x:c>
      <x:c r="F255" s="20" t="str">
        <x:v>Same strategic objective; Same department; Same BSC perspective</x:v>
      </x:c>
      <x:c r="G255" s="20" t="n">
        <x:v>85</x:v>
      </x:c>
      <x:c r="H255" s="20" t="str">
        <x:v>Jurídico</x:v>
      </x:c>
      <x:c r="I255" s="20" t="str">
        <x:v>Procesos internos</x:v>
      </x:c>
      <x:c r="J255" s="20" t="str">
        <x:v>P5. Fortalecer cumplimiento, transparencia y gobierno</x:v>
      </x:c>
      <x:c r="K255" s="20" t="n">
        <x:v>0</x:v>
      </x:c>
      <x:c r="L255" s="20" t="n">
        <x:v>2.6666666666666665</x:v>
      </x:c>
      <x:c r="M255" s="52" t="n">
        <x:v>1</x:v>
      </x:c>
      <x:c r="N255" s="20" t="str">
        <x:v>Strong improvement</x:v>
      </x:c>
      <x:c r="O255" s="20" t="str">
        <x:v>Prototype retrieval heuristic; association is not proof of causality.</x:v>
      </x:c>
      <x:c r="P255" s="20" t="str">
        <x:v>YES</x:v>
      </x:c>
    </x:row>
    <x:row r="256">
      <x:c r="A256" s="20" t="str">
        <x:v>LEG-003</x:v>
      </x:c>
      <x:c r="B256" s="20" t="str">
        <x:v>Reducción de cargas regulatorias duplicadas con cumplimiento íntegro</x:v>
      </x:c>
      <x:c r="C256" s="20" t="n">
        <x:v>7</x:v>
      </x:c>
      <x:c r="D256" s="20" t="str">
        <x:v>LEG-002</x:v>
      </x:c>
      <x:c r="E256" s="20" t="str">
        <x:v>Expedientes jurídicos completos en repositorio digital</x:v>
      </x:c>
      <x:c r="F256" s="20" t="str">
        <x:v>Strategic-map adjacent objective; Same department</x:v>
      </x:c>
      <x:c r="G256" s="20" t="n">
        <x:v>67</x:v>
      </x:c>
      <x:c r="H256" s="20" t="str">
        <x:v>Jurídico</x:v>
      </x:c>
      <x:c r="I256" s="20" t="str">
        <x:v>Capacidades y tecnología</x:v>
      </x:c>
      <x:c r="J256" s="20" t="str">
        <x:v>L2. Integrar información en una sola plataforma</x:v>
      </x:c>
      <x:c r="K256" s="20" t="n">
        <x:v>100</x:v>
      </x:c>
      <x:c r="L256" s="20" t="n">
        <x:v>89.11166916321555</x:v>
      </x:c>
      <x:c r="M256" s="52" t="n">
        <x:v>0.12218748609502028</x:v>
      </x:c>
      <x:c r="N256" s="20" t="str">
        <x:v>Strong improvement</x:v>
      </x:c>
      <x:c r="O256" s="20" t="str">
        <x:v>Prototype retrieval heuristic; association is not proof of causality.</x:v>
      </x:c>
      <x:c r="P256" s="20" t="str">
        <x:v>YES</x:v>
      </x:c>
    </x:row>
    <x:row r="257">
      <x:c r="A257" s="20" t="str">
        <x:v>LEG-003</x:v>
      </x:c>
      <x:c r="B257" s="20" t="str">
        <x:v>Reducción de cargas regulatorias duplicadas con cumplimiento íntegro</x:v>
      </x:c>
      <x:c r="C257" s="20" t="n">
        <x:v>8</x:v>
      </x:c>
      <x:c r="D257" s="20" t="str">
        <x:v>ADM-001</x:v>
      </x:c>
      <x:c r="E257" s="20" t="str">
        <x:v>Facturación de donativos emitida dentro del SLA</x:v>
      </x:c>
      <x:c r="F257" s="20" t="str">
        <x:v>Strategic-map adjacent objective; Same BSC perspective</x:v>
      </x:c>
      <x:c r="G257" s="20" t="n">
        <x:v>52</x:v>
      </x:c>
      <x:c r="H257" s="20" t="str">
        <x:v>Administración</x:v>
      </x:c>
      <x:c r="I257" s="20" t="str">
        <x:v>Procesos internos</x:v>
      </x:c>
      <x:c r="J257" s="20" t="str">
        <x:v>P4. Simplificar y digitalizar procesos</x:v>
      </x:c>
      <x:c r="K257" s="20" t="n">
        <x:v>100</x:v>
      </x:c>
      <x:c r="L257" s="20" t="n">
        <x:v>89.08024931406226</x:v>
      </x:c>
      <x:c r="M257" s="52" t="n">
        <x:v>0.12258329730801444</x:v>
      </x:c>
      <x:c r="N257" s="20" t="str">
        <x:v>Strong improvement</x:v>
      </x:c>
      <x:c r="O257" s="20" t="str">
        <x:v>Prototype retrieval heuristic; association is not proof of causality.</x:v>
      </x:c>
      <x:c r="P257" s="20" t="str">
        <x:v>YES</x:v>
      </x:c>
    </x:row>
    <x:row r="258">
      <x:c r="A258" s="20" t="str">
        <x:v>LEG-004</x:v>
      </x:c>
      <x:c r="B258" s="20" t="str">
        <x:v>Reducción de procesos administrativos duplicados por estructura societaria</x:v>
      </x:c>
      <x:c r="C258" s="20" t="n">
        <x:v>1</x:v>
      </x:c>
      <x:c r="D258" s="20" t="str">
        <x:v>LEG-001</x:v>
      </x:c>
      <x:c r="E258" s="20" t="str">
        <x:v>Tiempo de ciclo para liberación contractual</x:v>
      </x:c>
      <x:c r="F258" s="20" t="str">
        <x:v>Same strategic objective; Same department; Same BSC perspective</x:v>
      </x:c>
      <x:c r="G258" s="20" t="n">
        <x:v>87</x:v>
      </x:c>
      <x:c r="H258" s="20" t="str">
        <x:v>Jurídico</x:v>
      </x:c>
      <x:c r="I258" s="20" t="str">
        <x:v>Procesos internos</x:v>
      </x:c>
      <x:c r="J258" s="20" t="str">
        <x:v>P4. Simplificar y digitalizar procesos</x:v>
      </x:c>
      <x:c r="K258" s="20" t="n">
        <x:v>3.1</x:v>
      </x:c>
      <x:c r="L258" s="20" t="n">
        <x:v>4.8999999999999995</x:v>
      </x:c>
      <x:c r="M258" s="52" t="n">
        <x:v>0.3673469387755101</x:v>
      </x:c>
      <x:c r="N258" s="20" t="str">
        <x:v>Strong improvement</x:v>
      </x:c>
      <x:c r="O258" s="20" t="str">
        <x:v>Prototype retrieval heuristic; association is not proof of causality.</x:v>
      </x:c>
      <x:c r="P258" s="20" t="str">
        <x:v>YES</x:v>
      </x:c>
    </x:row>
    <x:row r="259">
      <x:c r="A259" s="20" t="str">
        <x:v>LEG-004</x:v>
      </x:c>
      <x:c r="B259" s="20" t="str">
        <x:v>Reducción de procesos administrativos duplicados por estructura societaria</x:v>
      </x:c>
      <x:c r="C259" s="20" t="n">
        <x:v>2</x:v>
      </x:c>
      <x:c r="D259" s="20" t="str">
        <x:v>ADM-001</x:v>
      </x:c>
      <x:c r="E259" s="20" t="str">
        <x:v>Facturación de donativos emitida dentro del SLA</x:v>
      </x:c>
      <x:c r="F259" s="20" t="str">
        <x:v>Same strategic objective; Same BSC perspective</x:v>
      </x:c>
      <x:c r="G259" s="20" t="n">
        <x:v>62</x:v>
      </x:c>
      <x:c r="H259" s="20" t="str">
        <x:v>Administración</x:v>
      </x:c>
      <x:c r="I259" s="20" t="str">
        <x:v>Procesos internos</x:v>
      </x:c>
      <x:c r="J259" s="20" t="str">
        <x:v>P4. Simplificar y digitalizar procesos</x:v>
      </x:c>
      <x:c r="K259" s="20" t="n">
        <x:v>100</x:v>
      </x:c>
      <x:c r="L259" s="20" t="n">
        <x:v>89.08024931406226</x:v>
      </x:c>
      <x:c r="M259" s="52" t="n">
        <x:v>0.12258329730801444</x:v>
      </x:c>
      <x:c r="N259" s="20" t="str">
        <x:v>Strong improvement</x:v>
      </x:c>
      <x:c r="O259" s="20" t="str">
        <x:v>Prototype retrieval heuristic; association is not proof of causality.</x:v>
      </x:c>
      <x:c r="P259" s="20" t="str">
        <x:v>YES</x:v>
      </x:c>
    </x:row>
    <x:row r="260">
      <x:c r="A260" s="20" t="str">
        <x:v>LEG-004</x:v>
      </x:c>
      <x:c r="B260" s="20" t="str">
        <x:v>Reducción de procesos administrativos duplicados por estructura societaria</x:v>
      </x:c>
      <x:c r="C260" s="20" t="n">
        <x:v>3</x:v>
      </x:c>
      <x:c r="D260" s="20" t="str">
        <x:v>ADM-002</x:v>
      </x:c>
      <x:c r="E260" s="20" t="str">
        <x:v>Solicitudes de compra procesadas dentro del SLA</x:v>
      </x:c>
      <x:c r="F260" s="20" t="str">
        <x:v>Same strategic objective; Same BSC perspective</x:v>
      </x:c>
      <x:c r="G260" s="20" t="n">
        <x:v>62</x:v>
      </x:c>
      <x:c r="H260" s="20" t="str">
        <x:v>Administración</x:v>
      </x:c>
      <x:c r="I260" s="20" t="str">
        <x:v>Procesos internos</x:v>
      </x:c>
      <x:c r="J260" s="20" t="str">
        <x:v>P4. Simplificar y digitalizar procesos</x:v>
      </x:c>
      <x:c r="K260" s="20" t="n">
        <x:v>100</x:v>
      </x:c>
      <x:c r="L260" s="20" t="n">
        <x:v>89.08024931406226</x:v>
      </x:c>
      <x:c r="M260" s="52" t="n">
        <x:v>0.12258329730801444</x:v>
      </x:c>
      <x:c r="N260" s="20" t="str">
        <x:v>Strong improvement</x:v>
      </x:c>
      <x:c r="O260" s="20" t="str">
        <x:v>Prototype retrieval heuristic; association is not proof of causality.</x:v>
      </x:c>
      <x:c r="P260" s="20" t="str">
        <x:v>YES</x:v>
      </x:c>
    </x:row>
    <x:row r="261">
      <x:c r="A261" s="20" t="str">
        <x:v>LEG-004</x:v>
      </x:c>
      <x:c r="B261" s="20" t="str">
        <x:v>Reducción de procesos administrativos duplicados por estructura societaria</x:v>
      </x:c>
      <x:c r="C261" s="20" t="n">
        <x:v>4</x:v>
      </x:c>
      <x:c r="D261" s="20" t="str">
        <x:v>LEG-003</x:v>
      </x:c>
      <x:c r="E261" s="20" t="str">
        <x:v>Reducción de cargas regulatorias duplicadas con cumplimiento íntegro</x:v>
      </x:c>
      <x:c r="F261" s="20" t="str">
        <x:v>Strategic-map adjacent objective; Same department; Same BSC perspective</x:v>
      </x:c>
      <x:c r="G261" s="20" t="n">
        <x:v>77</x:v>
      </x:c>
      <x:c r="H261" s="20" t="str">
        <x:v>Jurídico</x:v>
      </x:c>
      <x:c r="I261" s="20" t="str">
        <x:v>Procesos internos</x:v>
      </x:c>
      <x:c r="J261" s="20" t="str">
        <x:v>P5. Fortalecer cumplimiento, transparencia y gobierno</x:v>
      </x:c>
      <x:c r="K261" s="20" t="n">
        <x:v>52</x:v>
      </x:c>
      <x:c r="L261" s="20" t="n">
        <x:v>41</x:v>
      </x:c>
      <x:c r="M261" s="52" t="n">
        <x:v>0.2682926829268293</x:v>
      </x:c>
      <x:c r="N261" s="20" t="str">
        <x:v>Strong improvement</x:v>
      </x:c>
      <x:c r="O261" s="20" t="str">
        <x:v>Prototype retrieval heuristic; association is not proof of causality.</x:v>
      </x:c>
      <x:c r="P261" s="20" t="str">
        <x:v>YES</x:v>
      </x:c>
    </x:row>
    <x:row r="262">
      <x:c r="A262" s="20" t="str">
        <x:v>LEG-004</x:v>
      </x:c>
      <x:c r="B262" s="20" t="str">
        <x:v>Reducción de procesos administrativos duplicados por estructura societaria</x:v>
      </x:c>
      <x:c r="C262" s="20" t="n">
        <x:v>5</x:v>
      </x:c>
      <x:c r="D262" s="20" t="str">
        <x:v>LEG-015</x:v>
      </x:c>
      <x:c r="E262" s="20" t="str">
        <x:v>Proyectos OSC con reglas de operación aplicables antes de aprobación</x:v>
      </x:c>
      <x:c r="F262" s="20" t="str">
        <x:v>Strategic-map adjacent objective; Same department; Same BSC perspective</x:v>
      </x:c>
      <x:c r="G262" s="20" t="n">
        <x:v>77</x:v>
      </x:c>
      <x:c r="H262" s="20" t="str">
        <x:v>Jurídico</x:v>
      </x:c>
      <x:c r="I262" s="20" t="str">
        <x:v>Procesos internos</x:v>
      </x:c>
      <x:c r="J262" s="20" t="str">
        <x:v>P5. Fortalecer cumplimiento, transparencia y gobierno</x:v>
      </x:c>
      <x:c r="K262" s="20" t="n">
        <x:v>100</x:v>
      </x:c>
      <x:c r="L262" s="20" t="n">
        <x:v>88.9514687100894</x:v>
      </x:c>
      <x:c r="M262" s="52" t="n">
        <x:v>0.12420853135005526</x:v>
      </x:c>
      <x:c r="N262" s="20" t="str">
        <x:v>Strong improvement</x:v>
      </x:c>
      <x:c r="O262" s="20" t="str">
        <x:v>Prototype retrieval heuristic; association is not proof of causality.</x:v>
      </x:c>
      <x:c r="P262" s="20" t="str">
        <x:v>YES</x:v>
      </x:c>
    </x:row>
    <x:row r="263">
      <x:c r="A263" s="20" t="str">
        <x:v>LEG-004</x:v>
      </x:c>
      <x:c r="B263" s="20" t="str">
        <x:v>Reducción de procesos administrativos duplicados por estructura societaria</x:v>
      </x:c>
      <x:c r="C263" s="20" t="n">
        <x:v>6</x:v>
      </x:c>
      <x:c r="D263" s="20" t="str">
        <x:v>LEG-016</x:v>
      </x:c>
      <x:c r="E263" s="20" t="str">
        <x:v>Donativos a OSC con convenio formalizado previo al desembolso</x:v>
      </x:c>
      <x:c r="F263" s="20" t="str">
        <x:v>Strategic-map adjacent objective; Same department; Same BSC perspective</x:v>
      </x:c>
      <x:c r="G263" s="20" t="n">
        <x:v>77</x:v>
      </x:c>
      <x:c r="H263" s="20" t="str">
        <x:v>Jurídico</x:v>
      </x:c>
      <x:c r="I263" s="20" t="str">
        <x:v>Procesos internos</x:v>
      </x:c>
      <x:c r="J263" s="20" t="str">
        <x:v>P5. Fortalecer cumplimiento, transparencia y gobierno</x:v>
      </x:c>
      <x:c r="K263" s="20" t="n">
        <x:v>100</x:v>
      </x:c>
      <x:c r="L263" s="20" t="n">
        <x:v>89.19551966335592</x:v>
      </x:c>
      <x:c r="M263" s="52" t="n">
        <x:v>0.12113254541733295</x:v>
      </x:c>
      <x:c r="N263" s="20" t="str">
        <x:v>Strong improvement</x:v>
      </x:c>
      <x:c r="O263" s="20" t="str">
        <x:v>Prototype retrieval heuristic; association is not proof of causality.</x:v>
      </x:c>
      <x:c r="P263" s="20" t="str">
        <x:v>YES</x:v>
      </x:c>
    </x:row>
    <x:row r="264">
      <x:c r="A264" s="20" t="str">
        <x:v>LEG-004</x:v>
      </x:c>
      <x:c r="B264" s="20" t="str">
        <x:v>Reducción de procesos administrativos duplicados por estructura societaria</x:v>
      </x:c>
      <x:c r="C264" s="20" t="n">
        <x:v>7</x:v>
      </x:c>
      <x:c r="D264" s="20" t="str">
        <x:v>LEG-017</x:v>
      </x:c>
      <x:c r="E264" s="20" t="str">
        <x:v>Proyectos OSC con cierre operativo-financiero validado</x:v>
      </x:c>
      <x:c r="F264" s="20" t="str">
        <x:v>Strategic-map adjacent objective; Same department; Same BSC perspective</x:v>
      </x:c>
      <x:c r="G264" s="20" t="n">
        <x:v>77</x:v>
      </x:c>
      <x:c r="H264" s="20" t="str">
        <x:v>Jurídico</x:v>
      </x:c>
      <x:c r="I264" s="20" t="str">
        <x:v>Procesos internos</x:v>
      </x:c>
      <x:c r="J264" s="20" t="str">
        <x:v>P5. Fortalecer cumplimiento, transparencia y gobierno</x:v>
      </x:c>
      <x:c r="K264" s="20" t="n">
        <x:v>100</x:v>
      </x:c>
      <x:c r="L264" s="20" t="n">
        <x:v>88.9514687100894</x:v>
      </x:c>
      <x:c r="M264" s="52" t="n">
        <x:v>0.12420853135005526</x:v>
      </x:c>
      <x:c r="N264" s="20" t="str">
        <x:v>Strong improvement</x:v>
      </x:c>
      <x:c r="O264" s="20" t="str">
        <x:v>Prototype retrieval heuristic; association is not proof of causality.</x:v>
      </x:c>
      <x:c r="P264" s="20" t="str">
        <x:v>YES</x:v>
      </x:c>
    </x:row>
    <x:row r="265">
      <x:c r="A265" s="20" t="str">
        <x:v>LEG-004</x:v>
      </x:c>
      <x:c r="B265" s="20" t="str">
        <x:v>Reducción de procesos administrativos duplicados por estructura societaria</x:v>
      </x:c>
      <x:c r="C265" s="20" t="n">
        <x:v>8</x:v>
      </x:c>
      <x:c r="D265" s="20" t="str">
        <x:v>REC-P06</x:v>
      </x:c>
      <x:c r="E265" s="20" t="str">
        <x:v>Obligaciones regulatorias vencidas</x:v>
      </x:c>
      <x:c r="F265" s="20" t="str">
        <x:v>Strategic-map adjacent objective; Same department; Same BSC perspective</x:v>
      </x:c>
      <x:c r="G265" s="20" t="n">
        <x:v>75</x:v>
      </x:c>
      <x:c r="H265" s="20" t="str">
        <x:v>Jurídico</x:v>
      </x:c>
      <x:c r="I265" s="20" t="str">
        <x:v>Procesos internos</x:v>
      </x:c>
      <x:c r="J265" s="20" t="str">
        <x:v>P5. Fortalecer cumplimiento, transparencia y gobierno</x:v>
      </x:c>
      <x:c r="K265" s="20" t="n">
        <x:v>0</x:v>
      </x:c>
      <x:c r="L265" s="20" t="n">
        <x:v>2.6666666666666665</x:v>
      </x:c>
      <x:c r="M265" s="52" t="n">
        <x:v>1</x:v>
      </x:c>
      <x:c r="N265" s="20" t="str">
        <x:v>Strong improvement</x:v>
      </x:c>
      <x:c r="O265" s="20" t="str">
        <x:v>Prototype retrieval heuristic; association is not proof of causality.</x:v>
      </x:c>
      <x:c r="P265" s="20" t="str">
        <x:v>YES</x:v>
      </x:c>
    </x:row>
    <x:row r="266">
      <x:c r="A266" s="20" t="str">
        <x:v>LEG-005</x:v>
      </x:c>
      <x:c r="B266" s="20" t="str">
        <x:v>Ahorro en costos internos derivados de la simplificación</x:v>
      </x:c>
      <x:c r="C266" s="20" t="n">
        <x:v>1</x:v>
      </x:c>
      <x:c r="D266" s="20" t="str">
        <x:v>ADM-015</x:v>
      </x:c>
      <x:c r="E266" s="20" t="str">
        <x:v>Reportes financieros mensuales entregados en tiempo</x:v>
      </x:c>
      <x:c r="F266" s="20" t="str">
        <x:v>Same strategic objective; Same BSC perspective</x:v>
      </x:c>
      <x:c r="G266" s="20" t="n">
        <x:v>62</x:v>
      </x:c>
      <x:c r="H266" s="20" t="str">
        <x:v>Administración</x:v>
      </x:c>
      <x:c r="I266" s="20" t="str">
        <x:v>Sostenibilidad financiera</x:v>
      </x:c>
      <x:c r="J266" s="20" t="str">
        <x:v>F4. Mejorar eficiencia y control presupuestal</x:v>
      </x:c>
      <x:c r="K266" s="20" t="n">
        <x:v>100</x:v>
      </x:c>
      <x:c r="L266" s="20" t="n">
        <x:v>88.9514687100894</x:v>
      </x:c>
      <x:c r="M266" s="52" t="n">
        <x:v>0.12420853135005526</x:v>
      </x:c>
      <x:c r="N266" s="20" t="str">
        <x:v>Strong improvement</x:v>
      </x:c>
      <x:c r="O266" s="20" t="str">
        <x:v>Prototype retrieval heuristic; association is not proof of causality.</x:v>
      </x:c>
      <x:c r="P266" s="20" t="str">
        <x:v>YES</x:v>
      </x:c>
    </x:row>
    <x:row r="267">
      <x:c r="A267" s="20" t="str">
        <x:v>LEG-005</x:v>
      </x:c>
      <x:c r="B267" s="20" t="str">
        <x:v>Ahorro en costos internos derivados de la simplificación</x:v>
      </x:c>
      <x:c r="C267" s="20" t="n">
        <x:v>2</x:v>
      </x:c>
      <x:c r="D267" s="20" t="str">
        <x:v>REC-F05</x:v>
      </x:c>
      <x:c r="E267" s="20" t="str">
        <x:v>Variación presupuestal</x:v>
      </x:c>
      <x:c r="F267" s="20" t="str">
        <x:v>Same strategic objective; Same BSC perspective</x:v>
      </x:c>
      <x:c r="G267" s="20" t="n">
        <x:v>62</x:v>
      </x:c>
      <x:c r="H267" s="20" t="str">
        <x:v>Administración + Finanzas</x:v>
      </x:c>
      <x:c r="I267" s="20" t="str">
        <x:v>Sostenibilidad financiera</x:v>
      </x:c>
      <x:c r="J267" s="20" t="str">
        <x:v>F4. Mejorar eficiencia y control presupuestal</x:v>
      </x:c>
      <x:c r="K267" s="20" t="n">
        <x:v>4.2</x:v>
      </x:c>
      <x:c r="L267" s="20" t="n">
        <x:v>7.5</x:v>
      </x:c>
      <x:c r="M267" s="52" t="n">
        <x:v>0.44</x:v>
      </x:c>
      <x:c r="N267" s="20" t="str">
        <x:v>Strong improvement</x:v>
      </x:c>
      <x:c r="O267" s="20" t="str">
        <x:v>Prototype retrieval heuristic; association is not proof of causality.</x:v>
      </x:c>
      <x:c r="P267" s="20" t="str">
        <x:v>YES</x:v>
      </x:c>
    </x:row>
    <x:row r="268">
      <x:c r="A268" s="20" t="str">
        <x:v>LEG-005</x:v>
      </x:c>
      <x:c r="B268" s="20" t="str">
        <x:v>Ahorro en costos internos derivados de la simplificación</x:v>
      </x:c>
      <x:c r="C268" s="20" t="n">
        <x:v>3</x:v>
      </x:c>
      <x:c r="D268" s="20" t="str">
        <x:v>REC-F06</x:v>
      </x:c>
      <x:c r="E268" s="20" t="str">
        <x:v>Costo por beneficiario</x:v>
      </x:c>
      <x:c r="F268" s="20" t="str">
        <x:v>Same strategic objective; Same BSC perspective</x:v>
      </x:c>
      <x:c r="G268" s="20" t="n">
        <x:v>62</x:v>
      </x:c>
      <x:c r="H268" s="20" t="str">
        <x:v>Administración + Operaciones</x:v>
      </x:c>
      <x:c r="I268" s="20" t="str">
        <x:v>Sostenibilidad financiera</x:v>
      </x:c>
      <x:c r="J268" s="20" t="str">
        <x:v>F4. Mejorar eficiencia y control presupuestal</x:v>
      </x:c>
      <x:c r="K268" s="20" t="n">
        <x:v>3550</x:v>
      </x:c>
      <x:c r="L268" s="20" t="n">
        <x:v>3958.3333333333335</x:v>
      </x:c>
      <x:c r="M268" s="52"/>
      <x:c r="N268" s="20" t="str">
        <x:v>No data</x:v>
      </x:c>
      <x:c r="O268" s="20" t="str">
        <x:v>Prototype retrieval heuristic; association is not proof of causality.</x:v>
      </x:c>
      <x:c r="P268" s="20" t="str">
        <x:v>YES</x:v>
      </x:c>
    </x:row>
    <x:row r="269">
      <x:c r="A269" s="20" t="str">
        <x:v>LEG-005</x:v>
      </x:c>
      <x:c r="B269" s="20" t="str">
        <x:v>Ahorro en costos internos derivados de la simplificación</x:v>
      </x:c>
      <x:c r="C269" s="20" t="n">
        <x:v>4</x:v>
      </x:c>
      <x:c r="D269" s="20" t="str">
        <x:v>LEG-001</x:v>
      </x:c>
      <x:c r="E269" s="20" t="str">
        <x:v>Tiempo de ciclo para liberación contractual</x:v>
      </x:c>
      <x:c r="F269" s="20" t="str">
        <x:v>Strategic-map adjacent objective; Same department</x:v>
      </x:c>
      <x:c r="G269" s="20" t="n">
        <x:v>65</x:v>
      </x:c>
      <x:c r="H269" s="20" t="str">
        <x:v>Jurídico</x:v>
      </x:c>
      <x:c r="I269" s="20" t="str">
        <x:v>Procesos internos</x:v>
      </x:c>
      <x:c r="J269" s="20" t="str">
        <x:v>P4. Simplificar y digitalizar procesos</x:v>
      </x:c>
      <x:c r="K269" s="20" t="n">
        <x:v>3.1</x:v>
      </x:c>
      <x:c r="L269" s="20" t="n">
        <x:v>4.8999999999999995</x:v>
      </x:c>
      <x:c r="M269" s="52" t="n">
        <x:v>0.3673469387755101</x:v>
      </x:c>
      <x:c r="N269" s="20" t="str">
        <x:v>Strong improvement</x:v>
      </x:c>
      <x:c r="O269" s="20" t="str">
        <x:v>Prototype retrieval heuristic; association is not proof of causality.</x:v>
      </x:c>
      <x:c r="P269" s="20" t="str">
        <x:v>YES</x:v>
      </x:c>
    </x:row>
    <x:row r="270">
      <x:c r="A270" s="20" t="str">
        <x:v>LEG-005</x:v>
      </x:c>
      <x:c r="B270" s="20" t="str">
        <x:v>Ahorro en costos internos derivados de la simplificación</x:v>
      </x:c>
      <x:c r="C270" s="20" t="n">
        <x:v>5</x:v>
      </x:c>
      <x:c r="D270" s="20" t="str">
        <x:v>LEG-003</x:v>
      </x:c>
      <x:c r="E270" s="20" t="str">
        <x:v>Reducción de cargas regulatorias duplicadas con cumplimiento íntegro</x:v>
      </x:c>
      <x:c r="F270" s="20" t="str">
        <x:v>Strategic-map adjacent objective; Same department</x:v>
      </x:c>
      <x:c r="G270" s="20" t="n">
        <x:v>65</x:v>
      </x:c>
      <x:c r="H270" s="20" t="str">
        <x:v>Jurídico</x:v>
      </x:c>
      <x:c r="I270" s="20" t="str">
        <x:v>Procesos internos</x:v>
      </x:c>
      <x:c r="J270" s="20" t="str">
        <x:v>P5. Fortalecer cumplimiento, transparencia y gobierno</x:v>
      </x:c>
      <x:c r="K270" s="20" t="n">
        <x:v>52</x:v>
      </x:c>
      <x:c r="L270" s="20" t="n">
        <x:v>41</x:v>
      </x:c>
      <x:c r="M270" s="52" t="n">
        <x:v>0.2682926829268293</x:v>
      </x:c>
      <x:c r="N270" s="20" t="str">
        <x:v>Strong improvement</x:v>
      </x:c>
      <x:c r="O270" s="20" t="str">
        <x:v>Prototype retrieval heuristic; association is not proof of causality.</x:v>
      </x:c>
      <x:c r="P270" s="20" t="str">
        <x:v>YES</x:v>
      </x:c>
    </x:row>
    <x:row r="271">
      <x:c r="A271" s="20" t="str">
        <x:v>LEG-005</x:v>
      </x:c>
      <x:c r="B271" s="20" t="str">
        <x:v>Ahorro en costos internos derivados de la simplificación</x:v>
      </x:c>
      <x:c r="C271" s="20" t="n">
        <x:v>6</x:v>
      </x:c>
      <x:c r="D271" s="20" t="str">
        <x:v>LEG-004</x:v>
      </x:c>
      <x:c r="E271" s="20" t="str">
        <x:v>Reducción de procesos administrativos duplicados por estructura societaria</x:v>
      </x:c>
      <x:c r="F271" s="20" t="str">
        <x:v>Strategic-map adjacent objective; Same department</x:v>
      </x:c>
      <x:c r="G271" s="20" t="n">
        <x:v>65</x:v>
      </x:c>
      <x:c r="H271" s="20" t="str">
        <x:v>Jurídico</x:v>
      </x:c>
      <x:c r="I271" s="20" t="str">
        <x:v>Procesos internos</x:v>
      </x:c>
      <x:c r="J271" s="20" t="str">
        <x:v>P4. Simplificar y digitalizar procesos</x:v>
      </x:c>
      <x:c r="K271" s="20" t="n">
        <x:v>52</x:v>
      </x:c>
      <x:c r="L271" s="20" t="n">
        <x:v>41</x:v>
      </x:c>
      <x:c r="M271" s="52" t="n">
        <x:v>0.2682926829268293</x:v>
      </x:c>
      <x:c r="N271" s="20" t="str">
        <x:v>Strong improvement</x:v>
      </x:c>
      <x:c r="O271" s="20" t="str">
        <x:v>Prototype retrieval heuristic; association is not proof of causality.</x:v>
      </x:c>
      <x:c r="P271" s="20" t="str">
        <x:v>YES</x:v>
      </x:c>
    </x:row>
    <x:row r="272">
      <x:c r="A272" s="20" t="str">
        <x:v>LEG-005</x:v>
      </x:c>
      <x:c r="B272" s="20" t="str">
        <x:v>Ahorro en costos internos derivados de la simplificación</x:v>
      </x:c>
      <x:c r="C272" s="20" t="n">
        <x:v>7</x:v>
      </x:c>
      <x:c r="D272" s="20" t="str">
        <x:v>LEG-015</x:v>
      </x:c>
      <x:c r="E272" s="20" t="str">
        <x:v>Proyectos OSC con reglas de operación aplicables antes de aprobación</x:v>
      </x:c>
      <x:c r="F272" s="20" t="str">
        <x:v>Strategic-map adjacent objective; Same department</x:v>
      </x:c>
      <x:c r="G272" s="20" t="n">
        <x:v>65</x:v>
      </x:c>
      <x:c r="H272" s="20" t="str">
        <x:v>Jurídico</x:v>
      </x:c>
      <x:c r="I272" s="20" t="str">
        <x:v>Procesos internos</x:v>
      </x:c>
      <x:c r="J272" s="20" t="str">
        <x:v>P5. Fortalecer cumplimiento, transparencia y gobierno</x:v>
      </x:c>
      <x:c r="K272" s="20" t="n">
        <x:v>100</x:v>
      </x:c>
      <x:c r="L272" s="20" t="n">
        <x:v>88.9514687100894</x:v>
      </x:c>
      <x:c r="M272" s="52" t="n">
        <x:v>0.12420853135005526</x:v>
      </x:c>
      <x:c r="N272" s="20" t="str">
        <x:v>Strong improvement</x:v>
      </x:c>
      <x:c r="O272" s="20" t="str">
        <x:v>Prototype retrieval heuristic; association is not proof of causality.</x:v>
      </x:c>
      <x:c r="P272" s="20" t="str">
        <x:v>YES</x:v>
      </x:c>
    </x:row>
    <x:row r="273">
      <x:c r="A273" s="20" t="str">
        <x:v>LEG-005</x:v>
      </x:c>
      <x:c r="B273" s="20" t="str">
        <x:v>Ahorro en costos internos derivados de la simplificación</x:v>
      </x:c>
      <x:c r="C273" s="20" t="n">
        <x:v>8</x:v>
      </x:c>
      <x:c r="D273" s="20" t="str">
        <x:v>FND-001</x:v>
      </x:c>
      <x:c r="E273" s="20" t="str">
        <x:v>Fondos recaudados — Tu Donativo x2 (Chivas)</x:v>
      </x:c>
      <x:c r="F273" s="20" t="str">
        <x:v>Same BSC perspective</x:v>
      </x:c>
      <x:c r="G273" s="20" t="n">
        <x:v>12</x:v>
      </x:c>
      <x:c r="H273" s="20" t="str">
        <x:v>Procuración de Fondos</x:v>
      </x:c>
      <x:c r="I273" s="20" t="str">
        <x:v>Sostenibilidad financiera</x:v>
      </x:c>
      <x:c r="J273" s="20" t="str">
        <x:v>F1. Diversificar y aumentar fuentes</x:v>
      </x:c>
      <x:c r="K273" s="20" t="n">
        <x:v>40800</x:v>
      </x:c>
      <x:c r="L273" s="20" t="n">
        <x:v>31333.333333333332</x:v>
      </x:c>
      <x:c r="M273" s="52" t="n">
        <x:v>0.30212765957446813</x:v>
      </x:c>
      <x:c r="N273" s="20" t="str">
        <x:v>Strong improvement</x:v>
      </x:c>
      <x:c r="O273" s="20" t="str">
        <x:v>Prototype retrieval heuristic; association is not proof of causality.</x:v>
      </x:c>
      <x:c r="P273" s="20" t="str">
        <x:v>YES</x:v>
      </x:c>
    </x:row>
    <x:row r="274">
      <x:c r="A274" s="20" t="str">
        <x:v>LEG-006</x:v>
      </x:c>
      <x:c r="B274" s="20" t="str">
        <x:v>Cobertura de certificación antilavado del equipo Jurídico</x:v>
      </x:c>
      <x:c r="C274" s="20" t="n">
        <x:v>1</x:v>
      </x:c>
      <x:c r="D274" s="20" t="str">
        <x:v>ADM-014</x:v>
      </x:c>
      <x:c r="E274" s="20" t="str">
        <x:v>Prestadores de servicio social incorporados</x:v>
      </x:c>
      <x:c r="F274" s="20" t="str">
        <x:v>Same strategic objective; Same BSC perspective</x:v>
      </x:c>
      <x:c r="G274" s="20" t="n">
        <x:v>62</x:v>
      </x:c>
      <x:c r="H274" s="20" t="str">
        <x:v>Administración</x:v>
      </x:c>
      <x:c r="I274" s="20" t="str">
        <x:v>Capacidades y tecnología</x:v>
      </x:c>
      <x:c r="J274" s="20" t="str">
        <x:v>L3. Fortalecer capacidades del equipo</x:v>
      </x:c>
      <x:c r="K274" s="20" t="n">
        <x:v>7</x:v>
      </x:c>
      <x:c r="L274" s="20" t="n">
        <x:v>5</x:v>
      </x:c>
      <x:c r="M274" s="52" t="n">
        <x:v>0.4</x:v>
      </x:c>
      <x:c r="N274" s="20" t="str">
        <x:v>Strong improvement</x:v>
      </x:c>
      <x:c r="O274" s="20" t="str">
        <x:v>Prototype retrieval heuristic; association is not proof of causality.</x:v>
      </x:c>
      <x:c r="P274" s="20" t="str">
        <x:v>YES</x:v>
      </x:c>
    </x:row>
    <x:row r="275">
      <x:c r="A275" s="20" t="str">
        <x:v>LEG-006</x:v>
      </x:c>
      <x:c r="B275" s="20" t="str">
        <x:v>Cobertura de certificación antilavado del equipo Jurídico</x:v>
      </x:c>
      <x:c r="C275" s="20" t="n">
        <x:v>2</x:v>
      </x:c>
      <x:c r="D275" s="20" t="str">
        <x:v>REC-L04</x:v>
      </x:c>
      <x:c r="E275" s="20" t="str">
        <x:v>Cobertura de capacitación crítica</x:v>
      </x:c>
      <x:c r="F275" s="20" t="str">
        <x:v>Same strategic objective; Same BSC perspective</x:v>
      </x:c>
      <x:c r="G275" s="20" t="n">
        <x:v>60</x:v>
      </x:c>
      <x:c r="H275" s="20" t="str">
        <x:v>Dirección / RH</x:v>
      </x:c>
      <x:c r="I275" s="20" t="str">
        <x:v>Capacidades y tecnología</x:v>
      </x:c>
      <x:c r="J275" s="20" t="str">
        <x:v>L3. Fortalecer capacidades del equipo</x:v>
      </x:c>
      <x:c r="K275" s="20" t="n">
        <x:v>100</x:v>
      </x:c>
      <x:c r="L275" s="20" t="n">
        <x:v>88.9514687100894</x:v>
      </x:c>
      <x:c r="M275" s="52" t="n">
        <x:v>0.12420853135005526</x:v>
      </x:c>
      <x:c r="N275" s="20" t="str">
        <x:v>Strong improvement</x:v>
      </x:c>
      <x:c r="O275" s="20" t="str">
        <x:v>Prototype retrieval heuristic; association is not proof of causality.</x:v>
      </x:c>
      <x:c r="P275" s="20" t="str">
        <x:v>YES</x:v>
      </x:c>
    </x:row>
    <x:row r="276">
      <x:c r="A276" s="20" t="str">
        <x:v>LEG-006</x:v>
      </x:c>
      <x:c r="B276" s="20" t="str">
        <x:v>Cobertura de certificación antilavado del equipo Jurídico</x:v>
      </x:c>
      <x:c r="C276" s="20" t="n">
        <x:v>3</x:v>
      </x:c>
      <x:c r="D276" s="20" t="str">
        <x:v>FND-016</x:v>
      </x:c>
      <x:c r="E276" s="20" t="str">
        <x:v>Nuevas alianzas estratégicas activas por país</x:v>
      </x:c>
      <x:c r="F276" s="20" t="str">
        <x:v>Strategic-map adjacent objective</x:v>
      </x:c>
      <x:c r="G276" s="20" t="n">
        <x:v>42</x:v>
      </x:c>
      <x:c r="H276" s="20" t="str">
        <x:v>Procuración de Fondos</x:v>
      </x:c>
      <x:c r="I276" s="20" t="str">
        <x:v>Procesos internos</x:v>
      </x:c>
      <x:c r="J276" s="20" t="str">
        <x:v>P6. Construir ecosistema de alianzas</x:v>
      </x:c>
      <x:c r="K276" s="20" t="n">
        <x:v>4</x:v>
      </x:c>
      <x:c r="L276" s="20" t="n">
        <x:v>2.6666666666666665</x:v>
      </x:c>
      <x:c r="M276" s="52" t="n">
        <x:v>0.5000000000000001</x:v>
      </x:c>
      <x:c r="N276" s="20" t="str">
        <x:v>Strong improvement</x:v>
      </x:c>
      <x:c r="O276" s="20" t="str">
        <x:v>Prototype retrieval heuristic; association is not proof of causality.</x:v>
      </x:c>
      <x:c r="P276" s="20" t="str">
        <x:v>YES</x:v>
      </x:c>
    </x:row>
    <x:row r="277">
      <x:c r="A277" s="20" t="str">
        <x:v>LEG-006</x:v>
      </x:c>
      <x:c r="B277" s="20" t="str">
        <x:v>Cobertura de certificación antilavado del equipo Jurídico</x:v>
      </x:c>
      <x:c r="C277" s="20" t="n">
        <x:v>4</x:v>
      </x:c>
      <x:c r="D277" s="20" t="str">
        <x:v>MKT-008</x:v>
      </x:c>
      <x:c r="E277" s="20" t="str">
        <x:v>Cumplimiento de ejecución multicanal del lanzamiento</x:v>
      </x:c>
      <x:c r="F277" s="20" t="str">
        <x:v>Strategic-map adjacent objective</x:v>
      </x:c>
      <x:c r="G277" s="20" t="n">
        <x:v>42</x:v>
      </x:c>
      <x:c r="H277" s="20" t="str">
        <x:v>Marketing y Comunicación</x:v>
      </x:c>
      <x:c r="I277" s="20" t="str">
        <x:v>Procesos internos</x:v>
      </x:c>
      <x:c r="J277" s="20" t="str">
        <x:v>P3. Integrar Marketing + Procuración</x:v>
      </x:c>
      <x:c r="K277" s="20" t="n">
        <x:v>100</x:v>
      </x:c>
      <x:c r="L277" s="20" t="n">
        <x:v>88.9514687100894</x:v>
      </x:c>
      <x:c r="M277" s="52" t="n">
        <x:v>0.12420853135005526</x:v>
      </x:c>
      <x:c r="N277" s="20" t="str">
        <x:v>Strong improvement</x:v>
      </x:c>
      <x:c r="O277" s="20" t="str">
        <x:v>Prototype retrieval heuristic; association is not proof of causality.</x:v>
      </x:c>
      <x:c r="P277" s="20" t="str">
        <x:v>YES</x:v>
      </x:c>
    </x:row>
    <x:row r="278">
      <x:c r="A278" s="20" t="str">
        <x:v>LEG-006</x:v>
      </x:c>
      <x:c r="B278" s="20" t="str">
        <x:v>Cobertura de certificación antilavado del equipo Jurídico</x:v>
      </x:c>
      <x:c r="C278" s="20" t="n">
        <x:v>5</x:v>
      </x:c>
      <x:c r="D278" s="20" t="str">
        <x:v>LEG-002</x:v>
      </x:c>
      <x:c r="E278" s="20" t="str">
        <x:v>Expedientes jurídicos completos en repositorio digital</x:v>
      </x:c>
      <x:c r="F278" s="20" t="str">
        <x:v>Same department; Same BSC perspective</x:v>
      </x:c>
      <x:c r="G278" s="20" t="n">
        <x:v>37</x:v>
      </x:c>
      <x:c r="H278" s="20" t="str">
        <x:v>Jurídico</x:v>
      </x:c>
      <x:c r="I278" s="20" t="str">
        <x:v>Capacidades y tecnología</x:v>
      </x:c>
      <x:c r="J278" s="20" t="str">
        <x:v>L2. Integrar información en una sola plataforma</x:v>
      </x:c>
      <x:c r="K278" s="20" t="n">
        <x:v>100</x:v>
      </x:c>
      <x:c r="L278" s="20" t="n">
        <x:v>89.11166916321555</x:v>
      </x:c>
      <x:c r="M278" s="52" t="n">
        <x:v>0.12218748609502028</x:v>
      </x:c>
      <x:c r="N278" s="20" t="str">
        <x:v>Strong improvement</x:v>
      </x:c>
      <x:c r="O278" s="20" t="str">
        <x:v>Prototype retrieval heuristic; association is not proof of causality.</x:v>
      </x:c>
      <x:c r="P278" s="20" t="str">
        <x:v>YES</x:v>
      </x:c>
    </x:row>
    <x:row r="279">
      <x:c r="A279" s="20" t="str">
        <x:v>LEG-006</x:v>
      </x:c>
      <x:c r="B279" s="20" t="str">
        <x:v>Cobertura de certificación antilavado del equipo Jurídico</x:v>
      </x:c>
      <x:c r="C279" s="20" t="n">
        <x:v>6</x:v>
      </x:c>
      <x:c r="D279" s="20" t="str">
        <x:v>LEG-008</x:v>
      </x:c>
      <x:c r="E279" s="20" t="str">
        <x:v>Adopción activa de WEBDOX por usuarios jurídicos</x:v>
      </x:c>
      <x:c r="F279" s="20" t="str">
        <x:v>Same department; Same BSC perspective</x:v>
      </x:c>
      <x:c r="G279" s="20" t="n">
        <x:v>37</x:v>
      </x:c>
      <x:c r="H279" s="20" t="str">
        <x:v>Jurídico</x:v>
      </x:c>
      <x:c r="I279" s="20" t="str">
        <x:v>Capacidades y tecnología</x:v>
      </x:c>
      <x:c r="J279" s="20" t="str">
        <x:v>L2. Integrar información en una sola plataforma</x:v>
      </x:c>
      <x:c r="K279" s="20" t="n">
        <x:v>90.9090909090909</x:v>
      </x:c>
      <x:c r="L279" s="20" t="n">
        <x:v>81.3625527232716</x:v>
      </x:c>
      <x:c r="M279" s="52" t="n">
        <x:v>0.11733331694113337</x:v>
      </x:c>
      <x:c r="N279" s="20" t="str">
        <x:v>Strong improvement</x:v>
      </x:c>
      <x:c r="O279" s="20" t="str">
        <x:v>Prototype retrieval heuristic; association is not proof of causality.</x:v>
      </x:c>
      <x:c r="P279" s="20" t="str">
        <x:v>YES</x:v>
      </x:c>
    </x:row>
    <x:row r="280">
      <x:c r="A280" s="20" t="str">
        <x:v>LEG-006</x:v>
      </x:c>
      <x:c r="B280" s="20" t="str">
        <x:v>Cobertura de certificación antilavado del equipo Jurídico</x:v>
      </x:c>
      <x:c r="C280" s="20" t="n">
        <x:v>7</x:v>
      </x:c>
      <x:c r="D280" s="20" t="str">
        <x:v>LEG-009</x:v>
      </x:c>
      <x:c r="E280" s="20" t="str">
        <x:v>Convenios tramitados end-to-end en WEBDOX</x:v>
      </x:c>
      <x:c r="F280" s="20" t="str">
        <x:v>Same department; Same BSC perspective</x:v>
      </x:c>
      <x:c r="G280" s="20" t="n">
        <x:v>37</x:v>
      </x:c>
      <x:c r="H280" s="20" t="str">
        <x:v>Jurídico</x:v>
      </x:c>
      <x:c r="I280" s="20" t="str">
        <x:v>Capacidades y tecnología</x:v>
      </x:c>
      <x:c r="J280" s="20" t="str">
        <x:v>L2. Integrar información en una sola plataforma</x:v>
      </x:c>
      <x:c r="K280" s="20" t="n">
        <x:v>92.04545454545455</x:v>
      </x:c>
      <x:c r="L280" s="20" t="n">
        <x:v>81.2376620563755</x:v>
      </x:c>
      <x:c r="M280" s="52" t="n">
        <x:v>0.13303918669617668</x:v>
      </x:c>
      <x:c r="N280" s="20" t="str">
        <x:v>Strong improvement</x:v>
      </x:c>
      <x:c r="O280" s="20" t="str">
        <x:v>Prototype retrieval heuristic; association is not proof of causality.</x:v>
      </x:c>
      <x:c r="P280" s="20" t="str">
        <x:v>YES</x:v>
      </x:c>
    </x:row>
    <x:row r="281">
      <x:c r="A281" s="20" t="str">
        <x:v>LEG-006</x:v>
      </x:c>
      <x:c r="B281" s="20" t="str">
        <x:v>Cobertura de certificación antilavado del equipo Jurídico</x:v>
      </x:c>
      <x:c r="C281" s="20" t="n">
        <x:v>8</x:v>
      </x:c>
      <x:c r="D281" s="20" t="str">
        <x:v>MKT-011</x:v>
      </x:c>
      <x:c r="E281" s="20" t="str">
        <x:v>Actividades principales con cobertura completa de comunicación e impacto</x:v>
      </x:c>
      <x:c r="F281" s="20" t="str">
        <x:v>Strategic-map adjacent objective</x:v>
      </x:c>
      <x:c r="G281" s="20" t="n">
        <x:v>42</x:v>
      </x:c>
      <x:c r="H281" s="20" t="str">
        <x:v>Marketing y Comunicación</x:v>
      </x:c>
      <x:c r="I281" s="20" t="str">
        <x:v>Procesos internos</x:v>
      </x:c>
      <x:c r="J281" s="20" t="str">
        <x:v>P3. Integrar Marketing + Procuración</x:v>
      </x:c>
      <x:c r="K281" s="20" t="n">
        <x:v>100</x:v>
      </x:c>
      <x:c r="L281" s="20" t="n">
        <x:v>89.21401340466089</x:v>
      </x:c>
      <x:c r="M281" s="52" t="n">
        <x:v>0.12090013870820443</x:v>
      </x:c>
      <x:c r="N281" s="20" t="str">
        <x:v>Strong improvement</x:v>
      </x:c>
      <x:c r="O281" s="20" t="str">
        <x:v>Prototype retrieval heuristic; association is not proof of causality.</x:v>
      </x:c>
      <x:c r="P281" s="20" t="str">
        <x:v>YES</x:v>
      </x:c>
    </x:row>
    <x:row r="282">
      <x:c r="A282" s="20" t="str">
        <x:v>LEG-008</x:v>
      </x:c>
      <x:c r="B282" s="20" t="str">
        <x:v>Adopción activa de WEBDOX por usuarios jurídicos</x:v>
      </x:c>
      <x:c r="C282" s="20" t="n">
        <x:v>1</x:v>
      </x:c>
      <x:c r="D282" s="20" t="str">
        <x:v>LEG-002</x:v>
      </x:c>
      <x:c r="E282" s="20" t="str">
        <x:v>Expedientes jurídicos completos en repositorio digital</x:v>
      </x:c>
      <x:c r="F282" s="20" t="str">
        <x:v>Same strategic objective; Same department; Same BSC perspective</x:v>
      </x:c>
      <x:c r="G282" s="20" t="n">
        <x:v>87</x:v>
      </x:c>
      <x:c r="H282" s="20" t="str">
        <x:v>Jurídico</x:v>
      </x:c>
      <x:c r="I282" s="20" t="str">
        <x:v>Capacidades y tecnología</x:v>
      </x:c>
      <x:c r="J282" s="20" t="str">
        <x:v>L2. Integrar información en una sola plataforma</x:v>
      </x:c>
      <x:c r="K282" s="20" t="n">
        <x:v>100</x:v>
      </x:c>
      <x:c r="L282" s="20" t="n">
        <x:v>89.11166916321555</x:v>
      </x:c>
      <x:c r="M282" s="52" t="n">
        <x:v>0.12218748609502028</x:v>
      </x:c>
      <x:c r="N282" s="20" t="str">
        <x:v>Strong improvement</x:v>
      </x:c>
      <x:c r="O282" s="20" t="str">
        <x:v>Prototype retrieval heuristic; association is not proof of causality.</x:v>
      </x:c>
      <x:c r="P282" s="20" t="str">
        <x:v>YES</x:v>
      </x:c>
    </x:row>
    <x:row r="283">
      <x:c r="A283" s="20" t="str">
        <x:v>LEG-008</x:v>
      </x:c>
      <x:c r="B283" s="20" t="str">
        <x:v>Adopción activa de WEBDOX por usuarios jurídicos</x:v>
      </x:c>
      <x:c r="C283" s="20" t="n">
        <x:v>2</x:v>
      </x:c>
      <x:c r="D283" s="20" t="str">
        <x:v>LEG-009</x:v>
      </x:c>
      <x:c r="E283" s="20" t="str">
        <x:v>Convenios tramitados end-to-end en WEBDOX</x:v>
      </x:c>
      <x:c r="F283" s="20" t="str">
        <x:v>Same strategic objective; Same department; Same BSC perspective</x:v>
      </x:c>
      <x:c r="G283" s="20" t="n">
        <x:v>87</x:v>
      </x:c>
      <x:c r="H283" s="20" t="str">
        <x:v>Jurídico</x:v>
      </x:c>
      <x:c r="I283" s="20" t="str">
        <x:v>Capacidades y tecnología</x:v>
      </x:c>
      <x:c r="J283" s="20" t="str">
        <x:v>L2. Integrar información en una sola plataforma</x:v>
      </x:c>
      <x:c r="K283" s="20" t="n">
        <x:v>92.04545454545455</x:v>
      </x:c>
      <x:c r="L283" s="20" t="n">
        <x:v>81.2376620563755</x:v>
      </x:c>
      <x:c r="M283" s="52" t="n">
        <x:v>0.13303918669617668</x:v>
      </x:c>
      <x:c r="N283" s="20" t="str">
        <x:v>Strong improvement</x:v>
      </x:c>
      <x:c r="O283" s="20" t="str">
        <x:v>Prototype retrieval heuristic; association is not proof of causality.</x:v>
      </x:c>
      <x:c r="P283" s="20" t="str">
        <x:v>YES</x:v>
      </x:c>
    </x:row>
    <x:row r="284">
      <x:c r="A284" s="20" t="str">
        <x:v>LEG-008</x:v>
      </x:c>
      <x:c r="B284" s="20" t="str">
        <x:v>Adopción activa de WEBDOX por usuarios jurídicos</x:v>
      </x:c>
      <x:c r="C284" s="20" t="n">
        <x:v>3</x:v>
      </x:c>
      <x:c r="D284" s="20" t="str">
        <x:v>REC-L02</x:v>
      </x:c>
      <x:c r="E284" s="20" t="str">
        <x:v>Adopción de la plataforma de gestión</x:v>
      </x:c>
      <x:c r="F284" s="20" t="str">
        <x:v>Same strategic objective; Same BSC perspective</x:v>
      </x:c>
      <x:c r="G284" s="20" t="n">
        <x:v>60</x:v>
      </x:c>
      <x:c r="H284" s="20" t="str">
        <x:v>Dirección + Administración</x:v>
      </x:c>
      <x:c r="I284" s="20" t="str">
        <x:v>Capacidades y tecnología</x:v>
      </x:c>
      <x:c r="J284" s="20" t="str">
        <x:v>L2. Integrar información en una sola plataforma</x:v>
      </x:c>
      <x:c r="K284" s="20" t="n">
        <x:v>92</x:v>
      </x:c>
      <x:c r="L284" s="20" t="n">
        <x:v>80.92081736909323</x:v>
      </x:c>
      <x:c r="M284" s="52" t="n">
        <x:v>0.13691387446536518</x:v>
      </x:c>
      <x:c r="N284" s="20" t="str">
        <x:v>Strong improvement</x:v>
      </x:c>
      <x:c r="O284" s="20" t="str">
        <x:v>Prototype retrieval heuristic; association is not proof of causality.</x:v>
      </x:c>
      <x:c r="P284" s="20" t="str">
        <x:v>YES</x:v>
      </x:c>
    </x:row>
    <x:row r="285">
      <x:c r="A285" s="20" t="str">
        <x:v>LEG-008</x:v>
      </x:c>
      <x:c r="B285" s="20" t="str">
        <x:v>Adopción activa de WEBDOX por usuarios jurídicos</x:v>
      </x:c>
      <x:c r="C285" s="20" t="n">
        <x:v>4</x:v>
      </x:c>
      <x:c r="D285" s="20" t="str">
        <x:v>LEG-001</x:v>
      </x:c>
      <x:c r="E285" s="20" t="str">
        <x:v>Tiempo de ciclo para liberación contractual</x:v>
      </x:c>
      <x:c r="F285" s="20" t="str">
        <x:v>Strategic-map adjacent objective; Same department</x:v>
      </x:c>
      <x:c r="G285" s="20" t="n">
        <x:v>67</x:v>
      </x:c>
      <x:c r="H285" s="20" t="str">
        <x:v>Jurídico</x:v>
      </x:c>
      <x:c r="I285" s="20" t="str">
        <x:v>Procesos internos</x:v>
      </x:c>
      <x:c r="J285" s="20" t="str">
        <x:v>P4. Simplificar y digitalizar procesos</x:v>
      </x:c>
      <x:c r="K285" s="20" t="n">
        <x:v>3.1</x:v>
      </x:c>
      <x:c r="L285" s="20" t="n">
        <x:v>4.8999999999999995</x:v>
      </x:c>
      <x:c r="M285" s="52" t="n">
        <x:v>0.3673469387755101</x:v>
      </x:c>
      <x:c r="N285" s="20" t="str">
        <x:v>Strong improvement</x:v>
      </x:c>
      <x:c r="O285" s="20" t="str">
        <x:v>Prototype retrieval heuristic; association is not proof of causality.</x:v>
      </x:c>
      <x:c r="P285" s="20" t="str">
        <x:v>YES</x:v>
      </x:c>
    </x:row>
    <x:row r="286">
      <x:c r="A286" s="20" t="str">
        <x:v>LEG-008</x:v>
      </x:c>
      <x:c r="B286" s="20" t="str">
        <x:v>Adopción activa de WEBDOX por usuarios jurídicos</x:v>
      </x:c>
      <x:c r="C286" s="20" t="n">
        <x:v>5</x:v>
      </x:c>
      <x:c r="D286" s="20" t="str">
        <x:v>LEG-003</x:v>
      </x:c>
      <x:c r="E286" s="20" t="str">
        <x:v>Reducción de cargas regulatorias duplicadas con cumplimiento íntegro</x:v>
      </x:c>
      <x:c r="F286" s="20" t="str">
        <x:v>Strategic-map adjacent objective; Same department</x:v>
      </x:c>
      <x:c r="G286" s="20" t="n">
        <x:v>67</x:v>
      </x:c>
      <x:c r="H286" s="20" t="str">
        <x:v>Jurídico</x:v>
      </x:c>
      <x:c r="I286" s="20" t="str">
        <x:v>Procesos internos</x:v>
      </x:c>
      <x:c r="J286" s="20" t="str">
        <x:v>P5. Fortalecer cumplimiento, transparencia y gobierno</x:v>
      </x:c>
      <x:c r="K286" s="20" t="n">
        <x:v>52</x:v>
      </x:c>
      <x:c r="L286" s="20" t="n">
        <x:v>41</x:v>
      </x:c>
      <x:c r="M286" s="52" t="n">
        <x:v>0.2682926829268293</x:v>
      </x:c>
      <x:c r="N286" s="20" t="str">
        <x:v>Strong improvement</x:v>
      </x:c>
      <x:c r="O286" s="20" t="str">
        <x:v>Prototype retrieval heuristic; association is not proof of causality.</x:v>
      </x:c>
      <x:c r="P286" s="20" t="str">
        <x:v>YES</x:v>
      </x:c>
    </x:row>
    <x:row r="287">
      <x:c r="A287" s="20" t="str">
        <x:v>LEG-008</x:v>
      </x:c>
      <x:c r="B287" s="20" t="str">
        <x:v>Adopción activa de WEBDOX por usuarios jurídicos</x:v>
      </x:c>
      <x:c r="C287" s="20" t="n">
        <x:v>6</x:v>
      </x:c>
      <x:c r="D287" s="20" t="str">
        <x:v>LEG-004</x:v>
      </x:c>
      <x:c r="E287" s="20" t="str">
        <x:v>Reducción de procesos administrativos duplicados por estructura societaria</x:v>
      </x:c>
      <x:c r="F287" s="20" t="str">
        <x:v>Strategic-map adjacent objective; Same department</x:v>
      </x:c>
      <x:c r="G287" s="20" t="n">
        <x:v>67</x:v>
      </x:c>
      <x:c r="H287" s="20" t="str">
        <x:v>Jurídico</x:v>
      </x:c>
      <x:c r="I287" s="20" t="str">
        <x:v>Procesos internos</x:v>
      </x:c>
      <x:c r="J287" s="20" t="str">
        <x:v>P4. Simplificar y digitalizar procesos</x:v>
      </x:c>
      <x:c r="K287" s="20" t="n">
        <x:v>52</x:v>
      </x:c>
      <x:c r="L287" s="20" t="n">
        <x:v>41</x:v>
      </x:c>
      <x:c r="M287" s="52" t="n">
        <x:v>0.2682926829268293</x:v>
      </x:c>
      <x:c r="N287" s="20" t="str">
        <x:v>Strong improvement</x:v>
      </x:c>
      <x:c r="O287" s="20" t="str">
        <x:v>Prototype retrieval heuristic; association is not proof of causality.</x:v>
      </x:c>
      <x:c r="P287" s="20" t="str">
        <x:v>YES</x:v>
      </x:c>
    </x:row>
    <x:row r="288">
      <x:c r="A288" s="20" t="str">
        <x:v>LEG-008</x:v>
      </x:c>
      <x:c r="B288" s="20" t="str">
        <x:v>Adopción activa de WEBDOX por usuarios jurídicos</x:v>
      </x:c>
      <x:c r="C288" s="20" t="n">
        <x:v>7</x:v>
      </x:c>
      <x:c r="D288" s="20" t="str">
        <x:v>LEG-015</x:v>
      </x:c>
      <x:c r="E288" s="20" t="str">
        <x:v>Proyectos OSC con reglas de operación aplicables antes de aprobación</x:v>
      </x:c>
      <x:c r="F288" s="20" t="str">
        <x:v>Strategic-map adjacent objective; Same department</x:v>
      </x:c>
      <x:c r="G288" s="20" t="n">
        <x:v>67</x:v>
      </x:c>
      <x:c r="H288" s="20" t="str">
        <x:v>Jurídico</x:v>
      </x:c>
      <x:c r="I288" s="20" t="str">
        <x:v>Procesos internos</x:v>
      </x:c>
      <x:c r="J288" s="20" t="str">
        <x:v>P5. Fortalecer cumplimiento, transparencia y gobierno</x:v>
      </x:c>
      <x:c r="K288" s="20" t="n">
        <x:v>100</x:v>
      </x:c>
      <x:c r="L288" s="20" t="n">
        <x:v>88.9514687100894</x:v>
      </x:c>
      <x:c r="M288" s="52" t="n">
        <x:v>0.12420853135005526</x:v>
      </x:c>
      <x:c r="N288" s="20" t="str">
        <x:v>Strong improvement</x:v>
      </x:c>
      <x:c r="O288" s="20" t="str">
        <x:v>Prototype retrieval heuristic; association is not proof of causality.</x:v>
      </x:c>
      <x:c r="P288" s="20" t="str">
        <x:v>YES</x:v>
      </x:c>
    </x:row>
    <x:row r="289">
      <x:c r="A289" s="20" t="str">
        <x:v>LEG-008</x:v>
      </x:c>
      <x:c r="B289" s="20" t="str">
        <x:v>Adopción activa de WEBDOX por usuarios jurídicos</x:v>
      </x:c>
      <x:c r="C289" s="20" t="n">
        <x:v>8</x:v>
      </x:c>
      <x:c r="D289" s="20" t="str">
        <x:v>REC-L03</x:v>
      </x:c>
      <x:c r="E289" s="20" t="str">
        <x:v>Cobertura de procesos críticos digitalizados</x:v>
      </x:c>
      <x:c r="F289" s="20" t="str">
        <x:v>Same strategic objective; Same BSC perspective</x:v>
      </x:c>
      <x:c r="G289" s="20" t="n">
        <x:v>60</x:v>
      </x:c>
      <x:c r="H289" s="20" t="str">
        <x:v>Administración + Jurídico</x:v>
      </x:c>
      <x:c r="I289" s="20" t="str">
        <x:v>Capacidades y tecnología</x:v>
      </x:c>
      <x:c r="J289" s="20" t="str">
        <x:v>L2. Integrar información en una sola plataforma</x:v>
      </x:c>
      <x:c r="K289" s="20" t="n">
        <x:v>81.6</x:v>
      </x:c>
      <x:c r="L289" s="20" t="n">
        <x:v>71.05278842060451</x:v>
      </x:c>
      <x:c r="M289" s="52" t="n">
        <x:v>0.14844190937250967</x:v>
      </x:c>
      <x:c r="N289" s="20" t="str">
        <x:v>Strong improvement</x:v>
      </x:c>
      <x:c r="O289" s="20" t="str">
        <x:v>Prototype retrieval heuristic; association is not proof of causality.</x:v>
      </x:c>
      <x:c r="P289" s="20" t="str">
        <x:v>YES</x:v>
      </x:c>
    </x:row>
    <x:row r="290">
      <x:c r="A290" s="20" t="str">
        <x:v>LEG-009</x:v>
      </x:c>
      <x:c r="B290" s="20" t="str">
        <x:v>Convenios tramitados end-to-end en WEBDOX</x:v>
      </x:c>
      <x:c r="C290" s="20" t="n">
        <x:v>1</x:v>
      </x:c>
      <x:c r="D290" s="20" t="str">
        <x:v>LEG-002</x:v>
      </x:c>
      <x:c r="E290" s="20" t="str">
        <x:v>Expedientes jurídicos completos en repositorio digital</x:v>
      </x:c>
      <x:c r="F290" s="20" t="str">
        <x:v>Same strategic objective; Same department; Same BSC perspective</x:v>
      </x:c>
      <x:c r="G290" s="20" t="n">
        <x:v>87</x:v>
      </x:c>
      <x:c r="H290" s="20" t="str">
        <x:v>Jurídico</x:v>
      </x:c>
      <x:c r="I290" s="20" t="str">
        <x:v>Capacidades y tecnología</x:v>
      </x:c>
      <x:c r="J290" s="20" t="str">
        <x:v>L2. Integrar información en una sola plataforma</x:v>
      </x:c>
      <x:c r="K290" s="20" t="n">
        <x:v>100</x:v>
      </x:c>
      <x:c r="L290" s="20" t="n">
        <x:v>89.11166916321555</x:v>
      </x:c>
      <x:c r="M290" s="52" t="n">
        <x:v>0.12218748609502028</x:v>
      </x:c>
      <x:c r="N290" s="20" t="str">
        <x:v>Strong improvement</x:v>
      </x:c>
      <x:c r="O290" s="20" t="str">
        <x:v>Prototype retrieval heuristic; association is not proof of causality.</x:v>
      </x:c>
      <x:c r="P290" s="20" t="str">
        <x:v>YES</x:v>
      </x:c>
    </x:row>
    <x:row r="291">
      <x:c r="A291" s="20" t="str">
        <x:v>LEG-009</x:v>
      </x:c>
      <x:c r="B291" s="20" t="str">
        <x:v>Convenios tramitados end-to-end en WEBDOX</x:v>
      </x:c>
      <x:c r="C291" s="20" t="n">
        <x:v>2</x:v>
      </x:c>
      <x:c r="D291" s="20" t="str">
        <x:v>LEG-008</x:v>
      </x:c>
      <x:c r="E291" s="20" t="str">
        <x:v>Adopción activa de WEBDOX por usuarios jurídicos</x:v>
      </x:c>
      <x:c r="F291" s="20" t="str">
        <x:v>Same strategic objective; Same department; Same BSC perspective</x:v>
      </x:c>
      <x:c r="G291" s="20" t="n">
        <x:v>87</x:v>
      </x:c>
      <x:c r="H291" s="20" t="str">
        <x:v>Jurídico</x:v>
      </x:c>
      <x:c r="I291" s="20" t="str">
        <x:v>Capacidades y tecnología</x:v>
      </x:c>
      <x:c r="J291" s="20" t="str">
        <x:v>L2. Integrar información en una sola plataforma</x:v>
      </x:c>
      <x:c r="K291" s="20" t="n">
        <x:v>90.9090909090909</x:v>
      </x:c>
      <x:c r="L291" s="20" t="n">
        <x:v>81.3625527232716</x:v>
      </x:c>
      <x:c r="M291" s="52" t="n">
        <x:v>0.11733331694113337</x:v>
      </x:c>
      <x:c r="N291" s="20" t="str">
        <x:v>Strong improvement</x:v>
      </x:c>
      <x:c r="O291" s="20" t="str">
        <x:v>Prototype retrieval heuristic; association is not proof of causality.</x:v>
      </x:c>
      <x:c r="P291" s="20" t="str">
        <x:v>YES</x:v>
      </x:c>
    </x:row>
    <x:row r="292">
      <x:c r="A292" s="20" t="str">
        <x:v>LEG-009</x:v>
      </x:c>
      <x:c r="B292" s="20" t="str">
        <x:v>Convenios tramitados end-to-end en WEBDOX</x:v>
      </x:c>
      <x:c r="C292" s="20" t="n">
        <x:v>3</x:v>
      </x:c>
      <x:c r="D292" s="20" t="str">
        <x:v>REC-L02</x:v>
      </x:c>
      <x:c r="E292" s="20" t="str">
        <x:v>Adopción de la plataforma de gestión</x:v>
      </x:c>
      <x:c r="F292" s="20" t="str">
        <x:v>Same strategic objective; Same BSC perspective</x:v>
      </x:c>
      <x:c r="G292" s="20" t="n">
        <x:v>60</x:v>
      </x:c>
      <x:c r="H292" s="20" t="str">
        <x:v>Dirección + Administración</x:v>
      </x:c>
      <x:c r="I292" s="20" t="str">
        <x:v>Capacidades y tecnología</x:v>
      </x:c>
      <x:c r="J292" s="20" t="str">
        <x:v>L2. Integrar información en una sola plataforma</x:v>
      </x:c>
      <x:c r="K292" s="20" t="n">
        <x:v>92</x:v>
      </x:c>
      <x:c r="L292" s="20" t="n">
        <x:v>80.92081736909323</x:v>
      </x:c>
      <x:c r="M292" s="52" t="n">
        <x:v>0.13691387446536518</x:v>
      </x:c>
      <x:c r="N292" s="20" t="str">
        <x:v>Strong improvement</x:v>
      </x:c>
      <x:c r="O292" s="20" t="str">
        <x:v>Prototype retrieval heuristic; association is not proof of causality.</x:v>
      </x:c>
      <x:c r="P292" s="20" t="str">
        <x:v>YES</x:v>
      </x:c>
    </x:row>
    <x:row r="293">
      <x:c r="A293" s="20" t="str">
        <x:v>LEG-009</x:v>
      </x:c>
      <x:c r="B293" s="20" t="str">
        <x:v>Convenios tramitados end-to-end en WEBDOX</x:v>
      </x:c>
      <x:c r="C293" s="20" t="n">
        <x:v>4</x:v>
      </x:c>
      <x:c r="D293" s="20" t="str">
        <x:v>LEG-001</x:v>
      </x:c>
      <x:c r="E293" s="20" t="str">
        <x:v>Tiempo de ciclo para liberación contractual</x:v>
      </x:c>
      <x:c r="F293" s="20" t="str">
        <x:v>Strategic-map adjacent objective; Same department</x:v>
      </x:c>
      <x:c r="G293" s="20" t="n">
        <x:v>67</x:v>
      </x:c>
      <x:c r="H293" s="20" t="str">
        <x:v>Jurídico</x:v>
      </x:c>
      <x:c r="I293" s="20" t="str">
        <x:v>Procesos internos</x:v>
      </x:c>
      <x:c r="J293" s="20" t="str">
        <x:v>P4. Simplificar y digitalizar procesos</x:v>
      </x:c>
      <x:c r="K293" s="20" t="n">
        <x:v>3.1</x:v>
      </x:c>
      <x:c r="L293" s="20" t="n">
        <x:v>4.8999999999999995</x:v>
      </x:c>
      <x:c r="M293" s="52" t="n">
        <x:v>0.3673469387755101</x:v>
      </x:c>
      <x:c r="N293" s="20" t="str">
        <x:v>Strong improvement</x:v>
      </x:c>
      <x:c r="O293" s="20" t="str">
        <x:v>Prototype retrieval heuristic; association is not proof of causality.</x:v>
      </x:c>
      <x:c r="P293" s="20" t="str">
        <x:v>YES</x:v>
      </x:c>
    </x:row>
    <x:row r="294">
      <x:c r="A294" s="20" t="str">
        <x:v>LEG-009</x:v>
      </x:c>
      <x:c r="B294" s="20" t="str">
        <x:v>Convenios tramitados end-to-end en WEBDOX</x:v>
      </x:c>
      <x:c r="C294" s="20" t="n">
        <x:v>5</x:v>
      </x:c>
      <x:c r="D294" s="20" t="str">
        <x:v>LEG-003</x:v>
      </x:c>
      <x:c r="E294" s="20" t="str">
        <x:v>Reducción de cargas regulatorias duplicadas con cumplimiento íntegro</x:v>
      </x:c>
      <x:c r="F294" s="20" t="str">
        <x:v>Strategic-map adjacent objective; Same department</x:v>
      </x:c>
      <x:c r="G294" s="20" t="n">
        <x:v>67</x:v>
      </x:c>
      <x:c r="H294" s="20" t="str">
        <x:v>Jurídico</x:v>
      </x:c>
      <x:c r="I294" s="20" t="str">
        <x:v>Procesos internos</x:v>
      </x:c>
      <x:c r="J294" s="20" t="str">
        <x:v>P5. Fortalecer cumplimiento, transparencia y gobierno</x:v>
      </x:c>
      <x:c r="K294" s="20" t="n">
        <x:v>52</x:v>
      </x:c>
      <x:c r="L294" s="20" t="n">
        <x:v>41</x:v>
      </x:c>
      <x:c r="M294" s="52" t="n">
        <x:v>0.2682926829268293</x:v>
      </x:c>
      <x:c r="N294" s="20" t="str">
        <x:v>Strong improvement</x:v>
      </x:c>
      <x:c r="O294" s="20" t="str">
        <x:v>Prototype retrieval heuristic; association is not proof of causality.</x:v>
      </x:c>
      <x:c r="P294" s="20" t="str">
        <x:v>YES</x:v>
      </x:c>
    </x:row>
    <x:row r="295">
      <x:c r="A295" s="20" t="str">
        <x:v>LEG-009</x:v>
      </x:c>
      <x:c r="B295" s="20" t="str">
        <x:v>Convenios tramitados end-to-end en WEBDOX</x:v>
      </x:c>
      <x:c r="C295" s="20" t="n">
        <x:v>6</x:v>
      </x:c>
      <x:c r="D295" s="20" t="str">
        <x:v>LEG-004</x:v>
      </x:c>
      <x:c r="E295" s="20" t="str">
        <x:v>Reducción de procesos administrativos duplicados por estructura societaria</x:v>
      </x:c>
      <x:c r="F295" s="20" t="str">
        <x:v>Strategic-map adjacent objective; Same department</x:v>
      </x:c>
      <x:c r="G295" s="20" t="n">
        <x:v>67</x:v>
      </x:c>
      <x:c r="H295" s="20" t="str">
        <x:v>Jurídico</x:v>
      </x:c>
      <x:c r="I295" s="20" t="str">
        <x:v>Procesos internos</x:v>
      </x:c>
      <x:c r="J295" s="20" t="str">
        <x:v>P4. Simplificar y digitalizar procesos</x:v>
      </x:c>
      <x:c r="K295" s="20" t="n">
        <x:v>52</x:v>
      </x:c>
      <x:c r="L295" s="20" t="n">
        <x:v>41</x:v>
      </x:c>
      <x:c r="M295" s="52" t="n">
        <x:v>0.2682926829268293</x:v>
      </x:c>
      <x:c r="N295" s="20" t="str">
        <x:v>Strong improvement</x:v>
      </x:c>
      <x:c r="O295" s="20" t="str">
        <x:v>Prototype retrieval heuristic; association is not proof of causality.</x:v>
      </x:c>
      <x:c r="P295" s="20" t="str">
        <x:v>YES</x:v>
      </x:c>
    </x:row>
    <x:row r="296">
      <x:c r="A296" s="20" t="str">
        <x:v>LEG-009</x:v>
      </x:c>
      <x:c r="B296" s="20" t="str">
        <x:v>Convenios tramitados end-to-end en WEBDOX</x:v>
      </x:c>
      <x:c r="C296" s="20" t="n">
        <x:v>7</x:v>
      </x:c>
      <x:c r="D296" s="20" t="str">
        <x:v>LEG-015</x:v>
      </x:c>
      <x:c r="E296" s="20" t="str">
        <x:v>Proyectos OSC con reglas de operación aplicables antes de aprobación</x:v>
      </x:c>
      <x:c r="F296" s="20" t="str">
        <x:v>Strategic-map adjacent objective; Same department</x:v>
      </x:c>
      <x:c r="G296" s="20" t="n">
        <x:v>67</x:v>
      </x:c>
      <x:c r="H296" s="20" t="str">
        <x:v>Jurídico</x:v>
      </x:c>
      <x:c r="I296" s="20" t="str">
        <x:v>Procesos internos</x:v>
      </x:c>
      <x:c r="J296" s="20" t="str">
        <x:v>P5. Fortalecer cumplimiento, transparencia y gobierno</x:v>
      </x:c>
      <x:c r="K296" s="20" t="n">
        <x:v>100</x:v>
      </x:c>
      <x:c r="L296" s="20" t="n">
        <x:v>88.9514687100894</x:v>
      </x:c>
      <x:c r="M296" s="52" t="n">
        <x:v>0.12420853135005526</x:v>
      </x:c>
      <x:c r="N296" s="20" t="str">
        <x:v>Strong improvement</x:v>
      </x:c>
      <x:c r="O296" s="20" t="str">
        <x:v>Prototype retrieval heuristic; association is not proof of causality.</x:v>
      </x:c>
      <x:c r="P296" s="20" t="str">
        <x:v>YES</x:v>
      </x:c>
    </x:row>
    <x:row r="297">
      <x:c r="A297" s="20" t="str">
        <x:v>LEG-009</x:v>
      </x:c>
      <x:c r="B297" s="20" t="str">
        <x:v>Convenios tramitados end-to-end en WEBDOX</x:v>
      </x:c>
      <x:c r="C297" s="20" t="n">
        <x:v>8</x:v>
      </x:c>
      <x:c r="D297" s="20" t="str">
        <x:v>REC-L03</x:v>
      </x:c>
      <x:c r="E297" s="20" t="str">
        <x:v>Cobertura de procesos críticos digitalizados</x:v>
      </x:c>
      <x:c r="F297" s="20" t="str">
        <x:v>Same strategic objective; Same BSC perspective</x:v>
      </x:c>
      <x:c r="G297" s="20" t="n">
        <x:v>60</x:v>
      </x:c>
      <x:c r="H297" s="20" t="str">
        <x:v>Administración + Jurídico</x:v>
      </x:c>
      <x:c r="I297" s="20" t="str">
        <x:v>Capacidades y tecnología</x:v>
      </x:c>
      <x:c r="J297" s="20" t="str">
        <x:v>L2. Integrar información en una sola plataforma</x:v>
      </x:c>
      <x:c r="K297" s="20" t="n">
        <x:v>81.6</x:v>
      </x:c>
      <x:c r="L297" s="20" t="n">
        <x:v>71.05278842060451</x:v>
      </x:c>
      <x:c r="M297" s="52" t="n">
        <x:v>0.14844190937250967</x:v>
      </x:c>
      <x:c r="N297" s="20" t="str">
        <x:v>Strong improvement</x:v>
      </x:c>
      <x:c r="O297" s="20" t="str">
        <x:v>Prototype retrieval heuristic; association is not proof of causality.</x:v>
      </x:c>
      <x:c r="P297" s="20" t="str">
        <x:v>YES</x:v>
      </x:c>
    </x:row>
    <x:row r="298">
      <x:c r="A298" s="20" t="str">
        <x:v>LEG-010</x:v>
      </x:c>
      <x:c r="B298" s="20" t="str">
        <x:v>Cumplimiento jurídico-fiscal de comunicaciones institucionales</x:v>
      </x:c>
      <x:c r="C298" s="20" t="n">
        <x:v>1</x:v>
      </x:c>
      <x:c r="D298" s="20" t="str">
        <x:v>LEG-012</x:v>
      </x:c>
      <x:c r="E298" s="20" t="str">
        <x:v>Países objetivo con autorización fiscal para recibir donativos deducibles</x:v>
      </x:c>
      <x:c r="F298" s="20" t="str">
        <x:v>Same strategic objective; Same department; Same BSC perspective</x:v>
      </x:c>
      <x:c r="G298" s="20" t="n">
        <x:v>87</x:v>
      </x:c>
      <x:c r="H298" s="20" t="str">
        <x:v>Jurídico</x:v>
      </x:c>
      <x:c r="I298" s="20" t="str">
        <x:v>Beneficiarios y grupos de interés</x:v>
      </x:c>
      <x:c r="J298" s="20" t="str">
        <x:v>C3. Fortalecer confianza y credibilidad institucional</x:v>
      </x:c>
      <x:c r="K298" s="20" t="n">
        <x:v>100</x:v>
      </x:c>
      <x:c r="L298" s="20" t="n">
        <x:v>91.66666666666667</x:v>
      </x:c>
      <x:c r="M298" s="52" t="n">
        <x:v>0.09090909090909086</x:v>
      </x:c>
      <x:c r="N298" s="20" t="str">
        <x:v>Improving</x:v>
      </x:c>
      <x:c r="O298" s="20" t="str">
        <x:v>Prototype retrieval heuristic; association is not proof of causality.</x:v>
      </x:c>
      <x:c r="P298" s="20" t="str">
        <x:v>YES</x:v>
      </x:c>
    </x:row>
    <x:row r="299">
      <x:c r="A299" s="20" t="str">
        <x:v>LEG-010</x:v>
      </x:c>
      <x:c r="B299" s="20" t="str">
        <x:v>Cumplimiento jurídico-fiscal de comunicaciones institucionales</x:v>
      </x:c>
      <x:c r="C299" s="20" t="n">
        <x:v>2</x:v>
      </x:c>
      <x:c r="D299" s="20" t="str">
        <x:v>LEG-013</x:v>
      </x:c>
      <x:c r="E299" s="20" t="str">
        <x:v>Cobertura de certificaciones de responsabilidad social en sedes internacionales objetivo</x:v>
      </x:c>
      <x:c r="F299" s="20" t="str">
        <x:v>Same strategic objective; Same department; Same BSC perspective</x:v>
      </x:c>
      <x:c r="G299" s="20" t="n">
        <x:v>87</x:v>
      </x:c>
      <x:c r="H299" s="20" t="str">
        <x:v>Jurídico</x:v>
      </x:c>
      <x:c r="I299" s="20" t="str">
        <x:v>Beneficiarios y grupos de interés</x:v>
      </x:c>
      <x:c r="J299" s="20" t="str">
        <x:v>C3. Fortalecer confianza y credibilidad institucional</x:v>
      </x:c>
      <x:c r="K299" s="20" t="n">
        <x:v>100</x:v>
      </x:c>
      <x:c r="L299" s="20" t="n">
        <x:v>91.66666666666667</x:v>
      </x:c>
      <x:c r="M299" s="52" t="n">
        <x:v>0.09090909090909086</x:v>
      </x:c>
      <x:c r="N299" s="20" t="str">
        <x:v>Improving</x:v>
      </x:c>
      <x:c r="O299" s="20" t="str">
        <x:v>Prototype retrieval heuristic; association is not proof of causality.</x:v>
      </x:c>
      <x:c r="P299" s="20" t="str">
        <x:v>YES</x:v>
      </x:c>
    </x:row>
    <x:row r="300">
      <x:c r="A300" s="20" t="str">
        <x:v>LEG-010</x:v>
      </x:c>
      <x:c r="B300" s="20" t="str">
        <x:v>Cumplimiento jurídico-fiscal de comunicaciones institucionales</x:v>
      </x:c>
      <x:c r="C300" s="20" t="n">
        <x:v>3</x:v>
      </x:c>
      <x:c r="D300" s="20" t="str">
        <x:v>LEG-014</x:v>
      </x:c>
      <x:c r="E300" s="20" t="str">
        <x:v>Alianzas formalizadas con organismos certificadores internacionales</x:v>
      </x:c>
      <x:c r="F300" s="20" t="str">
        <x:v>Same strategic objective; Same department; Same BSC perspective</x:v>
      </x:c>
      <x:c r="G300" s="20" t="n">
        <x:v>87</x:v>
      </x:c>
      <x:c r="H300" s="20" t="str">
        <x:v>Jurídico</x:v>
      </x:c>
      <x:c r="I300" s="20" t="str">
        <x:v>Beneficiarios y grupos de interés</x:v>
      </x:c>
      <x:c r="J300" s="20" t="str">
        <x:v>C3. Fortalecer confianza y credibilidad institucional</x:v>
      </x:c>
      <x:c r="K300" s="20" t="n">
        <x:v>2</x:v>
      </x:c>
      <x:c r="L300" s="20" t="n">
        <x:v>1.3333333333333333</x:v>
      </x:c>
      <x:c r="M300" s="52" t="n">
        <x:v>0.5000000000000001</x:v>
      </x:c>
      <x:c r="N300" s="20" t="str">
        <x:v>Strong improvement</x:v>
      </x:c>
      <x:c r="O300" s="20" t="str">
        <x:v>Prototype retrieval heuristic; association is not proof of causality.</x:v>
      </x:c>
      <x:c r="P300" s="20" t="str">
        <x:v>YES</x:v>
      </x:c>
    </x:row>
    <x:row r="301">
      <x:c r="A301" s="20" t="str">
        <x:v>LEG-010</x:v>
      </x:c>
      <x:c r="B301" s="20" t="str">
        <x:v>Cumplimiento jurídico-fiscal de comunicaciones institucionales</x:v>
      </x:c>
      <x:c r="C301" s="20" t="n">
        <x:v>4</x:v>
      </x:c>
      <x:c r="D301" s="20" t="str">
        <x:v>LEG-001</x:v>
      </x:c>
      <x:c r="E301" s="20" t="str">
        <x:v>Tiempo de ciclo para liberación contractual</x:v>
      </x:c>
      <x:c r="F301" s="20" t="str">
        <x:v>Strategic-map adjacent objective; Same department</x:v>
      </x:c>
      <x:c r="G301" s="20" t="n">
        <x:v>67</x:v>
      </x:c>
      <x:c r="H301" s="20" t="str">
        <x:v>Jurídico</x:v>
      </x:c>
      <x:c r="I301" s="20" t="str">
        <x:v>Procesos internos</x:v>
      </x:c>
      <x:c r="J301" s="20" t="str">
        <x:v>P4. Simplificar y digitalizar procesos</x:v>
      </x:c>
      <x:c r="K301" s="20" t="n">
        <x:v>3.1</x:v>
      </x:c>
      <x:c r="L301" s="20" t="n">
        <x:v>4.8999999999999995</x:v>
      </x:c>
      <x:c r="M301" s="52" t="n">
        <x:v>0.3673469387755101</x:v>
      </x:c>
      <x:c r="N301" s="20" t="str">
        <x:v>Strong improvement</x:v>
      </x:c>
      <x:c r="O301" s="20" t="str">
        <x:v>Prototype retrieval heuristic; association is not proof of causality.</x:v>
      </x:c>
      <x:c r="P301" s="20" t="str">
        <x:v>YES</x:v>
      </x:c>
    </x:row>
    <x:row r="302">
      <x:c r="A302" s="20" t="str">
        <x:v>LEG-010</x:v>
      </x:c>
      <x:c r="B302" s="20" t="str">
        <x:v>Cumplimiento jurídico-fiscal de comunicaciones institucionales</x:v>
      </x:c>
      <x:c r="C302" s="20" t="n">
        <x:v>5</x:v>
      </x:c>
      <x:c r="D302" s="20" t="str">
        <x:v>LEG-003</x:v>
      </x:c>
      <x:c r="E302" s="20" t="str">
        <x:v>Reducción de cargas regulatorias duplicadas con cumplimiento íntegro</x:v>
      </x:c>
      <x:c r="F302" s="20" t="str">
        <x:v>Strategic-map adjacent objective; Same department</x:v>
      </x:c>
      <x:c r="G302" s="20" t="n">
        <x:v>67</x:v>
      </x:c>
      <x:c r="H302" s="20" t="str">
        <x:v>Jurídico</x:v>
      </x:c>
      <x:c r="I302" s="20" t="str">
        <x:v>Procesos internos</x:v>
      </x:c>
      <x:c r="J302" s="20" t="str">
        <x:v>P5. Fortalecer cumplimiento, transparencia y gobierno</x:v>
      </x:c>
      <x:c r="K302" s="20" t="n">
        <x:v>52</x:v>
      </x:c>
      <x:c r="L302" s="20" t="n">
        <x:v>41</x:v>
      </x:c>
      <x:c r="M302" s="52" t="n">
        <x:v>0.2682926829268293</x:v>
      </x:c>
      <x:c r="N302" s="20" t="str">
        <x:v>Strong improvement</x:v>
      </x:c>
      <x:c r="O302" s="20" t="str">
        <x:v>Prototype retrieval heuristic; association is not proof of causality.</x:v>
      </x:c>
      <x:c r="P302" s="20" t="str">
        <x:v>YES</x:v>
      </x:c>
    </x:row>
    <x:row r="303">
      <x:c r="A303" s="20" t="str">
        <x:v>LEG-010</x:v>
      </x:c>
      <x:c r="B303" s="20" t="str">
        <x:v>Cumplimiento jurídico-fiscal de comunicaciones institucionales</x:v>
      </x:c>
      <x:c r="C303" s="20" t="n">
        <x:v>6</x:v>
      </x:c>
      <x:c r="D303" s="20" t="str">
        <x:v>LEG-004</x:v>
      </x:c>
      <x:c r="E303" s="20" t="str">
        <x:v>Reducción de procesos administrativos duplicados por estructura societaria</x:v>
      </x:c>
      <x:c r="F303" s="20" t="str">
        <x:v>Strategic-map adjacent objective; Same department</x:v>
      </x:c>
      <x:c r="G303" s="20" t="n">
        <x:v>67</x:v>
      </x:c>
      <x:c r="H303" s="20" t="str">
        <x:v>Jurídico</x:v>
      </x:c>
      <x:c r="I303" s="20" t="str">
        <x:v>Procesos internos</x:v>
      </x:c>
      <x:c r="J303" s="20" t="str">
        <x:v>P4. Simplificar y digitalizar procesos</x:v>
      </x:c>
      <x:c r="K303" s="20" t="n">
        <x:v>52</x:v>
      </x:c>
      <x:c r="L303" s="20" t="n">
        <x:v>41</x:v>
      </x:c>
      <x:c r="M303" s="52" t="n">
        <x:v>0.2682926829268293</x:v>
      </x:c>
      <x:c r="N303" s="20" t="str">
        <x:v>Strong improvement</x:v>
      </x:c>
      <x:c r="O303" s="20" t="str">
        <x:v>Prototype retrieval heuristic; association is not proof of causality.</x:v>
      </x:c>
      <x:c r="P303" s="20" t="str">
        <x:v>YES</x:v>
      </x:c>
    </x:row>
    <x:row r="304">
      <x:c r="A304" s="20" t="str">
        <x:v>LEG-010</x:v>
      </x:c>
      <x:c r="B304" s="20" t="str">
        <x:v>Cumplimiento jurídico-fiscal de comunicaciones institucionales</x:v>
      </x:c>
      <x:c r="C304" s="20" t="n">
        <x:v>7</x:v>
      </x:c>
      <x:c r="D304" s="20" t="str">
        <x:v>LEG-015</x:v>
      </x:c>
      <x:c r="E304" s="20" t="str">
        <x:v>Proyectos OSC con reglas de operación aplicables antes de aprobación</x:v>
      </x:c>
      <x:c r="F304" s="20" t="str">
        <x:v>Strategic-map adjacent objective; Same department</x:v>
      </x:c>
      <x:c r="G304" s="20" t="n">
        <x:v>67</x:v>
      </x:c>
      <x:c r="H304" s="20" t="str">
        <x:v>Jurídico</x:v>
      </x:c>
      <x:c r="I304" s="20" t="str">
        <x:v>Procesos internos</x:v>
      </x:c>
      <x:c r="J304" s="20" t="str">
        <x:v>P5. Fortalecer cumplimiento, transparencia y gobierno</x:v>
      </x:c>
      <x:c r="K304" s="20" t="n">
        <x:v>100</x:v>
      </x:c>
      <x:c r="L304" s="20" t="n">
        <x:v>88.9514687100894</x:v>
      </x:c>
      <x:c r="M304" s="52" t="n">
        <x:v>0.12420853135005526</x:v>
      </x:c>
      <x:c r="N304" s="20" t="str">
        <x:v>Strong improvement</x:v>
      </x:c>
      <x:c r="O304" s="20" t="str">
        <x:v>Prototype retrieval heuristic; association is not proof of causality.</x:v>
      </x:c>
      <x:c r="P304" s="20" t="str">
        <x:v>YES</x:v>
      </x:c>
    </x:row>
    <x:row r="305">
      <x:c r="A305" s="20" t="str">
        <x:v>LEG-010</x:v>
      </x:c>
      <x:c r="B305" s="20" t="str">
        <x:v>Cumplimiento jurídico-fiscal de comunicaciones institucionales</x:v>
      </x:c>
      <x:c r="C305" s="20" t="n">
        <x:v>8</x:v>
      </x:c>
      <x:c r="D305" s="20" t="str">
        <x:v>ADM-006</x:v>
      </x:c>
      <x:c r="E305" s="20" t="str">
        <x:v>Informes regulatorios presentados en tiempo y forma</x:v>
      </x:c>
      <x:c r="F305" s="20" t="str">
        <x:v>Same strategic objective; Same BSC perspective</x:v>
      </x:c>
      <x:c r="G305" s="20" t="n">
        <x:v>62</x:v>
      </x:c>
      <x:c r="H305" s="20" t="str">
        <x:v>Administración</x:v>
      </x:c>
      <x:c r="I305" s="20" t="str">
        <x:v>Beneficiarios y grupos de interés</x:v>
      </x:c>
      <x:c r="J305" s="20" t="str">
        <x:v>C3. Fortalecer confianza y credibilidad institucional</x:v>
      </x:c>
      <x:c r="K305" s="20" t="n">
        <x:v>100</x:v>
      </x:c>
      <x:c r="L305" s="20" t="n">
        <x:v>88.9514687100894</x:v>
      </x:c>
      <x:c r="M305" s="52" t="n">
        <x:v>0.12420853135005526</x:v>
      </x:c>
      <x:c r="N305" s="20" t="str">
        <x:v>Strong improvement</x:v>
      </x:c>
      <x:c r="O305" s="20" t="str">
        <x:v>Prototype retrieval heuristic; association is not proof of causality.</x:v>
      </x:c>
      <x:c r="P305" s="20" t="str">
        <x:v>YES</x:v>
      </x:c>
    </x:row>
    <x:row r="306">
      <x:c r="A306" s="20" t="str">
        <x:v>LEG-012</x:v>
      </x:c>
      <x:c r="B306" s="20" t="str">
        <x:v>Países objetivo con autorización fiscal para recibir donativos deducibles</x:v>
      </x:c>
      <x:c r="C306" s="20" t="n">
        <x:v>1</x:v>
      </x:c>
      <x:c r="D306" s="20" t="str">
        <x:v>LEG-010</x:v>
      </x:c>
      <x:c r="E306" s="20" t="str">
        <x:v>Cumplimiento jurídico-fiscal de comunicaciones institucionales</x:v>
      </x:c>
      <x:c r="F306" s="20" t="str">
        <x:v>Same strategic objective; Same department; Same BSC perspective</x:v>
      </x:c>
      <x:c r="G306" s="20" t="n">
        <x:v>87</x:v>
      </x:c>
      <x:c r="H306" s="20" t="str">
        <x:v>Jurídico</x:v>
      </x:c>
      <x:c r="I306" s="20" t="str">
        <x:v>Beneficiarios y grupos de interés</x:v>
      </x:c>
      <x:c r="J306" s="20" t="str">
        <x:v>C3. Fortalecer confianza y credibilidad institucional</x:v>
      </x:c>
      <x:c r="K306" s="20" t="n">
        <x:v>100</x:v>
      </x:c>
      <x:c r="L306" s="20" t="n">
        <x:v>89.21401340466089</x:v>
      </x:c>
      <x:c r="M306" s="52" t="n">
        <x:v>0.12090013870820443</x:v>
      </x:c>
      <x:c r="N306" s="20" t="str">
        <x:v>Strong improvement</x:v>
      </x:c>
      <x:c r="O306" s="20" t="str">
        <x:v>Prototype retrieval heuristic; association is not proof of causality.</x:v>
      </x:c>
      <x:c r="P306" s="20" t="str">
        <x:v>YES</x:v>
      </x:c>
    </x:row>
    <x:row r="307">
      <x:c r="A307" s="20" t="str">
        <x:v>LEG-012</x:v>
      </x:c>
      <x:c r="B307" s="20" t="str">
        <x:v>Países objetivo con autorización fiscal para recibir donativos deducibles</x:v>
      </x:c>
      <x:c r="C307" s="20" t="n">
        <x:v>2</x:v>
      </x:c>
      <x:c r="D307" s="20" t="str">
        <x:v>LEG-013</x:v>
      </x:c>
      <x:c r="E307" s="20" t="str">
        <x:v>Cobertura de certificaciones de responsabilidad social en sedes internacionales objetivo</x:v>
      </x:c>
      <x:c r="F307" s="20" t="str">
        <x:v>Same strategic objective; Same department; Same BSC perspective</x:v>
      </x:c>
      <x:c r="G307" s="20" t="n">
        <x:v>87</x:v>
      </x:c>
      <x:c r="H307" s="20" t="str">
        <x:v>Jurídico</x:v>
      </x:c>
      <x:c r="I307" s="20" t="str">
        <x:v>Beneficiarios y grupos de interés</x:v>
      </x:c>
      <x:c r="J307" s="20" t="str">
        <x:v>C3. Fortalecer confianza y credibilidad institucional</x:v>
      </x:c>
      <x:c r="K307" s="20" t="n">
        <x:v>100</x:v>
      </x:c>
      <x:c r="L307" s="20" t="n">
        <x:v>91.66666666666667</x:v>
      </x:c>
      <x:c r="M307" s="52" t="n">
        <x:v>0.09090909090909086</x:v>
      </x:c>
      <x:c r="N307" s="20" t="str">
        <x:v>Improving</x:v>
      </x:c>
      <x:c r="O307" s="20" t="str">
        <x:v>Prototype retrieval heuristic; association is not proof of causality.</x:v>
      </x:c>
      <x:c r="P307" s="20" t="str">
        <x:v>YES</x:v>
      </x:c>
    </x:row>
    <x:row r="308">
      <x:c r="A308" s="20" t="str">
        <x:v>LEG-012</x:v>
      </x:c>
      <x:c r="B308" s="20" t="str">
        <x:v>Países objetivo con autorización fiscal para recibir donativos deducibles</x:v>
      </x:c>
      <x:c r="C308" s="20" t="n">
        <x:v>3</x:v>
      </x:c>
      <x:c r="D308" s="20" t="str">
        <x:v>LEG-014</x:v>
      </x:c>
      <x:c r="E308" s="20" t="str">
        <x:v>Alianzas formalizadas con organismos certificadores internacionales</x:v>
      </x:c>
      <x:c r="F308" s="20" t="str">
        <x:v>Same strategic objective; Same department; Same BSC perspective</x:v>
      </x:c>
      <x:c r="G308" s="20" t="n">
        <x:v>87</x:v>
      </x:c>
      <x:c r="H308" s="20" t="str">
        <x:v>Jurídico</x:v>
      </x:c>
      <x:c r="I308" s="20" t="str">
        <x:v>Beneficiarios y grupos de interés</x:v>
      </x:c>
      <x:c r="J308" s="20" t="str">
        <x:v>C3. Fortalecer confianza y credibilidad institucional</x:v>
      </x:c>
      <x:c r="K308" s="20" t="n">
        <x:v>2</x:v>
      </x:c>
      <x:c r="L308" s="20" t="n">
        <x:v>1.3333333333333333</x:v>
      </x:c>
      <x:c r="M308" s="52" t="n">
        <x:v>0.5000000000000001</x:v>
      </x:c>
      <x:c r="N308" s="20" t="str">
        <x:v>Strong improvement</x:v>
      </x:c>
      <x:c r="O308" s="20" t="str">
        <x:v>Prototype retrieval heuristic; association is not proof of causality.</x:v>
      </x:c>
      <x:c r="P308" s="20" t="str">
        <x:v>YES</x:v>
      </x:c>
    </x:row>
    <x:row r="309">
      <x:c r="A309" s="20" t="str">
        <x:v>LEG-012</x:v>
      </x:c>
      <x:c r="B309" s="20" t="str">
        <x:v>Países objetivo con autorización fiscal para recibir donativos deducibles</x:v>
      </x:c>
      <x:c r="C309" s="20" t="n">
        <x:v>4</x:v>
      </x:c>
      <x:c r="D309" s="20" t="str">
        <x:v>LEG-001</x:v>
      </x:c>
      <x:c r="E309" s="20" t="str">
        <x:v>Tiempo de ciclo para liberación contractual</x:v>
      </x:c>
      <x:c r="F309" s="20" t="str">
        <x:v>Strategic-map adjacent objective; Same department</x:v>
      </x:c>
      <x:c r="G309" s="20" t="n">
        <x:v>67</x:v>
      </x:c>
      <x:c r="H309" s="20" t="str">
        <x:v>Jurídico</x:v>
      </x:c>
      <x:c r="I309" s="20" t="str">
        <x:v>Procesos internos</x:v>
      </x:c>
      <x:c r="J309" s="20" t="str">
        <x:v>P4. Simplificar y digitalizar procesos</x:v>
      </x:c>
      <x:c r="K309" s="20" t="n">
        <x:v>3.1</x:v>
      </x:c>
      <x:c r="L309" s="20" t="n">
        <x:v>4.8999999999999995</x:v>
      </x:c>
      <x:c r="M309" s="52" t="n">
        <x:v>0.3673469387755101</x:v>
      </x:c>
      <x:c r="N309" s="20" t="str">
        <x:v>Strong improvement</x:v>
      </x:c>
      <x:c r="O309" s="20" t="str">
        <x:v>Prototype retrieval heuristic; association is not proof of causality.</x:v>
      </x:c>
      <x:c r="P309" s="20" t="str">
        <x:v>YES</x:v>
      </x:c>
    </x:row>
    <x:row r="310">
      <x:c r="A310" s="20" t="str">
        <x:v>LEG-012</x:v>
      </x:c>
      <x:c r="B310" s="20" t="str">
        <x:v>Países objetivo con autorización fiscal para recibir donativos deducibles</x:v>
      </x:c>
      <x:c r="C310" s="20" t="n">
        <x:v>5</x:v>
      </x:c>
      <x:c r="D310" s="20" t="str">
        <x:v>LEG-003</x:v>
      </x:c>
      <x:c r="E310" s="20" t="str">
        <x:v>Reducción de cargas regulatorias duplicadas con cumplimiento íntegro</x:v>
      </x:c>
      <x:c r="F310" s="20" t="str">
        <x:v>Strategic-map adjacent objective; Same department</x:v>
      </x:c>
      <x:c r="G310" s="20" t="n">
        <x:v>67</x:v>
      </x:c>
      <x:c r="H310" s="20" t="str">
        <x:v>Jurídico</x:v>
      </x:c>
      <x:c r="I310" s="20" t="str">
        <x:v>Procesos internos</x:v>
      </x:c>
      <x:c r="J310" s="20" t="str">
        <x:v>P5. Fortalecer cumplimiento, transparencia y gobierno</x:v>
      </x:c>
      <x:c r="K310" s="20" t="n">
        <x:v>52</x:v>
      </x:c>
      <x:c r="L310" s="20" t="n">
        <x:v>41</x:v>
      </x:c>
      <x:c r="M310" s="52" t="n">
        <x:v>0.2682926829268293</x:v>
      </x:c>
      <x:c r="N310" s="20" t="str">
        <x:v>Strong improvement</x:v>
      </x:c>
      <x:c r="O310" s="20" t="str">
        <x:v>Prototype retrieval heuristic; association is not proof of causality.</x:v>
      </x:c>
      <x:c r="P310" s="20" t="str">
        <x:v>YES</x:v>
      </x:c>
    </x:row>
    <x:row r="311">
      <x:c r="A311" s="20" t="str">
        <x:v>LEG-012</x:v>
      </x:c>
      <x:c r="B311" s="20" t="str">
        <x:v>Países objetivo con autorización fiscal para recibir donativos deducibles</x:v>
      </x:c>
      <x:c r="C311" s="20" t="n">
        <x:v>6</x:v>
      </x:c>
      <x:c r="D311" s="20" t="str">
        <x:v>LEG-004</x:v>
      </x:c>
      <x:c r="E311" s="20" t="str">
        <x:v>Reducción de procesos administrativos duplicados por estructura societaria</x:v>
      </x:c>
      <x:c r="F311" s="20" t="str">
        <x:v>Strategic-map adjacent objective; Same department</x:v>
      </x:c>
      <x:c r="G311" s="20" t="n">
        <x:v>67</x:v>
      </x:c>
      <x:c r="H311" s="20" t="str">
        <x:v>Jurídico</x:v>
      </x:c>
      <x:c r="I311" s="20" t="str">
        <x:v>Procesos internos</x:v>
      </x:c>
      <x:c r="J311" s="20" t="str">
        <x:v>P4. Simplificar y digitalizar procesos</x:v>
      </x:c>
      <x:c r="K311" s="20" t="n">
        <x:v>52</x:v>
      </x:c>
      <x:c r="L311" s="20" t="n">
        <x:v>41</x:v>
      </x:c>
      <x:c r="M311" s="52" t="n">
        <x:v>0.2682926829268293</x:v>
      </x:c>
      <x:c r="N311" s="20" t="str">
        <x:v>Strong improvement</x:v>
      </x:c>
      <x:c r="O311" s="20" t="str">
        <x:v>Prototype retrieval heuristic; association is not proof of causality.</x:v>
      </x:c>
      <x:c r="P311" s="20" t="str">
        <x:v>YES</x:v>
      </x:c>
    </x:row>
    <x:row r="312">
      <x:c r="A312" s="20" t="str">
        <x:v>LEG-012</x:v>
      </x:c>
      <x:c r="B312" s="20" t="str">
        <x:v>Países objetivo con autorización fiscal para recibir donativos deducibles</x:v>
      </x:c>
      <x:c r="C312" s="20" t="n">
        <x:v>7</x:v>
      </x:c>
      <x:c r="D312" s="20" t="str">
        <x:v>LEG-015</x:v>
      </x:c>
      <x:c r="E312" s="20" t="str">
        <x:v>Proyectos OSC con reglas de operación aplicables antes de aprobación</x:v>
      </x:c>
      <x:c r="F312" s="20" t="str">
        <x:v>Strategic-map adjacent objective; Same department</x:v>
      </x:c>
      <x:c r="G312" s="20" t="n">
        <x:v>67</x:v>
      </x:c>
      <x:c r="H312" s="20" t="str">
        <x:v>Jurídico</x:v>
      </x:c>
      <x:c r="I312" s="20" t="str">
        <x:v>Procesos internos</x:v>
      </x:c>
      <x:c r="J312" s="20" t="str">
        <x:v>P5. Fortalecer cumplimiento, transparencia y gobierno</x:v>
      </x:c>
      <x:c r="K312" s="20" t="n">
        <x:v>100</x:v>
      </x:c>
      <x:c r="L312" s="20" t="n">
        <x:v>88.9514687100894</x:v>
      </x:c>
      <x:c r="M312" s="52" t="n">
        <x:v>0.12420853135005526</x:v>
      </x:c>
      <x:c r="N312" s="20" t="str">
        <x:v>Strong improvement</x:v>
      </x:c>
      <x:c r="O312" s="20" t="str">
        <x:v>Prototype retrieval heuristic; association is not proof of causality.</x:v>
      </x:c>
      <x:c r="P312" s="20" t="str">
        <x:v>YES</x:v>
      </x:c>
    </x:row>
    <x:row r="313">
      <x:c r="A313" s="20" t="str">
        <x:v>LEG-012</x:v>
      </x:c>
      <x:c r="B313" s="20" t="str">
        <x:v>Países objetivo con autorización fiscal para recibir donativos deducibles</x:v>
      </x:c>
      <x:c r="C313" s="20" t="n">
        <x:v>8</x:v>
      </x:c>
      <x:c r="D313" s="20" t="str">
        <x:v>ADM-006</x:v>
      </x:c>
      <x:c r="E313" s="20" t="str">
        <x:v>Informes regulatorios presentados en tiempo y forma</x:v>
      </x:c>
      <x:c r="F313" s="20" t="str">
        <x:v>Same strategic objective; Same BSC perspective</x:v>
      </x:c>
      <x:c r="G313" s="20" t="n">
        <x:v>62</x:v>
      </x:c>
      <x:c r="H313" s="20" t="str">
        <x:v>Administración</x:v>
      </x:c>
      <x:c r="I313" s="20" t="str">
        <x:v>Beneficiarios y grupos de interés</x:v>
      </x:c>
      <x:c r="J313" s="20" t="str">
        <x:v>C3. Fortalecer confianza y credibilidad institucional</x:v>
      </x:c>
      <x:c r="K313" s="20" t="n">
        <x:v>100</x:v>
      </x:c>
      <x:c r="L313" s="20" t="n">
        <x:v>88.9514687100894</x:v>
      </x:c>
      <x:c r="M313" s="52" t="n">
        <x:v>0.12420853135005526</x:v>
      </x:c>
      <x:c r="N313" s="20" t="str">
        <x:v>Strong improvement</x:v>
      </x:c>
      <x:c r="O313" s="20" t="str">
        <x:v>Prototype retrieval heuristic; association is not proof of causality.</x:v>
      </x:c>
      <x:c r="P313" s="20" t="str">
        <x:v>YES</x:v>
      </x:c>
    </x:row>
    <x:row r="314">
      <x:c r="A314" s="20" t="str">
        <x:v>LEG-013</x:v>
      </x:c>
      <x:c r="B314" s="20" t="str">
        <x:v>Cobertura de certificaciones de responsabilidad social en sedes internacionales objetivo</x:v>
      </x:c>
      <x:c r="C314" s="20" t="n">
        <x:v>1</x:v>
      </x:c>
      <x:c r="D314" s="20" t="str">
        <x:v>LEG-010</x:v>
      </x:c>
      <x:c r="E314" s="20" t="str">
        <x:v>Cumplimiento jurídico-fiscal de comunicaciones institucionales</x:v>
      </x:c>
      <x:c r="F314" s="20" t="str">
        <x:v>Same strategic objective; Same department; Same BSC perspective</x:v>
      </x:c>
      <x:c r="G314" s="20" t="n">
        <x:v>87</x:v>
      </x:c>
      <x:c r="H314" s="20" t="str">
        <x:v>Jurídico</x:v>
      </x:c>
      <x:c r="I314" s="20" t="str">
        <x:v>Beneficiarios y grupos de interés</x:v>
      </x:c>
      <x:c r="J314" s="20" t="str">
        <x:v>C3. Fortalecer confianza y credibilidad institucional</x:v>
      </x:c>
      <x:c r="K314" s="20" t="n">
        <x:v>100</x:v>
      </x:c>
      <x:c r="L314" s="20" t="n">
        <x:v>89.21401340466089</x:v>
      </x:c>
      <x:c r="M314" s="52" t="n">
        <x:v>0.12090013870820443</x:v>
      </x:c>
      <x:c r="N314" s="20" t="str">
        <x:v>Strong improvement</x:v>
      </x:c>
      <x:c r="O314" s="20" t="str">
        <x:v>Prototype retrieval heuristic; association is not proof of causality.</x:v>
      </x:c>
      <x:c r="P314" s="20" t="str">
        <x:v>YES</x:v>
      </x:c>
    </x:row>
    <x:row r="315">
      <x:c r="A315" s="20" t="str">
        <x:v>LEG-013</x:v>
      </x:c>
      <x:c r="B315" s="20" t="str">
        <x:v>Cobertura de certificaciones de responsabilidad social en sedes internacionales objetivo</x:v>
      </x:c>
      <x:c r="C315" s="20" t="n">
        <x:v>2</x:v>
      </x:c>
      <x:c r="D315" s="20" t="str">
        <x:v>LEG-012</x:v>
      </x:c>
      <x:c r="E315" s="20" t="str">
        <x:v>Países objetivo con autorización fiscal para recibir donativos deducibles</x:v>
      </x:c>
      <x:c r="F315" s="20" t="str">
        <x:v>Same strategic objective; Same department; Same BSC perspective</x:v>
      </x:c>
      <x:c r="G315" s="20" t="n">
        <x:v>87</x:v>
      </x:c>
      <x:c r="H315" s="20" t="str">
        <x:v>Jurídico</x:v>
      </x:c>
      <x:c r="I315" s="20" t="str">
        <x:v>Beneficiarios y grupos de interés</x:v>
      </x:c>
      <x:c r="J315" s="20" t="str">
        <x:v>C3. Fortalecer confianza y credibilidad institucional</x:v>
      </x:c>
      <x:c r="K315" s="20" t="n">
        <x:v>100</x:v>
      </x:c>
      <x:c r="L315" s="20" t="n">
        <x:v>91.66666666666667</x:v>
      </x:c>
      <x:c r="M315" s="52" t="n">
        <x:v>0.09090909090909086</x:v>
      </x:c>
      <x:c r="N315" s="20" t="str">
        <x:v>Improving</x:v>
      </x:c>
      <x:c r="O315" s="20" t="str">
        <x:v>Prototype retrieval heuristic; association is not proof of causality.</x:v>
      </x:c>
      <x:c r="P315" s="20" t="str">
        <x:v>YES</x:v>
      </x:c>
    </x:row>
    <x:row r="316">
      <x:c r="A316" s="20" t="str">
        <x:v>LEG-013</x:v>
      </x:c>
      <x:c r="B316" s="20" t="str">
        <x:v>Cobertura de certificaciones de responsabilidad social en sedes internacionales objetivo</x:v>
      </x:c>
      <x:c r="C316" s="20" t="n">
        <x:v>3</x:v>
      </x:c>
      <x:c r="D316" s="20" t="str">
        <x:v>LEG-014</x:v>
      </x:c>
      <x:c r="E316" s="20" t="str">
        <x:v>Alianzas formalizadas con organismos certificadores internacionales</x:v>
      </x:c>
      <x:c r="F316" s="20" t="str">
        <x:v>Same strategic objective; Same department; Same BSC perspective</x:v>
      </x:c>
      <x:c r="G316" s="20" t="n">
        <x:v>87</x:v>
      </x:c>
      <x:c r="H316" s="20" t="str">
        <x:v>Jurídico</x:v>
      </x:c>
      <x:c r="I316" s="20" t="str">
        <x:v>Beneficiarios y grupos de interés</x:v>
      </x:c>
      <x:c r="J316" s="20" t="str">
        <x:v>C3. Fortalecer confianza y credibilidad institucional</x:v>
      </x:c>
      <x:c r="K316" s="20" t="n">
        <x:v>2</x:v>
      </x:c>
      <x:c r="L316" s="20" t="n">
        <x:v>1.3333333333333333</x:v>
      </x:c>
      <x:c r="M316" s="52" t="n">
        <x:v>0.5000000000000001</x:v>
      </x:c>
      <x:c r="N316" s="20" t="str">
        <x:v>Strong improvement</x:v>
      </x:c>
      <x:c r="O316" s="20" t="str">
        <x:v>Prototype retrieval heuristic; association is not proof of causality.</x:v>
      </x:c>
      <x:c r="P316" s="20" t="str">
        <x:v>YES</x:v>
      </x:c>
    </x:row>
    <x:row r="317">
      <x:c r="A317" s="20" t="str">
        <x:v>LEG-013</x:v>
      </x:c>
      <x:c r="B317" s="20" t="str">
        <x:v>Cobertura de certificaciones de responsabilidad social en sedes internacionales objetivo</x:v>
      </x:c>
      <x:c r="C317" s="20" t="n">
        <x:v>4</x:v>
      </x:c>
      <x:c r="D317" s="20" t="str">
        <x:v>LEG-001</x:v>
      </x:c>
      <x:c r="E317" s="20" t="str">
        <x:v>Tiempo de ciclo para liberación contractual</x:v>
      </x:c>
      <x:c r="F317" s="20" t="str">
        <x:v>Strategic-map adjacent objective; Same department</x:v>
      </x:c>
      <x:c r="G317" s="20" t="n">
        <x:v>67</x:v>
      </x:c>
      <x:c r="H317" s="20" t="str">
        <x:v>Jurídico</x:v>
      </x:c>
      <x:c r="I317" s="20" t="str">
        <x:v>Procesos internos</x:v>
      </x:c>
      <x:c r="J317" s="20" t="str">
        <x:v>P4. Simplificar y digitalizar procesos</x:v>
      </x:c>
      <x:c r="K317" s="20" t="n">
        <x:v>3.1</x:v>
      </x:c>
      <x:c r="L317" s="20" t="n">
        <x:v>4.8999999999999995</x:v>
      </x:c>
      <x:c r="M317" s="52" t="n">
        <x:v>0.3673469387755101</x:v>
      </x:c>
      <x:c r="N317" s="20" t="str">
        <x:v>Strong improvement</x:v>
      </x:c>
      <x:c r="O317" s="20" t="str">
        <x:v>Prototype retrieval heuristic; association is not proof of causality.</x:v>
      </x:c>
      <x:c r="P317" s="20" t="str">
        <x:v>YES</x:v>
      </x:c>
    </x:row>
    <x:row r="318">
      <x:c r="A318" s="20" t="str">
        <x:v>LEG-013</x:v>
      </x:c>
      <x:c r="B318" s="20" t="str">
        <x:v>Cobertura de certificaciones de responsabilidad social en sedes internacionales objetivo</x:v>
      </x:c>
      <x:c r="C318" s="20" t="n">
        <x:v>5</x:v>
      </x:c>
      <x:c r="D318" s="20" t="str">
        <x:v>LEG-003</x:v>
      </x:c>
      <x:c r="E318" s="20" t="str">
        <x:v>Reducción de cargas regulatorias duplicadas con cumplimiento íntegro</x:v>
      </x:c>
      <x:c r="F318" s="20" t="str">
        <x:v>Strategic-map adjacent objective; Same department</x:v>
      </x:c>
      <x:c r="G318" s="20" t="n">
        <x:v>67</x:v>
      </x:c>
      <x:c r="H318" s="20" t="str">
        <x:v>Jurídico</x:v>
      </x:c>
      <x:c r="I318" s="20" t="str">
        <x:v>Procesos internos</x:v>
      </x:c>
      <x:c r="J318" s="20" t="str">
        <x:v>P5. Fortalecer cumplimiento, transparencia y gobierno</x:v>
      </x:c>
      <x:c r="K318" s="20" t="n">
        <x:v>52</x:v>
      </x:c>
      <x:c r="L318" s="20" t="n">
        <x:v>41</x:v>
      </x:c>
      <x:c r="M318" s="52" t="n">
        <x:v>0.2682926829268293</x:v>
      </x:c>
      <x:c r="N318" s="20" t="str">
        <x:v>Strong improvement</x:v>
      </x:c>
      <x:c r="O318" s="20" t="str">
        <x:v>Prototype retrieval heuristic; association is not proof of causality.</x:v>
      </x:c>
      <x:c r="P318" s="20" t="str">
        <x:v>YES</x:v>
      </x:c>
    </x:row>
    <x:row r="319">
      <x:c r="A319" s="20" t="str">
        <x:v>LEG-013</x:v>
      </x:c>
      <x:c r="B319" s="20" t="str">
        <x:v>Cobertura de certificaciones de responsabilidad social en sedes internacionales objetivo</x:v>
      </x:c>
      <x:c r="C319" s="20" t="n">
        <x:v>6</x:v>
      </x:c>
      <x:c r="D319" s="20" t="str">
        <x:v>LEG-004</x:v>
      </x:c>
      <x:c r="E319" s="20" t="str">
        <x:v>Reducción de procesos administrativos duplicados por estructura societaria</x:v>
      </x:c>
      <x:c r="F319" s="20" t="str">
        <x:v>Strategic-map adjacent objective; Same department</x:v>
      </x:c>
      <x:c r="G319" s="20" t="n">
        <x:v>67</x:v>
      </x:c>
      <x:c r="H319" s="20" t="str">
        <x:v>Jurídico</x:v>
      </x:c>
      <x:c r="I319" s="20" t="str">
        <x:v>Procesos internos</x:v>
      </x:c>
      <x:c r="J319" s="20" t="str">
        <x:v>P4. Simplificar y digitalizar procesos</x:v>
      </x:c>
      <x:c r="K319" s="20" t="n">
        <x:v>52</x:v>
      </x:c>
      <x:c r="L319" s="20" t="n">
        <x:v>41</x:v>
      </x:c>
      <x:c r="M319" s="52" t="n">
        <x:v>0.2682926829268293</x:v>
      </x:c>
      <x:c r="N319" s="20" t="str">
        <x:v>Strong improvement</x:v>
      </x:c>
      <x:c r="O319" s="20" t="str">
        <x:v>Prototype retrieval heuristic; association is not proof of causality.</x:v>
      </x:c>
      <x:c r="P319" s="20" t="str">
        <x:v>YES</x:v>
      </x:c>
    </x:row>
    <x:row r="320">
      <x:c r="A320" s="20" t="str">
        <x:v>LEG-013</x:v>
      </x:c>
      <x:c r="B320" s="20" t="str">
        <x:v>Cobertura de certificaciones de responsabilidad social en sedes internacionales objetivo</x:v>
      </x:c>
      <x:c r="C320" s="20" t="n">
        <x:v>7</x:v>
      </x:c>
      <x:c r="D320" s="20" t="str">
        <x:v>LEG-015</x:v>
      </x:c>
      <x:c r="E320" s="20" t="str">
        <x:v>Proyectos OSC con reglas de operación aplicables antes de aprobación</x:v>
      </x:c>
      <x:c r="F320" s="20" t="str">
        <x:v>Strategic-map adjacent objective; Same department</x:v>
      </x:c>
      <x:c r="G320" s="20" t="n">
        <x:v>67</x:v>
      </x:c>
      <x:c r="H320" s="20" t="str">
        <x:v>Jurídico</x:v>
      </x:c>
      <x:c r="I320" s="20" t="str">
        <x:v>Procesos internos</x:v>
      </x:c>
      <x:c r="J320" s="20" t="str">
        <x:v>P5. Fortalecer cumplimiento, transparencia y gobierno</x:v>
      </x:c>
      <x:c r="K320" s="20" t="n">
        <x:v>100</x:v>
      </x:c>
      <x:c r="L320" s="20" t="n">
        <x:v>88.9514687100894</x:v>
      </x:c>
      <x:c r="M320" s="52" t="n">
        <x:v>0.12420853135005526</x:v>
      </x:c>
      <x:c r="N320" s="20" t="str">
        <x:v>Strong improvement</x:v>
      </x:c>
      <x:c r="O320" s="20" t="str">
        <x:v>Prototype retrieval heuristic; association is not proof of causality.</x:v>
      </x:c>
      <x:c r="P320" s="20" t="str">
        <x:v>YES</x:v>
      </x:c>
    </x:row>
    <x:row r="321">
      <x:c r="A321" s="20" t="str">
        <x:v>LEG-013</x:v>
      </x:c>
      <x:c r="B321" s="20" t="str">
        <x:v>Cobertura de certificaciones de responsabilidad social en sedes internacionales objetivo</x:v>
      </x:c>
      <x:c r="C321" s="20" t="n">
        <x:v>8</x:v>
      </x:c>
      <x:c r="D321" s="20" t="str">
        <x:v>ADM-006</x:v>
      </x:c>
      <x:c r="E321" s="20" t="str">
        <x:v>Informes regulatorios presentados en tiempo y forma</x:v>
      </x:c>
      <x:c r="F321" s="20" t="str">
        <x:v>Same strategic objective; Same BSC perspective</x:v>
      </x:c>
      <x:c r="G321" s="20" t="n">
        <x:v>62</x:v>
      </x:c>
      <x:c r="H321" s="20" t="str">
        <x:v>Administración</x:v>
      </x:c>
      <x:c r="I321" s="20" t="str">
        <x:v>Beneficiarios y grupos de interés</x:v>
      </x:c>
      <x:c r="J321" s="20" t="str">
        <x:v>C3. Fortalecer confianza y credibilidad institucional</x:v>
      </x:c>
      <x:c r="K321" s="20" t="n">
        <x:v>100</x:v>
      </x:c>
      <x:c r="L321" s="20" t="n">
        <x:v>88.9514687100894</x:v>
      </x:c>
      <x:c r="M321" s="52" t="n">
        <x:v>0.12420853135005526</x:v>
      </x:c>
      <x:c r="N321" s="20" t="str">
        <x:v>Strong improvement</x:v>
      </x:c>
      <x:c r="O321" s="20" t="str">
        <x:v>Prototype retrieval heuristic; association is not proof of causality.</x:v>
      </x:c>
      <x:c r="P321" s="20" t="str">
        <x:v>YES</x:v>
      </x:c>
    </x:row>
    <x:row r="322">
      <x:c r="A322" s="20" t="str">
        <x:v>LEG-014</x:v>
      </x:c>
      <x:c r="B322" s="20" t="str">
        <x:v>Alianzas formalizadas con organismos certificadores internacionales</x:v>
      </x:c>
      <x:c r="C322" s="20" t="n">
        <x:v>1</x:v>
      </x:c>
      <x:c r="D322" s="20" t="str">
        <x:v>LEG-010</x:v>
      </x:c>
      <x:c r="E322" s="20" t="str">
        <x:v>Cumplimiento jurídico-fiscal de comunicaciones institucionales</x:v>
      </x:c>
      <x:c r="F322" s="20" t="str">
        <x:v>Same strategic objective; Same department; Same BSC perspective</x:v>
      </x:c>
      <x:c r="G322" s="20" t="n">
        <x:v>87</x:v>
      </x:c>
      <x:c r="H322" s="20" t="str">
        <x:v>Jurídico</x:v>
      </x:c>
      <x:c r="I322" s="20" t="str">
        <x:v>Beneficiarios y grupos de interés</x:v>
      </x:c>
      <x:c r="J322" s="20" t="str">
        <x:v>C3. Fortalecer confianza y credibilidad institucional</x:v>
      </x:c>
      <x:c r="K322" s="20" t="n">
        <x:v>100</x:v>
      </x:c>
      <x:c r="L322" s="20" t="n">
        <x:v>89.21401340466089</x:v>
      </x:c>
      <x:c r="M322" s="52" t="n">
        <x:v>0.12090013870820443</x:v>
      </x:c>
      <x:c r="N322" s="20" t="str">
        <x:v>Strong improvement</x:v>
      </x:c>
      <x:c r="O322" s="20" t="str">
        <x:v>Prototype retrieval heuristic; association is not proof of causality.</x:v>
      </x:c>
      <x:c r="P322" s="20" t="str">
        <x:v>YES</x:v>
      </x:c>
    </x:row>
    <x:row r="323">
      <x:c r="A323" s="20" t="str">
        <x:v>LEG-014</x:v>
      </x:c>
      <x:c r="B323" s="20" t="str">
        <x:v>Alianzas formalizadas con organismos certificadores internacionales</x:v>
      </x:c>
      <x:c r="C323" s="20" t="n">
        <x:v>2</x:v>
      </x:c>
      <x:c r="D323" s="20" t="str">
        <x:v>LEG-012</x:v>
      </x:c>
      <x:c r="E323" s="20" t="str">
        <x:v>Países objetivo con autorización fiscal para recibir donativos deducibles</x:v>
      </x:c>
      <x:c r="F323" s="20" t="str">
        <x:v>Same strategic objective; Same department; Same BSC perspective</x:v>
      </x:c>
      <x:c r="G323" s="20" t="n">
        <x:v>87</x:v>
      </x:c>
      <x:c r="H323" s="20" t="str">
        <x:v>Jurídico</x:v>
      </x:c>
      <x:c r="I323" s="20" t="str">
        <x:v>Beneficiarios y grupos de interés</x:v>
      </x:c>
      <x:c r="J323" s="20" t="str">
        <x:v>C3. Fortalecer confianza y credibilidad institucional</x:v>
      </x:c>
      <x:c r="K323" s="20" t="n">
        <x:v>100</x:v>
      </x:c>
      <x:c r="L323" s="20" t="n">
        <x:v>91.66666666666667</x:v>
      </x:c>
      <x:c r="M323" s="52" t="n">
        <x:v>0.09090909090909086</x:v>
      </x:c>
      <x:c r="N323" s="20" t="str">
        <x:v>Improving</x:v>
      </x:c>
      <x:c r="O323" s="20" t="str">
        <x:v>Prototype retrieval heuristic; association is not proof of causality.</x:v>
      </x:c>
      <x:c r="P323" s="20" t="str">
        <x:v>YES</x:v>
      </x:c>
    </x:row>
    <x:row r="324">
      <x:c r="A324" s="20" t="str">
        <x:v>LEG-014</x:v>
      </x:c>
      <x:c r="B324" s="20" t="str">
        <x:v>Alianzas formalizadas con organismos certificadores internacionales</x:v>
      </x:c>
      <x:c r="C324" s="20" t="n">
        <x:v>3</x:v>
      </x:c>
      <x:c r="D324" s="20" t="str">
        <x:v>LEG-013</x:v>
      </x:c>
      <x:c r="E324" s="20" t="str">
        <x:v>Cobertura de certificaciones de responsabilidad social en sedes internacionales objetivo</x:v>
      </x:c>
      <x:c r="F324" s="20" t="str">
        <x:v>Same strategic objective; Same department; Same BSC perspective</x:v>
      </x:c>
      <x:c r="G324" s="20" t="n">
        <x:v>87</x:v>
      </x:c>
      <x:c r="H324" s="20" t="str">
        <x:v>Jurídico</x:v>
      </x:c>
      <x:c r="I324" s="20" t="str">
        <x:v>Beneficiarios y grupos de interés</x:v>
      </x:c>
      <x:c r="J324" s="20" t="str">
        <x:v>C3. Fortalecer confianza y credibilidad institucional</x:v>
      </x:c>
      <x:c r="K324" s="20" t="n">
        <x:v>100</x:v>
      </x:c>
      <x:c r="L324" s="20" t="n">
        <x:v>91.66666666666667</x:v>
      </x:c>
      <x:c r="M324" s="52" t="n">
        <x:v>0.09090909090909086</x:v>
      </x:c>
      <x:c r="N324" s="20" t="str">
        <x:v>Improving</x:v>
      </x:c>
      <x:c r="O324" s="20" t="str">
        <x:v>Prototype retrieval heuristic; association is not proof of causality.</x:v>
      </x:c>
      <x:c r="P324" s="20" t="str">
        <x:v>YES</x:v>
      </x:c>
    </x:row>
    <x:row r="325">
      <x:c r="A325" s="20" t="str">
        <x:v>LEG-014</x:v>
      </x:c>
      <x:c r="B325" s="20" t="str">
        <x:v>Alianzas formalizadas con organismos certificadores internacionales</x:v>
      </x:c>
      <x:c r="C325" s="20" t="n">
        <x:v>4</x:v>
      </x:c>
      <x:c r="D325" s="20" t="str">
        <x:v>LEG-001</x:v>
      </x:c>
      <x:c r="E325" s="20" t="str">
        <x:v>Tiempo de ciclo para liberación contractual</x:v>
      </x:c>
      <x:c r="F325" s="20" t="str">
        <x:v>Strategic-map adjacent objective; Same department</x:v>
      </x:c>
      <x:c r="G325" s="20" t="n">
        <x:v>67</x:v>
      </x:c>
      <x:c r="H325" s="20" t="str">
        <x:v>Jurídico</x:v>
      </x:c>
      <x:c r="I325" s="20" t="str">
        <x:v>Procesos internos</x:v>
      </x:c>
      <x:c r="J325" s="20" t="str">
        <x:v>P4. Simplificar y digitalizar procesos</x:v>
      </x:c>
      <x:c r="K325" s="20" t="n">
        <x:v>3.1</x:v>
      </x:c>
      <x:c r="L325" s="20" t="n">
        <x:v>4.8999999999999995</x:v>
      </x:c>
      <x:c r="M325" s="52" t="n">
        <x:v>0.3673469387755101</x:v>
      </x:c>
      <x:c r="N325" s="20" t="str">
        <x:v>Strong improvement</x:v>
      </x:c>
      <x:c r="O325" s="20" t="str">
        <x:v>Prototype retrieval heuristic; association is not proof of causality.</x:v>
      </x:c>
      <x:c r="P325" s="20" t="str">
        <x:v>YES</x:v>
      </x:c>
    </x:row>
    <x:row r="326">
      <x:c r="A326" s="20" t="str">
        <x:v>LEG-014</x:v>
      </x:c>
      <x:c r="B326" s="20" t="str">
        <x:v>Alianzas formalizadas con organismos certificadores internacionales</x:v>
      </x:c>
      <x:c r="C326" s="20" t="n">
        <x:v>5</x:v>
      </x:c>
      <x:c r="D326" s="20" t="str">
        <x:v>LEG-003</x:v>
      </x:c>
      <x:c r="E326" s="20" t="str">
        <x:v>Reducción de cargas regulatorias duplicadas con cumplimiento íntegro</x:v>
      </x:c>
      <x:c r="F326" s="20" t="str">
        <x:v>Strategic-map adjacent objective; Same department</x:v>
      </x:c>
      <x:c r="G326" s="20" t="n">
        <x:v>67</x:v>
      </x:c>
      <x:c r="H326" s="20" t="str">
        <x:v>Jurídico</x:v>
      </x:c>
      <x:c r="I326" s="20" t="str">
        <x:v>Procesos internos</x:v>
      </x:c>
      <x:c r="J326" s="20" t="str">
        <x:v>P5. Fortalecer cumplimiento, transparencia y gobierno</x:v>
      </x:c>
      <x:c r="K326" s="20" t="n">
        <x:v>52</x:v>
      </x:c>
      <x:c r="L326" s="20" t="n">
        <x:v>41</x:v>
      </x:c>
      <x:c r="M326" s="52" t="n">
        <x:v>0.2682926829268293</x:v>
      </x:c>
      <x:c r="N326" s="20" t="str">
        <x:v>Strong improvement</x:v>
      </x:c>
      <x:c r="O326" s="20" t="str">
        <x:v>Prototype retrieval heuristic; association is not proof of causality.</x:v>
      </x:c>
      <x:c r="P326" s="20" t="str">
        <x:v>YES</x:v>
      </x:c>
    </x:row>
    <x:row r="327">
      <x:c r="A327" s="20" t="str">
        <x:v>LEG-014</x:v>
      </x:c>
      <x:c r="B327" s="20" t="str">
        <x:v>Alianzas formalizadas con organismos certificadores internacionales</x:v>
      </x:c>
      <x:c r="C327" s="20" t="n">
        <x:v>6</x:v>
      </x:c>
      <x:c r="D327" s="20" t="str">
        <x:v>LEG-004</x:v>
      </x:c>
      <x:c r="E327" s="20" t="str">
        <x:v>Reducción de procesos administrativos duplicados por estructura societaria</x:v>
      </x:c>
      <x:c r="F327" s="20" t="str">
        <x:v>Strategic-map adjacent objective; Same department</x:v>
      </x:c>
      <x:c r="G327" s="20" t="n">
        <x:v>67</x:v>
      </x:c>
      <x:c r="H327" s="20" t="str">
        <x:v>Jurídico</x:v>
      </x:c>
      <x:c r="I327" s="20" t="str">
        <x:v>Procesos internos</x:v>
      </x:c>
      <x:c r="J327" s="20" t="str">
        <x:v>P4. Simplificar y digitalizar procesos</x:v>
      </x:c>
      <x:c r="K327" s="20" t="n">
        <x:v>52</x:v>
      </x:c>
      <x:c r="L327" s="20" t="n">
        <x:v>41</x:v>
      </x:c>
      <x:c r="M327" s="52" t="n">
        <x:v>0.2682926829268293</x:v>
      </x:c>
      <x:c r="N327" s="20" t="str">
        <x:v>Strong improvement</x:v>
      </x:c>
      <x:c r="O327" s="20" t="str">
        <x:v>Prototype retrieval heuristic; association is not proof of causality.</x:v>
      </x:c>
      <x:c r="P327" s="20" t="str">
        <x:v>YES</x:v>
      </x:c>
    </x:row>
    <x:row r="328">
      <x:c r="A328" s="20" t="str">
        <x:v>LEG-014</x:v>
      </x:c>
      <x:c r="B328" s="20" t="str">
        <x:v>Alianzas formalizadas con organismos certificadores internacionales</x:v>
      </x:c>
      <x:c r="C328" s="20" t="n">
        <x:v>7</x:v>
      </x:c>
      <x:c r="D328" s="20" t="str">
        <x:v>LEG-015</x:v>
      </x:c>
      <x:c r="E328" s="20" t="str">
        <x:v>Proyectos OSC con reglas de operación aplicables antes de aprobación</x:v>
      </x:c>
      <x:c r="F328" s="20" t="str">
        <x:v>Strategic-map adjacent objective; Same department</x:v>
      </x:c>
      <x:c r="G328" s="20" t="n">
        <x:v>67</x:v>
      </x:c>
      <x:c r="H328" s="20" t="str">
        <x:v>Jurídico</x:v>
      </x:c>
      <x:c r="I328" s="20" t="str">
        <x:v>Procesos internos</x:v>
      </x:c>
      <x:c r="J328" s="20" t="str">
        <x:v>P5. Fortalecer cumplimiento, transparencia y gobierno</x:v>
      </x:c>
      <x:c r="K328" s="20" t="n">
        <x:v>100</x:v>
      </x:c>
      <x:c r="L328" s="20" t="n">
        <x:v>88.9514687100894</x:v>
      </x:c>
      <x:c r="M328" s="52" t="n">
        <x:v>0.12420853135005526</x:v>
      </x:c>
      <x:c r="N328" s="20" t="str">
        <x:v>Strong improvement</x:v>
      </x:c>
      <x:c r="O328" s="20" t="str">
        <x:v>Prototype retrieval heuristic; association is not proof of causality.</x:v>
      </x:c>
      <x:c r="P328" s="20" t="str">
        <x:v>YES</x:v>
      </x:c>
    </x:row>
    <x:row r="329">
      <x:c r="A329" s="20" t="str">
        <x:v>LEG-014</x:v>
      </x:c>
      <x:c r="B329" s="20" t="str">
        <x:v>Alianzas formalizadas con organismos certificadores internacionales</x:v>
      </x:c>
      <x:c r="C329" s="20" t="n">
        <x:v>8</x:v>
      </x:c>
      <x:c r="D329" s="20" t="str">
        <x:v>ADM-006</x:v>
      </x:c>
      <x:c r="E329" s="20" t="str">
        <x:v>Informes regulatorios presentados en tiempo y forma</x:v>
      </x:c>
      <x:c r="F329" s="20" t="str">
        <x:v>Same strategic objective; Same BSC perspective</x:v>
      </x:c>
      <x:c r="G329" s="20" t="n">
        <x:v>62</x:v>
      </x:c>
      <x:c r="H329" s="20" t="str">
        <x:v>Administración</x:v>
      </x:c>
      <x:c r="I329" s="20" t="str">
        <x:v>Beneficiarios y grupos de interés</x:v>
      </x:c>
      <x:c r="J329" s="20" t="str">
        <x:v>C3. Fortalecer confianza y credibilidad institucional</x:v>
      </x:c>
      <x:c r="K329" s="20" t="n">
        <x:v>100</x:v>
      </x:c>
      <x:c r="L329" s="20" t="n">
        <x:v>88.9514687100894</x:v>
      </x:c>
      <x:c r="M329" s="52" t="n">
        <x:v>0.12420853135005526</x:v>
      </x:c>
      <x:c r="N329" s="20" t="str">
        <x:v>Strong improvement</x:v>
      </x:c>
      <x:c r="O329" s="20" t="str">
        <x:v>Prototype retrieval heuristic; association is not proof of causality.</x:v>
      </x:c>
      <x:c r="P329" s="20" t="str">
        <x:v>YES</x:v>
      </x:c>
    </x:row>
    <x:row r="330">
      <x:c r="A330" s="20" t="str">
        <x:v>LEG-015</x:v>
      </x:c>
      <x:c r="B330" s="20" t="str">
        <x:v>Proyectos OSC con reglas de operación aplicables antes de aprobación</x:v>
      </x:c>
      <x:c r="C330" s="20" t="n">
        <x:v>1</x:v>
      </x:c>
      <x:c r="D330" s="20" t="str">
        <x:v>LEG-003</x:v>
      </x:c>
      <x:c r="E330" s="20" t="str">
        <x:v>Reducción de cargas regulatorias duplicadas con cumplimiento íntegro</x:v>
      </x:c>
      <x:c r="F330" s="20" t="str">
        <x:v>Same strategic objective; Same department; Same BSC perspective</x:v>
      </x:c>
      <x:c r="G330" s="20" t="n">
        <x:v>87</x:v>
      </x:c>
      <x:c r="H330" s="20" t="str">
        <x:v>Jurídico</x:v>
      </x:c>
      <x:c r="I330" s="20" t="str">
        <x:v>Procesos internos</x:v>
      </x:c>
      <x:c r="J330" s="20" t="str">
        <x:v>P5. Fortalecer cumplimiento, transparencia y gobierno</x:v>
      </x:c>
      <x:c r="K330" s="20" t="n">
        <x:v>52</x:v>
      </x:c>
      <x:c r="L330" s="20" t="n">
        <x:v>41</x:v>
      </x:c>
      <x:c r="M330" s="52" t="n">
        <x:v>0.2682926829268293</x:v>
      </x:c>
      <x:c r="N330" s="20" t="str">
        <x:v>Strong improvement</x:v>
      </x:c>
      <x:c r="O330" s="20" t="str">
        <x:v>Prototype retrieval heuristic; association is not proof of causality.</x:v>
      </x:c>
      <x:c r="P330" s="20" t="str">
        <x:v>YES</x:v>
      </x:c>
    </x:row>
    <x:row r="331">
      <x:c r="A331" s="20" t="str">
        <x:v>LEG-015</x:v>
      </x:c>
      <x:c r="B331" s="20" t="str">
        <x:v>Proyectos OSC con reglas de operación aplicables antes de aprobación</x:v>
      </x:c>
      <x:c r="C331" s="20" t="n">
        <x:v>2</x:v>
      </x:c>
      <x:c r="D331" s="20" t="str">
        <x:v>LEG-016</x:v>
      </x:c>
      <x:c r="E331" s="20" t="str">
        <x:v>Donativos a OSC con convenio formalizado previo al desembolso</x:v>
      </x:c>
      <x:c r="F331" s="20" t="str">
        <x:v>Same strategic objective; Same department; Same BSC perspective</x:v>
      </x:c>
      <x:c r="G331" s="20" t="n">
        <x:v>87</x:v>
      </x:c>
      <x:c r="H331" s="20" t="str">
        <x:v>Jurídico</x:v>
      </x:c>
      <x:c r="I331" s="20" t="str">
        <x:v>Procesos internos</x:v>
      </x:c>
      <x:c r="J331" s="20" t="str">
        <x:v>P5. Fortalecer cumplimiento, transparencia y gobierno</x:v>
      </x:c>
      <x:c r="K331" s="20" t="n">
        <x:v>100</x:v>
      </x:c>
      <x:c r="L331" s="20" t="n">
        <x:v>89.19551966335592</x:v>
      </x:c>
      <x:c r="M331" s="52" t="n">
        <x:v>0.12113254541733295</x:v>
      </x:c>
      <x:c r="N331" s="20" t="str">
        <x:v>Strong improvement</x:v>
      </x:c>
      <x:c r="O331" s="20" t="str">
        <x:v>Prototype retrieval heuristic; association is not proof of causality.</x:v>
      </x:c>
      <x:c r="P331" s="20" t="str">
        <x:v>YES</x:v>
      </x:c>
    </x:row>
    <x:row r="332">
      <x:c r="A332" s="20" t="str">
        <x:v>LEG-015</x:v>
      </x:c>
      <x:c r="B332" s="20" t="str">
        <x:v>Proyectos OSC con reglas de operación aplicables antes de aprobación</x:v>
      </x:c>
      <x:c r="C332" s="20" t="n">
        <x:v>3</x:v>
      </x:c>
      <x:c r="D332" s="20" t="str">
        <x:v>LEG-017</x:v>
      </x:c>
      <x:c r="E332" s="20" t="str">
        <x:v>Proyectos OSC con cierre operativo-financiero validado</x:v>
      </x:c>
      <x:c r="F332" s="20" t="str">
        <x:v>Same strategic objective; Same department; Same BSC perspective</x:v>
      </x:c>
      <x:c r="G332" s="20" t="n">
        <x:v>87</x:v>
      </x:c>
      <x:c r="H332" s="20" t="str">
        <x:v>Jurídico</x:v>
      </x:c>
      <x:c r="I332" s="20" t="str">
        <x:v>Procesos internos</x:v>
      </x:c>
      <x:c r="J332" s="20" t="str">
        <x:v>P5. Fortalecer cumplimiento, transparencia y gobierno</x:v>
      </x:c>
      <x:c r="K332" s="20" t="n">
        <x:v>100</x:v>
      </x:c>
      <x:c r="L332" s="20" t="n">
        <x:v>88.9514687100894</x:v>
      </x:c>
      <x:c r="M332" s="52" t="n">
        <x:v>0.12420853135005526</x:v>
      </x:c>
      <x:c r="N332" s="20" t="str">
        <x:v>Strong improvement</x:v>
      </x:c>
      <x:c r="O332" s="20" t="str">
        <x:v>Prototype retrieval heuristic; association is not proof of causality.</x:v>
      </x:c>
      <x:c r="P332" s="20" t="str">
        <x:v>YES</x:v>
      </x:c>
    </x:row>
    <x:row r="333">
      <x:c r="A333" s="20" t="str">
        <x:v>LEG-015</x:v>
      </x:c>
      <x:c r="B333" s="20" t="str">
        <x:v>Proyectos OSC con reglas de operación aplicables antes de aprobación</x:v>
      </x:c>
      <x:c r="C333" s="20" t="n">
        <x:v>4</x:v>
      </x:c>
      <x:c r="D333" s="20" t="str">
        <x:v>LEG-001</x:v>
      </x:c>
      <x:c r="E333" s="20" t="str">
        <x:v>Tiempo de ciclo para liberación contractual</x:v>
      </x:c>
      <x:c r="F333" s="20" t="str">
        <x:v>Strategic-map adjacent objective; Same department; Same BSC perspective</x:v>
      </x:c>
      <x:c r="G333" s="20" t="n">
        <x:v>77</x:v>
      </x:c>
      <x:c r="H333" s="20" t="str">
        <x:v>Jurídico</x:v>
      </x:c>
      <x:c r="I333" s="20" t="str">
        <x:v>Procesos internos</x:v>
      </x:c>
      <x:c r="J333" s="20" t="str">
        <x:v>P4. Simplificar y digitalizar procesos</x:v>
      </x:c>
      <x:c r="K333" s="20" t="n">
        <x:v>3.1</x:v>
      </x:c>
      <x:c r="L333" s="20" t="n">
        <x:v>4.8999999999999995</x:v>
      </x:c>
      <x:c r="M333" s="52" t="n">
        <x:v>0.3673469387755101</x:v>
      </x:c>
      <x:c r="N333" s="20" t="str">
        <x:v>Strong improvement</x:v>
      </x:c>
      <x:c r="O333" s="20" t="str">
        <x:v>Prototype retrieval heuristic; association is not proof of causality.</x:v>
      </x:c>
      <x:c r="P333" s="20" t="str">
        <x:v>YES</x:v>
      </x:c>
    </x:row>
    <x:row r="334">
      <x:c r="A334" s="20" t="str">
        <x:v>LEG-015</x:v>
      </x:c>
      <x:c r="B334" s="20" t="str">
        <x:v>Proyectos OSC con reglas de operación aplicables antes de aprobación</x:v>
      </x:c>
      <x:c r="C334" s="20" t="n">
        <x:v>5</x:v>
      </x:c>
      <x:c r="D334" s="20" t="str">
        <x:v>LEG-004</x:v>
      </x:c>
      <x:c r="E334" s="20" t="str">
        <x:v>Reducción de procesos administrativos duplicados por estructura societaria</x:v>
      </x:c>
      <x:c r="F334" s="20" t="str">
        <x:v>Strategic-map adjacent objective; Same department; Same BSC perspective</x:v>
      </x:c>
      <x:c r="G334" s="20" t="n">
        <x:v>77</x:v>
      </x:c>
      <x:c r="H334" s="20" t="str">
        <x:v>Jurídico</x:v>
      </x:c>
      <x:c r="I334" s="20" t="str">
        <x:v>Procesos internos</x:v>
      </x:c>
      <x:c r="J334" s="20" t="str">
        <x:v>P4. Simplificar y digitalizar procesos</x:v>
      </x:c>
      <x:c r="K334" s="20" t="n">
        <x:v>52</x:v>
      </x:c>
      <x:c r="L334" s="20" t="n">
        <x:v>41</x:v>
      </x:c>
      <x:c r="M334" s="52" t="n">
        <x:v>0.2682926829268293</x:v>
      </x:c>
      <x:c r="N334" s="20" t="str">
        <x:v>Strong improvement</x:v>
      </x:c>
      <x:c r="O334" s="20" t="str">
        <x:v>Prototype retrieval heuristic; association is not proof of causality.</x:v>
      </x:c>
      <x:c r="P334" s="20" t="str">
        <x:v>YES</x:v>
      </x:c>
    </x:row>
    <x:row r="335">
      <x:c r="A335" s="20" t="str">
        <x:v>LEG-015</x:v>
      </x:c>
      <x:c r="B335" s="20" t="str">
        <x:v>Proyectos OSC con reglas de operación aplicables antes de aprobación</x:v>
      </x:c>
      <x:c r="C335" s="20" t="n">
        <x:v>6</x:v>
      </x:c>
      <x:c r="D335" s="20" t="str">
        <x:v>REC-P06</x:v>
      </x:c>
      <x:c r="E335" s="20" t="str">
        <x:v>Obligaciones regulatorias vencidas</x:v>
      </x:c>
      <x:c r="F335" s="20" t="str">
        <x:v>Same strategic objective; Same department; Same BSC perspective</x:v>
      </x:c>
      <x:c r="G335" s="20" t="n">
        <x:v>85</x:v>
      </x:c>
      <x:c r="H335" s="20" t="str">
        <x:v>Jurídico</x:v>
      </x:c>
      <x:c r="I335" s="20" t="str">
        <x:v>Procesos internos</x:v>
      </x:c>
      <x:c r="J335" s="20" t="str">
        <x:v>P5. Fortalecer cumplimiento, transparencia y gobierno</x:v>
      </x:c>
      <x:c r="K335" s="20" t="n">
        <x:v>0</x:v>
      </x:c>
      <x:c r="L335" s="20" t="n">
        <x:v>2.6666666666666665</x:v>
      </x:c>
      <x:c r="M335" s="52" t="n">
        <x:v>1</x:v>
      </x:c>
      <x:c r="N335" s="20" t="str">
        <x:v>Strong improvement</x:v>
      </x:c>
      <x:c r="O335" s="20" t="str">
        <x:v>Prototype retrieval heuristic; association is not proof of causality.</x:v>
      </x:c>
      <x:c r="P335" s="20" t="str">
        <x:v>YES</x:v>
      </x:c>
    </x:row>
    <x:row r="336">
      <x:c r="A336" s="20" t="str">
        <x:v>LEG-015</x:v>
      </x:c>
      <x:c r="B336" s="20" t="str">
        <x:v>Proyectos OSC con reglas de operación aplicables antes de aprobación</x:v>
      </x:c>
      <x:c r="C336" s="20" t="n">
        <x:v>7</x:v>
      </x:c>
      <x:c r="D336" s="20" t="str">
        <x:v>LEG-002</x:v>
      </x:c>
      <x:c r="E336" s="20" t="str">
        <x:v>Expedientes jurídicos completos en repositorio digital</x:v>
      </x:c>
      <x:c r="F336" s="20" t="str">
        <x:v>Strategic-map adjacent objective; Same department</x:v>
      </x:c>
      <x:c r="G336" s="20" t="n">
        <x:v>67</x:v>
      </x:c>
      <x:c r="H336" s="20" t="str">
        <x:v>Jurídico</x:v>
      </x:c>
      <x:c r="I336" s="20" t="str">
        <x:v>Capacidades y tecnología</x:v>
      </x:c>
      <x:c r="J336" s="20" t="str">
        <x:v>L2. Integrar información en una sola plataforma</x:v>
      </x:c>
      <x:c r="K336" s="20" t="n">
        <x:v>100</x:v>
      </x:c>
      <x:c r="L336" s="20" t="n">
        <x:v>89.11166916321555</x:v>
      </x:c>
      <x:c r="M336" s="52" t="n">
        <x:v>0.12218748609502028</x:v>
      </x:c>
      <x:c r="N336" s="20" t="str">
        <x:v>Strong improvement</x:v>
      </x:c>
      <x:c r="O336" s="20" t="str">
        <x:v>Prototype retrieval heuristic; association is not proof of causality.</x:v>
      </x:c>
      <x:c r="P336" s="20" t="str">
        <x:v>YES</x:v>
      </x:c>
    </x:row>
    <x:row r="337">
      <x:c r="A337" s="20" t="str">
        <x:v>LEG-015</x:v>
      </x:c>
      <x:c r="B337" s="20" t="str">
        <x:v>Proyectos OSC con reglas de operación aplicables antes de aprobación</x:v>
      </x:c>
      <x:c r="C337" s="20" t="n">
        <x:v>8</x:v>
      </x:c>
      <x:c r="D337" s="20" t="str">
        <x:v>ADM-001</x:v>
      </x:c>
      <x:c r="E337" s="20" t="str">
        <x:v>Facturación de donativos emitida dentro del SLA</x:v>
      </x:c>
      <x:c r="F337" s="20" t="str">
        <x:v>Strategic-map adjacent objective; Same BSC perspective</x:v>
      </x:c>
      <x:c r="G337" s="20" t="n">
        <x:v>52</x:v>
      </x:c>
      <x:c r="H337" s="20" t="str">
        <x:v>Administración</x:v>
      </x:c>
      <x:c r="I337" s="20" t="str">
        <x:v>Procesos internos</x:v>
      </x:c>
      <x:c r="J337" s="20" t="str">
        <x:v>P4. Simplificar y digitalizar procesos</x:v>
      </x:c>
      <x:c r="K337" s="20" t="n">
        <x:v>100</x:v>
      </x:c>
      <x:c r="L337" s="20" t="n">
        <x:v>89.08024931406226</x:v>
      </x:c>
      <x:c r="M337" s="52" t="n">
        <x:v>0.12258329730801444</x:v>
      </x:c>
      <x:c r="N337" s="20" t="str">
        <x:v>Strong improvement</x:v>
      </x:c>
      <x:c r="O337" s="20" t="str">
        <x:v>Prototype retrieval heuristic; association is not proof of causality.</x:v>
      </x:c>
      <x:c r="P337" s="20" t="str">
        <x:v>YES</x:v>
      </x:c>
    </x:row>
    <x:row r="338">
      <x:c r="A338" s="20" t="str">
        <x:v>LEG-016</x:v>
      </x:c>
      <x:c r="B338" s="20" t="str">
        <x:v>Donativos a OSC con convenio formalizado previo al desembolso</x:v>
      </x:c>
      <x:c r="C338" s="20" t="n">
        <x:v>1</x:v>
      </x:c>
      <x:c r="D338" s="20" t="str">
        <x:v>LEG-003</x:v>
      </x:c>
      <x:c r="E338" s="20" t="str">
        <x:v>Reducción de cargas regulatorias duplicadas con cumplimiento íntegro</x:v>
      </x:c>
      <x:c r="F338" s="20" t="str">
        <x:v>Same strategic objective; Same department; Same BSC perspective</x:v>
      </x:c>
      <x:c r="G338" s="20" t="n">
        <x:v>87</x:v>
      </x:c>
      <x:c r="H338" s="20" t="str">
        <x:v>Jurídico</x:v>
      </x:c>
      <x:c r="I338" s="20" t="str">
        <x:v>Procesos internos</x:v>
      </x:c>
      <x:c r="J338" s="20" t="str">
        <x:v>P5. Fortalecer cumplimiento, transparencia y gobierno</x:v>
      </x:c>
      <x:c r="K338" s="20" t="n">
        <x:v>52</x:v>
      </x:c>
      <x:c r="L338" s="20" t="n">
        <x:v>41</x:v>
      </x:c>
      <x:c r="M338" s="52" t="n">
        <x:v>0.2682926829268293</x:v>
      </x:c>
      <x:c r="N338" s="20" t="str">
        <x:v>Strong improvement</x:v>
      </x:c>
      <x:c r="O338" s="20" t="str">
        <x:v>Prototype retrieval heuristic; association is not proof of causality.</x:v>
      </x:c>
      <x:c r="P338" s="20" t="str">
        <x:v>YES</x:v>
      </x:c>
    </x:row>
    <x:row r="339">
      <x:c r="A339" s="20" t="str">
        <x:v>LEG-016</x:v>
      </x:c>
      <x:c r="B339" s="20" t="str">
        <x:v>Donativos a OSC con convenio formalizado previo al desembolso</x:v>
      </x:c>
      <x:c r="C339" s="20" t="n">
        <x:v>2</x:v>
      </x:c>
      <x:c r="D339" s="20" t="str">
        <x:v>LEG-015</x:v>
      </x:c>
      <x:c r="E339" s="20" t="str">
        <x:v>Proyectos OSC con reglas de operación aplicables antes de aprobación</x:v>
      </x:c>
      <x:c r="F339" s="20" t="str">
        <x:v>Same strategic objective; Same department; Same BSC perspective</x:v>
      </x:c>
      <x:c r="G339" s="20" t="n">
        <x:v>87</x:v>
      </x:c>
      <x:c r="H339" s="20" t="str">
        <x:v>Jurídico</x:v>
      </x:c>
      <x:c r="I339" s="20" t="str">
        <x:v>Procesos internos</x:v>
      </x:c>
      <x:c r="J339" s="20" t="str">
        <x:v>P5. Fortalecer cumplimiento, transparencia y gobierno</x:v>
      </x:c>
      <x:c r="K339" s="20" t="n">
        <x:v>100</x:v>
      </x:c>
      <x:c r="L339" s="20" t="n">
        <x:v>88.9514687100894</x:v>
      </x:c>
      <x:c r="M339" s="52" t="n">
        <x:v>0.12420853135005526</x:v>
      </x:c>
      <x:c r="N339" s="20" t="str">
        <x:v>Strong improvement</x:v>
      </x:c>
      <x:c r="O339" s="20" t="str">
        <x:v>Prototype retrieval heuristic; association is not proof of causality.</x:v>
      </x:c>
      <x:c r="P339" s="20" t="str">
        <x:v>YES</x:v>
      </x:c>
    </x:row>
    <x:row r="340">
      <x:c r="A340" s="20" t="str">
        <x:v>LEG-016</x:v>
      </x:c>
      <x:c r="B340" s="20" t="str">
        <x:v>Donativos a OSC con convenio formalizado previo al desembolso</x:v>
      </x:c>
      <x:c r="C340" s="20" t="n">
        <x:v>3</x:v>
      </x:c>
      <x:c r="D340" s="20" t="str">
        <x:v>LEG-017</x:v>
      </x:c>
      <x:c r="E340" s="20" t="str">
        <x:v>Proyectos OSC con cierre operativo-financiero validado</x:v>
      </x:c>
      <x:c r="F340" s="20" t="str">
        <x:v>Same strategic objective; Same department; Same BSC perspective</x:v>
      </x:c>
      <x:c r="G340" s="20" t="n">
        <x:v>87</x:v>
      </x:c>
      <x:c r="H340" s="20" t="str">
        <x:v>Jurídico</x:v>
      </x:c>
      <x:c r="I340" s="20" t="str">
        <x:v>Procesos internos</x:v>
      </x:c>
      <x:c r="J340" s="20" t="str">
        <x:v>P5. Fortalecer cumplimiento, transparencia y gobierno</x:v>
      </x:c>
      <x:c r="K340" s="20" t="n">
        <x:v>100</x:v>
      </x:c>
      <x:c r="L340" s="20" t="n">
        <x:v>88.9514687100894</x:v>
      </x:c>
      <x:c r="M340" s="52" t="n">
        <x:v>0.12420853135005526</x:v>
      </x:c>
      <x:c r="N340" s="20" t="str">
        <x:v>Strong improvement</x:v>
      </x:c>
      <x:c r="O340" s="20" t="str">
        <x:v>Prototype retrieval heuristic; association is not proof of causality.</x:v>
      </x:c>
      <x:c r="P340" s="20" t="str">
        <x:v>YES</x:v>
      </x:c>
    </x:row>
    <x:row r="341">
      <x:c r="A341" s="20" t="str">
        <x:v>LEG-016</x:v>
      </x:c>
      <x:c r="B341" s="20" t="str">
        <x:v>Donativos a OSC con convenio formalizado previo al desembolso</x:v>
      </x:c>
      <x:c r="C341" s="20" t="n">
        <x:v>4</x:v>
      </x:c>
      <x:c r="D341" s="20" t="str">
        <x:v>LEG-001</x:v>
      </x:c>
      <x:c r="E341" s="20" t="str">
        <x:v>Tiempo de ciclo para liberación contractual</x:v>
      </x:c>
      <x:c r="F341" s="20" t="str">
        <x:v>Strategic-map adjacent objective; Same department; Same BSC perspective</x:v>
      </x:c>
      <x:c r="G341" s="20" t="n">
        <x:v>77</x:v>
      </x:c>
      <x:c r="H341" s="20" t="str">
        <x:v>Jurídico</x:v>
      </x:c>
      <x:c r="I341" s="20" t="str">
        <x:v>Procesos internos</x:v>
      </x:c>
      <x:c r="J341" s="20" t="str">
        <x:v>P4. Simplificar y digitalizar procesos</x:v>
      </x:c>
      <x:c r="K341" s="20" t="n">
        <x:v>3.1</x:v>
      </x:c>
      <x:c r="L341" s="20" t="n">
        <x:v>4.8999999999999995</x:v>
      </x:c>
      <x:c r="M341" s="52" t="n">
        <x:v>0.3673469387755101</x:v>
      </x:c>
      <x:c r="N341" s="20" t="str">
        <x:v>Strong improvement</x:v>
      </x:c>
      <x:c r="O341" s="20" t="str">
        <x:v>Prototype retrieval heuristic; association is not proof of causality.</x:v>
      </x:c>
      <x:c r="P341" s="20" t="str">
        <x:v>YES</x:v>
      </x:c>
    </x:row>
    <x:row r="342">
      <x:c r="A342" s="20" t="str">
        <x:v>LEG-016</x:v>
      </x:c>
      <x:c r="B342" s="20" t="str">
        <x:v>Donativos a OSC con convenio formalizado previo al desembolso</x:v>
      </x:c>
      <x:c r="C342" s="20" t="n">
        <x:v>5</x:v>
      </x:c>
      <x:c r="D342" s="20" t="str">
        <x:v>LEG-004</x:v>
      </x:c>
      <x:c r="E342" s="20" t="str">
        <x:v>Reducción de procesos administrativos duplicados por estructura societaria</x:v>
      </x:c>
      <x:c r="F342" s="20" t="str">
        <x:v>Strategic-map adjacent objective; Same department; Same BSC perspective</x:v>
      </x:c>
      <x:c r="G342" s="20" t="n">
        <x:v>77</x:v>
      </x:c>
      <x:c r="H342" s="20" t="str">
        <x:v>Jurídico</x:v>
      </x:c>
      <x:c r="I342" s="20" t="str">
        <x:v>Procesos internos</x:v>
      </x:c>
      <x:c r="J342" s="20" t="str">
        <x:v>P4. Simplificar y digitalizar procesos</x:v>
      </x:c>
      <x:c r="K342" s="20" t="n">
        <x:v>52</x:v>
      </x:c>
      <x:c r="L342" s="20" t="n">
        <x:v>41</x:v>
      </x:c>
      <x:c r="M342" s="52" t="n">
        <x:v>0.2682926829268293</x:v>
      </x:c>
      <x:c r="N342" s="20" t="str">
        <x:v>Strong improvement</x:v>
      </x:c>
      <x:c r="O342" s="20" t="str">
        <x:v>Prototype retrieval heuristic; association is not proof of causality.</x:v>
      </x:c>
      <x:c r="P342" s="20" t="str">
        <x:v>YES</x:v>
      </x:c>
    </x:row>
    <x:row r="343">
      <x:c r="A343" s="20" t="str">
        <x:v>LEG-016</x:v>
      </x:c>
      <x:c r="B343" s="20" t="str">
        <x:v>Donativos a OSC con convenio formalizado previo al desembolso</x:v>
      </x:c>
      <x:c r="C343" s="20" t="n">
        <x:v>6</x:v>
      </x:c>
      <x:c r="D343" s="20" t="str">
        <x:v>REC-P06</x:v>
      </x:c>
      <x:c r="E343" s="20" t="str">
        <x:v>Obligaciones regulatorias vencidas</x:v>
      </x:c>
      <x:c r="F343" s="20" t="str">
        <x:v>Same strategic objective; Same department; Same BSC perspective</x:v>
      </x:c>
      <x:c r="G343" s="20" t="n">
        <x:v>85</x:v>
      </x:c>
      <x:c r="H343" s="20" t="str">
        <x:v>Jurídico</x:v>
      </x:c>
      <x:c r="I343" s="20" t="str">
        <x:v>Procesos internos</x:v>
      </x:c>
      <x:c r="J343" s="20" t="str">
        <x:v>P5. Fortalecer cumplimiento, transparencia y gobierno</x:v>
      </x:c>
      <x:c r="K343" s="20" t="n">
        <x:v>0</x:v>
      </x:c>
      <x:c r="L343" s="20" t="n">
        <x:v>2.6666666666666665</x:v>
      </x:c>
      <x:c r="M343" s="52" t="n">
        <x:v>1</x:v>
      </x:c>
      <x:c r="N343" s="20" t="str">
        <x:v>Strong improvement</x:v>
      </x:c>
      <x:c r="O343" s="20" t="str">
        <x:v>Prototype retrieval heuristic; association is not proof of causality.</x:v>
      </x:c>
      <x:c r="P343" s="20" t="str">
        <x:v>YES</x:v>
      </x:c>
    </x:row>
    <x:row r="344">
      <x:c r="A344" s="20" t="str">
        <x:v>LEG-016</x:v>
      </x:c>
      <x:c r="B344" s="20" t="str">
        <x:v>Donativos a OSC con convenio formalizado previo al desembolso</x:v>
      </x:c>
      <x:c r="C344" s="20" t="n">
        <x:v>7</x:v>
      </x:c>
      <x:c r="D344" s="20" t="str">
        <x:v>LEG-002</x:v>
      </x:c>
      <x:c r="E344" s="20" t="str">
        <x:v>Expedientes jurídicos completos en repositorio digital</x:v>
      </x:c>
      <x:c r="F344" s="20" t="str">
        <x:v>Strategic-map adjacent objective; Same department</x:v>
      </x:c>
      <x:c r="G344" s="20" t="n">
        <x:v>67</x:v>
      </x:c>
      <x:c r="H344" s="20" t="str">
        <x:v>Jurídico</x:v>
      </x:c>
      <x:c r="I344" s="20" t="str">
        <x:v>Capacidades y tecnología</x:v>
      </x:c>
      <x:c r="J344" s="20" t="str">
        <x:v>L2. Integrar información en una sola plataforma</x:v>
      </x:c>
      <x:c r="K344" s="20" t="n">
        <x:v>100</x:v>
      </x:c>
      <x:c r="L344" s="20" t="n">
        <x:v>89.11166916321555</x:v>
      </x:c>
      <x:c r="M344" s="52" t="n">
        <x:v>0.12218748609502028</x:v>
      </x:c>
      <x:c r="N344" s="20" t="str">
        <x:v>Strong improvement</x:v>
      </x:c>
      <x:c r="O344" s="20" t="str">
        <x:v>Prototype retrieval heuristic; association is not proof of causality.</x:v>
      </x:c>
      <x:c r="P344" s="20" t="str">
        <x:v>YES</x:v>
      </x:c>
    </x:row>
    <x:row r="345">
      <x:c r="A345" s="20" t="str">
        <x:v>LEG-016</x:v>
      </x:c>
      <x:c r="B345" s="20" t="str">
        <x:v>Donativos a OSC con convenio formalizado previo al desembolso</x:v>
      </x:c>
      <x:c r="C345" s="20" t="n">
        <x:v>8</x:v>
      </x:c>
      <x:c r="D345" s="20" t="str">
        <x:v>ADM-001</x:v>
      </x:c>
      <x:c r="E345" s="20" t="str">
        <x:v>Facturación de donativos emitida dentro del SLA</x:v>
      </x:c>
      <x:c r="F345" s="20" t="str">
        <x:v>Strategic-map adjacent objective; Same BSC perspective</x:v>
      </x:c>
      <x:c r="G345" s="20" t="n">
        <x:v>52</x:v>
      </x:c>
      <x:c r="H345" s="20" t="str">
        <x:v>Administración</x:v>
      </x:c>
      <x:c r="I345" s="20" t="str">
        <x:v>Procesos internos</x:v>
      </x:c>
      <x:c r="J345" s="20" t="str">
        <x:v>P4. Simplificar y digitalizar procesos</x:v>
      </x:c>
      <x:c r="K345" s="20" t="n">
        <x:v>100</x:v>
      </x:c>
      <x:c r="L345" s="20" t="n">
        <x:v>89.08024931406226</x:v>
      </x:c>
      <x:c r="M345" s="52" t="n">
        <x:v>0.12258329730801444</x:v>
      </x:c>
      <x:c r="N345" s="20" t="str">
        <x:v>Strong improvement</x:v>
      </x:c>
      <x:c r="O345" s="20" t="str">
        <x:v>Prototype retrieval heuristic; association is not proof of causality.</x:v>
      </x:c>
      <x:c r="P345" s="20" t="str">
        <x:v>YES</x:v>
      </x:c>
    </x:row>
    <x:row r="346">
      <x:c r="A346" s="20" t="str">
        <x:v>LEG-017</x:v>
      </x:c>
      <x:c r="B346" s="20" t="str">
        <x:v>Proyectos OSC con cierre operativo-financiero validado</x:v>
      </x:c>
      <x:c r="C346" s="20" t="n">
        <x:v>1</x:v>
      </x:c>
      <x:c r="D346" s="20" t="str">
        <x:v>LEG-003</x:v>
      </x:c>
      <x:c r="E346" s="20" t="str">
        <x:v>Reducción de cargas regulatorias duplicadas con cumplimiento íntegro</x:v>
      </x:c>
      <x:c r="F346" s="20" t="str">
        <x:v>Same strategic objective; Same department; Same BSC perspective</x:v>
      </x:c>
      <x:c r="G346" s="20" t="n">
        <x:v>87</x:v>
      </x:c>
      <x:c r="H346" s="20" t="str">
        <x:v>Jurídico</x:v>
      </x:c>
      <x:c r="I346" s="20" t="str">
        <x:v>Procesos internos</x:v>
      </x:c>
      <x:c r="J346" s="20" t="str">
        <x:v>P5. Fortalecer cumplimiento, transparencia y gobierno</x:v>
      </x:c>
      <x:c r="K346" s="20" t="n">
        <x:v>52</x:v>
      </x:c>
      <x:c r="L346" s="20" t="n">
        <x:v>41</x:v>
      </x:c>
      <x:c r="M346" s="52" t="n">
        <x:v>0.2682926829268293</x:v>
      </x:c>
      <x:c r="N346" s="20" t="str">
        <x:v>Strong improvement</x:v>
      </x:c>
      <x:c r="O346" s="20" t="str">
        <x:v>Prototype retrieval heuristic; association is not proof of causality.</x:v>
      </x:c>
      <x:c r="P346" s="20" t="str">
        <x:v>YES</x:v>
      </x:c>
    </x:row>
    <x:row r="347">
      <x:c r="A347" s="20" t="str">
        <x:v>LEG-017</x:v>
      </x:c>
      <x:c r="B347" s="20" t="str">
        <x:v>Proyectos OSC con cierre operativo-financiero validado</x:v>
      </x:c>
      <x:c r="C347" s="20" t="n">
        <x:v>2</x:v>
      </x:c>
      <x:c r="D347" s="20" t="str">
        <x:v>LEG-015</x:v>
      </x:c>
      <x:c r="E347" s="20" t="str">
        <x:v>Proyectos OSC con reglas de operación aplicables antes de aprobación</x:v>
      </x:c>
      <x:c r="F347" s="20" t="str">
        <x:v>Same strategic objective; Same department; Same BSC perspective</x:v>
      </x:c>
      <x:c r="G347" s="20" t="n">
        <x:v>87</x:v>
      </x:c>
      <x:c r="H347" s="20" t="str">
        <x:v>Jurídico</x:v>
      </x:c>
      <x:c r="I347" s="20" t="str">
        <x:v>Procesos internos</x:v>
      </x:c>
      <x:c r="J347" s="20" t="str">
        <x:v>P5. Fortalecer cumplimiento, transparencia y gobierno</x:v>
      </x:c>
      <x:c r="K347" s="20" t="n">
        <x:v>100</x:v>
      </x:c>
      <x:c r="L347" s="20" t="n">
        <x:v>88.9514687100894</x:v>
      </x:c>
      <x:c r="M347" s="52" t="n">
        <x:v>0.12420853135005526</x:v>
      </x:c>
      <x:c r="N347" s="20" t="str">
        <x:v>Strong improvement</x:v>
      </x:c>
      <x:c r="O347" s="20" t="str">
        <x:v>Prototype retrieval heuristic; association is not proof of causality.</x:v>
      </x:c>
      <x:c r="P347" s="20" t="str">
        <x:v>YES</x:v>
      </x:c>
    </x:row>
    <x:row r="348">
      <x:c r="A348" s="20" t="str">
        <x:v>LEG-017</x:v>
      </x:c>
      <x:c r="B348" s="20" t="str">
        <x:v>Proyectos OSC con cierre operativo-financiero validado</x:v>
      </x:c>
      <x:c r="C348" s="20" t="n">
        <x:v>3</x:v>
      </x:c>
      <x:c r="D348" s="20" t="str">
        <x:v>LEG-016</x:v>
      </x:c>
      <x:c r="E348" s="20" t="str">
        <x:v>Donativos a OSC con convenio formalizado previo al desembolso</x:v>
      </x:c>
      <x:c r="F348" s="20" t="str">
        <x:v>Same strategic objective; Same department; Same BSC perspective</x:v>
      </x:c>
      <x:c r="G348" s="20" t="n">
        <x:v>87</x:v>
      </x:c>
      <x:c r="H348" s="20" t="str">
        <x:v>Jurídico</x:v>
      </x:c>
      <x:c r="I348" s="20" t="str">
        <x:v>Procesos internos</x:v>
      </x:c>
      <x:c r="J348" s="20" t="str">
        <x:v>P5. Fortalecer cumplimiento, transparencia y gobierno</x:v>
      </x:c>
      <x:c r="K348" s="20" t="n">
        <x:v>100</x:v>
      </x:c>
      <x:c r="L348" s="20" t="n">
        <x:v>89.19551966335592</x:v>
      </x:c>
      <x:c r="M348" s="52" t="n">
        <x:v>0.12113254541733295</x:v>
      </x:c>
      <x:c r="N348" s="20" t="str">
        <x:v>Strong improvement</x:v>
      </x:c>
      <x:c r="O348" s="20" t="str">
        <x:v>Prototype retrieval heuristic; association is not proof of causality.</x:v>
      </x:c>
      <x:c r="P348" s="20" t="str">
        <x:v>YES</x:v>
      </x:c>
    </x:row>
    <x:row r="349">
      <x:c r="A349" s="20" t="str">
        <x:v>LEG-017</x:v>
      </x:c>
      <x:c r="B349" s="20" t="str">
        <x:v>Proyectos OSC con cierre operativo-financiero validado</x:v>
      </x:c>
      <x:c r="C349" s="20" t="n">
        <x:v>4</x:v>
      </x:c>
      <x:c r="D349" s="20" t="str">
        <x:v>LEG-001</x:v>
      </x:c>
      <x:c r="E349" s="20" t="str">
        <x:v>Tiempo de ciclo para liberación contractual</x:v>
      </x:c>
      <x:c r="F349" s="20" t="str">
        <x:v>Strategic-map adjacent objective; Same department; Same BSC perspective</x:v>
      </x:c>
      <x:c r="G349" s="20" t="n">
        <x:v>77</x:v>
      </x:c>
      <x:c r="H349" s="20" t="str">
        <x:v>Jurídico</x:v>
      </x:c>
      <x:c r="I349" s="20" t="str">
        <x:v>Procesos internos</x:v>
      </x:c>
      <x:c r="J349" s="20" t="str">
        <x:v>P4. Simplificar y digitalizar procesos</x:v>
      </x:c>
      <x:c r="K349" s="20" t="n">
        <x:v>3.1</x:v>
      </x:c>
      <x:c r="L349" s="20" t="n">
        <x:v>4.8999999999999995</x:v>
      </x:c>
      <x:c r="M349" s="52" t="n">
        <x:v>0.3673469387755101</x:v>
      </x:c>
      <x:c r="N349" s="20" t="str">
        <x:v>Strong improvement</x:v>
      </x:c>
      <x:c r="O349" s="20" t="str">
        <x:v>Prototype retrieval heuristic; association is not proof of causality.</x:v>
      </x:c>
      <x:c r="P349" s="20" t="str">
        <x:v>YES</x:v>
      </x:c>
    </x:row>
    <x:row r="350">
      <x:c r="A350" s="20" t="str">
        <x:v>LEG-017</x:v>
      </x:c>
      <x:c r="B350" s="20" t="str">
        <x:v>Proyectos OSC con cierre operativo-financiero validado</x:v>
      </x:c>
      <x:c r="C350" s="20" t="n">
        <x:v>5</x:v>
      </x:c>
      <x:c r="D350" s="20" t="str">
        <x:v>LEG-004</x:v>
      </x:c>
      <x:c r="E350" s="20" t="str">
        <x:v>Reducción de procesos administrativos duplicados por estructura societaria</x:v>
      </x:c>
      <x:c r="F350" s="20" t="str">
        <x:v>Strategic-map adjacent objective; Same department; Same BSC perspective</x:v>
      </x:c>
      <x:c r="G350" s="20" t="n">
        <x:v>77</x:v>
      </x:c>
      <x:c r="H350" s="20" t="str">
        <x:v>Jurídico</x:v>
      </x:c>
      <x:c r="I350" s="20" t="str">
        <x:v>Procesos internos</x:v>
      </x:c>
      <x:c r="J350" s="20" t="str">
        <x:v>P4. Simplificar y digitalizar procesos</x:v>
      </x:c>
      <x:c r="K350" s="20" t="n">
        <x:v>52</x:v>
      </x:c>
      <x:c r="L350" s="20" t="n">
        <x:v>41</x:v>
      </x:c>
      <x:c r="M350" s="52" t="n">
        <x:v>0.2682926829268293</x:v>
      </x:c>
      <x:c r="N350" s="20" t="str">
        <x:v>Strong improvement</x:v>
      </x:c>
      <x:c r="O350" s="20" t="str">
        <x:v>Prototype retrieval heuristic; association is not proof of causality.</x:v>
      </x:c>
      <x:c r="P350" s="20" t="str">
        <x:v>YES</x:v>
      </x:c>
    </x:row>
    <x:row r="351">
      <x:c r="A351" s="20" t="str">
        <x:v>LEG-017</x:v>
      </x:c>
      <x:c r="B351" s="20" t="str">
        <x:v>Proyectos OSC con cierre operativo-financiero validado</x:v>
      </x:c>
      <x:c r="C351" s="20" t="n">
        <x:v>6</x:v>
      </x:c>
      <x:c r="D351" s="20" t="str">
        <x:v>REC-P06</x:v>
      </x:c>
      <x:c r="E351" s="20" t="str">
        <x:v>Obligaciones regulatorias vencidas</x:v>
      </x:c>
      <x:c r="F351" s="20" t="str">
        <x:v>Same strategic objective; Same department; Same BSC perspective</x:v>
      </x:c>
      <x:c r="G351" s="20" t="n">
        <x:v>85</x:v>
      </x:c>
      <x:c r="H351" s="20" t="str">
        <x:v>Jurídico</x:v>
      </x:c>
      <x:c r="I351" s="20" t="str">
        <x:v>Procesos internos</x:v>
      </x:c>
      <x:c r="J351" s="20" t="str">
        <x:v>P5. Fortalecer cumplimiento, transparencia y gobierno</x:v>
      </x:c>
      <x:c r="K351" s="20" t="n">
        <x:v>0</x:v>
      </x:c>
      <x:c r="L351" s="20" t="n">
        <x:v>2.6666666666666665</x:v>
      </x:c>
      <x:c r="M351" s="52" t="n">
        <x:v>1</x:v>
      </x:c>
      <x:c r="N351" s="20" t="str">
        <x:v>Strong improvement</x:v>
      </x:c>
      <x:c r="O351" s="20" t="str">
        <x:v>Prototype retrieval heuristic; association is not proof of causality.</x:v>
      </x:c>
      <x:c r="P351" s="20" t="str">
        <x:v>YES</x:v>
      </x:c>
    </x:row>
    <x:row r="352">
      <x:c r="A352" s="20" t="str">
        <x:v>LEG-017</x:v>
      </x:c>
      <x:c r="B352" s="20" t="str">
        <x:v>Proyectos OSC con cierre operativo-financiero validado</x:v>
      </x:c>
      <x:c r="C352" s="20" t="n">
        <x:v>7</x:v>
      </x:c>
      <x:c r="D352" s="20" t="str">
        <x:v>LEG-002</x:v>
      </x:c>
      <x:c r="E352" s="20" t="str">
        <x:v>Expedientes jurídicos completos en repositorio digital</x:v>
      </x:c>
      <x:c r="F352" s="20" t="str">
        <x:v>Strategic-map adjacent objective; Same department</x:v>
      </x:c>
      <x:c r="G352" s="20" t="n">
        <x:v>67</x:v>
      </x:c>
      <x:c r="H352" s="20" t="str">
        <x:v>Jurídico</x:v>
      </x:c>
      <x:c r="I352" s="20" t="str">
        <x:v>Capacidades y tecnología</x:v>
      </x:c>
      <x:c r="J352" s="20" t="str">
        <x:v>L2. Integrar información en una sola plataforma</x:v>
      </x:c>
      <x:c r="K352" s="20" t="n">
        <x:v>100</x:v>
      </x:c>
      <x:c r="L352" s="20" t="n">
        <x:v>89.11166916321555</x:v>
      </x:c>
      <x:c r="M352" s="52" t="n">
        <x:v>0.12218748609502028</x:v>
      </x:c>
      <x:c r="N352" s="20" t="str">
        <x:v>Strong improvement</x:v>
      </x:c>
      <x:c r="O352" s="20" t="str">
        <x:v>Prototype retrieval heuristic; association is not proof of causality.</x:v>
      </x:c>
      <x:c r="P352" s="20" t="str">
        <x:v>YES</x:v>
      </x:c>
    </x:row>
    <x:row r="353">
      <x:c r="A353" s="20" t="str">
        <x:v>LEG-017</x:v>
      </x:c>
      <x:c r="B353" s="20" t="str">
        <x:v>Proyectos OSC con cierre operativo-financiero validado</x:v>
      </x:c>
      <x:c r="C353" s="20" t="n">
        <x:v>8</x:v>
      </x:c>
      <x:c r="D353" s="20" t="str">
        <x:v>ADM-001</x:v>
      </x:c>
      <x:c r="E353" s="20" t="str">
        <x:v>Facturación de donativos emitida dentro del SLA</x:v>
      </x:c>
      <x:c r="F353" s="20" t="str">
        <x:v>Strategic-map adjacent objective; Same BSC perspective</x:v>
      </x:c>
      <x:c r="G353" s="20" t="n">
        <x:v>52</x:v>
      </x:c>
      <x:c r="H353" s="20" t="str">
        <x:v>Administración</x:v>
      </x:c>
      <x:c r="I353" s="20" t="str">
        <x:v>Procesos internos</x:v>
      </x:c>
      <x:c r="J353" s="20" t="str">
        <x:v>P4. Simplificar y digitalizar procesos</x:v>
      </x:c>
      <x:c r="K353" s="20" t="n">
        <x:v>100</x:v>
      </x:c>
      <x:c r="L353" s="20" t="n">
        <x:v>89.08024931406226</x:v>
      </x:c>
      <x:c r="M353" s="52" t="n">
        <x:v>0.12258329730801444</x:v>
      </x:c>
      <x:c r="N353" s="20" t="str">
        <x:v>Strong improvement</x:v>
      </x:c>
      <x:c r="O353" s="20" t="str">
        <x:v>Prototype retrieval heuristic; association is not proof of causality.</x:v>
      </x:c>
      <x:c r="P353" s="20" t="str">
        <x:v>YES</x:v>
      </x:c>
    </x:row>
    <x:row r="354">
      <x:c r="A354" s="20" t="str">
        <x:v>FND-001</x:v>
      </x:c>
      <x:c r="B354" s="20" t="str">
        <x:v>Fondos recaudados — Tu Donativo x2 (Chivas)</x:v>
      </x:c>
      <x:c r="C354" s="20" t="n">
        <x:v>1</x:v>
      </x:c>
      <x:c r="D354" s="20" t="str">
        <x:v>FND-002</x:v>
      </x:c>
      <x:c r="E354" s="20" t="str">
        <x:v>Fondos recaudados — ¿Cuánto vale una sonrisa? México</x:v>
      </x:c>
      <x:c r="F354" s="20" t="str">
        <x:v>Same strategic objective; Same department; Same BSC perspective</x:v>
      </x:c>
      <x:c r="G354" s="20" t="n">
        <x:v>87</x:v>
      </x:c>
      <x:c r="H354" s="20" t="str">
        <x:v>Procuración de Fondos</x:v>
      </x:c>
      <x:c r="I354" s="20" t="str">
        <x:v>Sostenibilidad financiera</x:v>
      </x:c>
      <x:c r="J354" s="20" t="str">
        <x:v>F1. Diversificar y aumentar fuentes</x:v>
      </x:c>
      <x:c r="K354" s="20" t="n">
        <x:v>100</x:v>
      </x:c>
      <x:c r="L354" s="20" t="n">
        <x:v>359989</x:v>
      </x:c>
      <x:c r="M354" s="52" t="n">
        <x:v>-0.9997222137343086</x:v>
      </x:c>
      <x:c r="N354" s="20" t="str">
        <x:v>Deteriorating</x:v>
      </x:c>
      <x:c r="O354" s="20" t="str">
        <x:v>Prototype retrieval heuristic; association is not proof of causality.</x:v>
      </x:c>
      <x:c r="P354" s="20" t="str">
        <x:v>YES</x:v>
      </x:c>
    </x:row>
    <x:row r="355">
      <x:c r="A355" s="20" t="str">
        <x:v>FND-001</x:v>
      </x:c>
      <x:c r="B355" s="20" t="str">
        <x:v>Fondos recaudados — Tu Donativo x2 (Chivas)</x:v>
      </x:c>
      <x:c r="C355" s="20" t="n">
        <x:v>2</x:v>
      </x:c>
      <x:c r="D355" s="20" t="str">
        <x:v>FND-003</x:v>
      </x:c>
      <x:c r="E355" s="20" t="str">
        <x:v>Fondos recaudados — ¿Cuánto vale una sonrisa? USA</x:v>
      </x:c>
      <x:c r="F355" s="20" t="str">
        <x:v>Same strategic objective; Same department; Same BSC perspective</x:v>
      </x:c>
      <x:c r="G355" s="20" t="n">
        <x:v>87</x:v>
      </x:c>
      <x:c r="H355" s="20" t="str">
        <x:v>Procuración de Fondos</x:v>
      </x:c>
      <x:c r="I355" s="20" t="str">
        <x:v>Sostenibilidad financiera</x:v>
      </x:c>
      <x:c r="J355" s="20" t="str">
        <x:v>F1. Diversificar y aumentar fuentes</x:v>
      </x:c>
      <x:c r="K355" s="20" t="n">
        <x:v>100</x:v>
      </x:c>
      <x:c r="L355" s="20" t="n">
        <x:v>29989</x:v>
      </x:c>
      <x:c r="M355" s="52" t="n">
        <x:v>-0.9966654439961319</x:v>
      </x:c>
      <x:c r="N355" s="20" t="str">
        <x:v>Deteriorating</x:v>
      </x:c>
      <x:c r="O355" s="20" t="str">
        <x:v>Prototype retrieval heuristic; association is not proof of causality.</x:v>
      </x:c>
      <x:c r="P355" s="20" t="str">
        <x:v>YES</x:v>
      </x:c>
    </x:row>
    <x:row r="356">
      <x:c r="A356" s="20" t="str">
        <x:v>FND-001</x:v>
      </x:c>
      <x:c r="B356" s="20" t="str">
        <x:v>Fondos recaudados — Tu Donativo x2 (Chivas)</x:v>
      </x:c>
      <x:c r="C356" s="20" t="n">
        <x:v>3</x:v>
      </x:c>
      <x:c r="D356" s="20" t="str">
        <x:v>FND-004</x:v>
      </x:c>
      <x:c r="E356" s="20" t="str">
        <x:v>Fondos recaudados — ¿Cuánto vale una sonrisa? Perú</x:v>
      </x:c>
      <x:c r="F356" s="20" t="str">
        <x:v>Same strategic objective; Same department; Same BSC perspective</x:v>
      </x:c>
      <x:c r="G356" s="20" t="n">
        <x:v>87</x:v>
      </x:c>
      <x:c r="H356" s="20" t="str">
        <x:v>Procuración de Fondos</x:v>
      </x:c>
      <x:c r="I356" s="20" t="str">
        <x:v>Sostenibilidad financiera</x:v>
      </x:c>
      <x:c r="J356" s="20" t="str">
        <x:v>F1. Diversificar y aumentar fuentes</x:v>
      </x:c>
      <x:c r="K356" s="20" t="n">
        <x:v>100</x:v>
      </x:c>
      <x:c r="L356" s="20" t="n">
        <x:v>2989</x:v>
      </x:c>
      <x:c r="M356" s="52" t="n">
        <x:v>-0.9665439946470391</x:v>
      </x:c>
      <x:c r="N356" s="20" t="str">
        <x:v>Deteriorating</x:v>
      </x:c>
      <x:c r="O356" s="20" t="str">
        <x:v>Prototype retrieval heuristic; association is not proof of causality.</x:v>
      </x:c>
      <x:c r="P356" s="20" t="str">
        <x:v>YES</x:v>
      </x:c>
    </x:row>
    <x:row r="357">
      <x:c r="A357" s="20" t="str">
        <x:v>FND-001</x:v>
      </x:c>
      <x:c r="B357" s="20" t="str">
        <x:v>Fondos recaudados — Tu Donativo x2 (Chivas)</x:v>
      </x:c>
      <x:c r="C357" s="20" t="n">
        <x:v>4</x:v>
      </x:c>
      <x:c r="D357" s="20" t="str">
        <x:v>REC-P07</x:v>
      </x:c>
      <x:c r="E357" s="20" t="str">
        <x:v>Conversión de alianzas estratégicas a recursos o capacidad programática</x:v>
      </x:c>
      <x:c r="F357" s="20" t="str">
        <x:v>Strategic-map adjacent objective; Same department</x:v>
      </x:c>
      <x:c r="G357" s="20" t="n">
        <x:v>67</x:v>
      </x:c>
      <x:c r="H357" s="20" t="str">
        <x:v>Procuración de Fondos</x:v>
      </x:c>
      <x:c r="I357" s="20" t="str">
        <x:v>Procesos internos</x:v>
      </x:c>
      <x:c r="J357" s="20" t="str">
        <x:v>P6. Construir ecosistema de alianzas</x:v>
      </x:c>
      <x:c r="K357" s="20" t="n">
        <x:v>72</x:v>
      </x:c>
      <x:c r="L357" s="20" t="n">
        <x:v>61.16347381864623</x:v>
      </x:c>
      <x:c r="M357" s="52" t="n">
        <x:v>0.17717316406005307</x:v>
      </x:c>
      <x:c r="N357" s="20" t="str">
        <x:v>Strong improvement</x:v>
      </x:c>
      <x:c r="O357" s="20" t="str">
        <x:v>Prototype retrieval heuristic; association is not proof of causality.</x:v>
      </x:c>
      <x:c r="P357" s="20" t="str">
        <x:v>YES</x:v>
      </x:c>
    </x:row>
    <x:row r="358">
      <x:c r="A358" s="20" t="str">
        <x:v>FND-001</x:v>
      </x:c>
      <x:c r="B358" s="20" t="str">
        <x:v>Fondos recaudados — Tu Donativo x2 (Chivas)</x:v>
      </x:c>
      <x:c r="C358" s="20" t="n">
        <x:v>5</x:v>
      </x:c>
      <x:c r="D358" s="20" t="str">
        <x:v>FND-016</x:v>
      </x:c>
      <x:c r="E358" s="20" t="str">
        <x:v>Nuevas alianzas estratégicas activas por país</x:v>
      </x:c>
      <x:c r="F358" s="20" t="str">
        <x:v>Strategic-map adjacent objective; Same department</x:v>
      </x:c>
      <x:c r="G358" s="20" t="n">
        <x:v>65</x:v>
      </x:c>
      <x:c r="H358" s="20" t="str">
        <x:v>Procuración de Fondos</x:v>
      </x:c>
      <x:c r="I358" s="20" t="str">
        <x:v>Procesos internos</x:v>
      </x:c>
      <x:c r="J358" s="20" t="str">
        <x:v>P6. Construir ecosistema de alianzas</x:v>
      </x:c>
      <x:c r="K358" s="20" t="n">
        <x:v>4</x:v>
      </x:c>
      <x:c r="L358" s="20" t="n">
        <x:v>2.6666666666666665</x:v>
      </x:c>
      <x:c r="M358" s="52" t="n">
        <x:v>0.5000000000000001</x:v>
      </x:c>
      <x:c r="N358" s="20" t="str">
        <x:v>Strong improvement</x:v>
      </x:c>
      <x:c r="O358" s="20" t="str">
        <x:v>Prototype retrieval heuristic; association is not proof of causality.</x:v>
      </x:c>
      <x:c r="P358" s="20" t="str">
        <x:v>YES</x:v>
      </x:c>
    </x:row>
    <x:row r="359">
      <x:c r="A359" s="20" t="str">
        <x:v>FND-001</x:v>
      </x:c>
      <x:c r="B359" s="20" t="str">
        <x:v>Fondos recaudados — Tu Donativo x2 (Chivas)</x:v>
      </x:c>
      <x:c r="C359" s="20" t="n">
        <x:v>6</x:v>
      </x:c>
      <x:c r="D359" s="20" t="str">
        <x:v>FND-005</x:v>
      </x:c>
      <x:c r="E359" s="20" t="str">
        <x:v>Sell-through de artículos Mes de Fundación</x:v>
      </x:c>
      <x:c r="F359" s="20" t="str">
        <x:v>Same strategic objective; Same department; Same BSC perspective</x:v>
      </x:c>
      <x:c r="G359" s="20" t="n">
        <x:v>87</x:v>
      </x:c>
      <x:c r="H359" s="20" t="str">
        <x:v>Procuración de Fondos</x:v>
      </x:c>
      <x:c r="I359" s="20" t="str">
        <x:v>Sostenibilidad financiera</x:v>
      </x:c>
      <x:c r="J359" s="20" t="str">
        <x:v>F1. Diversificar y aumentar fuentes</x:v>
      </x:c>
      <x:c r="K359" s="20" t="n">
        <x:v>100</x:v>
      </x:c>
      <x:c r="L359" s="20" t="n">
        <x:v>88.9514687100894</x:v>
      </x:c>
      <x:c r="M359" s="52" t="n">
        <x:v>0.12420853135005526</x:v>
      </x:c>
      <x:c r="N359" s="20" t="str">
        <x:v>Strong improvement</x:v>
      </x:c>
      <x:c r="O359" s="20" t="str">
        <x:v>Prototype retrieval heuristic; association is not proof of causality.</x:v>
      </x:c>
      <x:c r="P359" s="20" t="str">
        <x:v>YES</x:v>
      </x:c>
    </x:row>
    <x:row r="360">
      <x:c r="A360" s="20" t="str">
        <x:v>FND-001</x:v>
      </x:c>
      <x:c r="B360" s="20" t="str">
        <x:v>Fondos recaudados — Tu Donativo x2 (Chivas)</x:v>
      </x:c>
      <x:c r="C360" s="20" t="n">
        <x:v>7</x:v>
      </x:c>
      <x:c r="D360" s="20" t="str">
        <x:v>FND-017</x:v>
      </x:c>
      <x:c r="E360" s="20" t="str">
        <x:v>Fondos recaudados — Subasta Omnilife</x:v>
      </x:c>
      <x:c r="F360" s="20" t="str">
        <x:v>Same strategic objective; Same department; Same BSC perspective</x:v>
      </x:c>
      <x:c r="G360" s="20" t="n">
        <x:v>87</x:v>
      </x:c>
      <x:c r="H360" s="20" t="str">
        <x:v>Procuración de Fondos</x:v>
      </x:c>
      <x:c r="I360" s="20" t="str">
        <x:v>Sostenibilidad financiera</x:v>
      </x:c>
      <x:c r="J360" s="20" t="str">
        <x:v>F1. Diversificar y aumentar fuentes</x:v>
      </x:c>
      <x:c r="K360" s="20" t="n">
        <x:v>100</x:v>
      </x:c>
      <x:c r="L360" s="20" t="n">
        <x:v>1599989</x:v>
      </x:c>
      <x:c r="M360" s="52" t="n">
        <x:v>-0.9999374995703095</x:v>
      </x:c>
      <x:c r="N360" s="20" t="str">
        <x:v>Deteriorating</x:v>
      </x:c>
      <x:c r="O360" s="20" t="str">
        <x:v>Prototype retrieval heuristic; association is not proof of causality.</x:v>
      </x:c>
      <x:c r="P360" s="20" t="str">
        <x:v>YES</x:v>
      </x:c>
    </x:row>
    <x:row r="361">
      <x:c r="A361" s="20" t="str">
        <x:v>FND-001</x:v>
      </x:c>
      <x:c r="B361" s="20" t="str">
        <x:v>Fondos recaudados — Tu Donativo x2 (Chivas)</x:v>
      </x:c>
      <x:c r="C361" s="20" t="n">
        <x:v>8</x:v>
      </x:c>
      <x:c r="D361" s="20" t="str">
        <x:v>REC-F01</x:v>
      </x:c>
      <x:c r="E361" s="20" t="str">
        <x:v>Cumplimiento de meta total de procuración</x:v>
      </x:c>
      <x:c r="F361" s="20" t="str">
        <x:v>Same strategic objective; Same department; Same BSC perspective</x:v>
      </x:c>
      <x:c r="G361" s="20" t="n">
        <x:v>87</x:v>
      </x:c>
      <x:c r="H361" s="20" t="str">
        <x:v>Procuración de Fondos</x:v>
      </x:c>
      <x:c r="I361" s="20" t="str">
        <x:v>Sostenibilidad financiera</x:v>
      </x:c>
      <x:c r="J361" s="20" t="str">
        <x:v>F1. Diversificar y aumentar fuentes</x:v>
      </x:c>
      <x:c r="K361" s="20" t="n">
        <x:v>100</x:v>
      </x:c>
      <x:c r="L361" s="20" t="n">
        <x:v>88.9514687100894</x:v>
      </x:c>
      <x:c r="M361" s="52" t="n">
        <x:v>0.12420853135005526</x:v>
      </x:c>
      <x:c r="N361" s="20" t="str">
        <x:v>Strong improvement</x:v>
      </x:c>
      <x:c r="O361" s="20" t="str">
        <x:v>Prototype retrieval heuristic; association is not proof of causality.</x:v>
      </x:c>
      <x:c r="P361" s="20" t="str">
        <x:v>YES</x:v>
      </x:c>
    </x:row>
    <x:row r="362">
      <x:c r="A362" s="20" t="str">
        <x:v>FND-002</x:v>
      </x:c>
      <x:c r="B362" s="20" t="str">
        <x:v>Fondos recaudados — ¿Cuánto vale una sonrisa? México</x:v>
      </x:c>
      <x:c r="C362" s="20" t="n">
        <x:v>1</x:v>
      </x:c>
      <x:c r="D362" s="20" t="str">
        <x:v>FND-001</x:v>
      </x:c>
      <x:c r="E362" s="20" t="str">
        <x:v>Fondos recaudados — Tu Donativo x2 (Chivas)</x:v>
      </x:c>
      <x:c r="F362" s="20" t="str">
        <x:v>Same strategic objective; Same department; Same BSC perspective</x:v>
      </x:c>
      <x:c r="G362" s="20" t="n">
        <x:v>87</x:v>
      </x:c>
      <x:c r="H362" s="20" t="str">
        <x:v>Procuración de Fondos</x:v>
      </x:c>
      <x:c r="I362" s="20" t="str">
        <x:v>Sostenibilidad financiera</x:v>
      </x:c>
      <x:c r="J362" s="20" t="str">
        <x:v>F1. Diversificar y aumentar fuentes</x:v>
      </x:c>
      <x:c r="K362" s="20" t="n">
        <x:v>40800</x:v>
      </x:c>
      <x:c r="L362" s="20" t="n">
        <x:v>31333.333333333332</x:v>
      </x:c>
      <x:c r="M362" s="52" t="n">
        <x:v>0.30212765957446813</x:v>
      </x:c>
      <x:c r="N362" s="20" t="str">
        <x:v>Strong improvement</x:v>
      </x:c>
      <x:c r="O362" s="20" t="str">
        <x:v>Prototype retrieval heuristic; association is not proof of causality.</x:v>
      </x:c>
      <x:c r="P362" s="20" t="str">
        <x:v>YES</x:v>
      </x:c>
    </x:row>
    <x:row r="363">
      <x:c r="A363" s="20" t="str">
        <x:v>FND-002</x:v>
      </x:c>
      <x:c r="B363" s="20" t="str">
        <x:v>Fondos recaudados — ¿Cuánto vale una sonrisa? México</x:v>
      </x:c>
      <x:c r="C363" s="20" t="n">
        <x:v>2</x:v>
      </x:c>
      <x:c r="D363" s="20" t="str">
        <x:v>FND-003</x:v>
      </x:c>
      <x:c r="E363" s="20" t="str">
        <x:v>Fondos recaudados — ¿Cuánto vale una sonrisa? USA</x:v>
      </x:c>
      <x:c r="F363" s="20" t="str">
        <x:v>Same strategic objective; Same department; Same BSC perspective</x:v>
      </x:c>
      <x:c r="G363" s="20" t="n">
        <x:v>87</x:v>
      </x:c>
      <x:c r="H363" s="20" t="str">
        <x:v>Procuración de Fondos</x:v>
      </x:c>
      <x:c r="I363" s="20" t="str">
        <x:v>Sostenibilidad financiera</x:v>
      </x:c>
      <x:c r="J363" s="20" t="str">
        <x:v>F1. Diversificar y aumentar fuentes</x:v>
      </x:c>
      <x:c r="K363" s="20" t="n">
        <x:v>100</x:v>
      </x:c>
      <x:c r="L363" s="20" t="n">
        <x:v>29989</x:v>
      </x:c>
      <x:c r="M363" s="52" t="n">
        <x:v>-0.9966654439961319</x:v>
      </x:c>
      <x:c r="N363" s="20" t="str">
        <x:v>Deteriorating</x:v>
      </x:c>
      <x:c r="O363" s="20" t="str">
        <x:v>Prototype retrieval heuristic; association is not proof of causality.</x:v>
      </x:c>
      <x:c r="P363" s="20" t="str">
        <x:v>YES</x:v>
      </x:c>
    </x:row>
    <x:row r="364">
      <x:c r="A364" s="20" t="str">
        <x:v>FND-002</x:v>
      </x:c>
      <x:c r="B364" s="20" t="str">
        <x:v>Fondos recaudados — ¿Cuánto vale una sonrisa? México</x:v>
      </x:c>
      <x:c r="C364" s="20" t="n">
        <x:v>3</x:v>
      </x:c>
      <x:c r="D364" s="20" t="str">
        <x:v>FND-004</x:v>
      </x:c>
      <x:c r="E364" s="20" t="str">
        <x:v>Fondos recaudados — ¿Cuánto vale una sonrisa? Perú</x:v>
      </x:c>
      <x:c r="F364" s="20" t="str">
        <x:v>Same strategic objective; Same department; Same BSC perspective</x:v>
      </x:c>
      <x:c r="G364" s="20" t="n">
        <x:v>87</x:v>
      </x:c>
      <x:c r="H364" s="20" t="str">
        <x:v>Procuración de Fondos</x:v>
      </x:c>
      <x:c r="I364" s="20" t="str">
        <x:v>Sostenibilidad financiera</x:v>
      </x:c>
      <x:c r="J364" s="20" t="str">
        <x:v>F1. Diversificar y aumentar fuentes</x:v>
      </x:c>
      <x:c r="K364" s="20" t="n">
        <x:v>100</x:v>
      </x:c>
      <x:c r="L364" s="20" t="n">
        <x:v>2989</x:v>
      </x:c>
      <x:c r="M364" s="52" t="n">
        <x:v>-0.9665439946470391</x:v>
      </x:c>
      <x:c r="N364" s="20" t="str">
        <x:v>Deteriorating</x:v>
      </x:c>
      <x:c r="O364" s="20" t="str">
        <x:v>Prototype retrieval heuristic; association is not proof of causality.</x:v>
      </x:c>
      <x:c r="P364" s="20" t="str">
        <x:v>YES</x:v>
      </x:c>
    </x:row>
    <x:row r="365">
      <x:c r="A365" s="20" t="str">
        <x:v>FND-002</x:v>
      </x:c>
      <x:c r="B365" s="20" t="str">
        <x:v>Fondos recaudados — ¿Cuánto vale una sonrisa? México</x:v>
      </x:c>
      <x:c r="C365" s="20" t="n">
        <x:v>4</x:v>
      </x:c>
      <x:c r="D365" s="20" t="str">
        <x:v>REC-P07</x:v>
      </x:c>
      <x:c r="E365" s="20" t="str">
        <x:v>Conversión de alianzas estratégicas a recursos o capacidad programática</x:v>
      </x:c>
      <x:c r="F365" s="20" t="str">
        <x:v>Strategic-map adjacent objective; Same department</x:v>
      </x:c>
      <x:c r="G365" s="20" t="n">
        <x:v>67</x:v>
      </x:c>
      <x:c r="H365" s="20" t="str">
        <x:v>Procuración de Fondos</x:v>
      </x:c>
      <x:c r="I365" s="20" t="str">
        <x:v>Procesos internos</x:v>
      </x:c>
      <x:c r="J365" s="20" t="str">
        <x:v>P6. Construir ecosistema de alianzas</x:v>
      </x:c>
      <x:c r="K365" s="20" t="n">
        <x:v>72</x:v>
      </x:c>
      <x:c r="L365" s="20" t="n">
        <x:v>61.16347381864623</x:v>
      </x:c>
      <x:c r="M365" s="52" t="n">
        <x:v>0.17717316406005307</x:v>
      </x:c>
      <x:c r="N365" s="20" t="str">
        <x:v>Strong improvement</x:v>
      </x:c>
      <x:c r="O365" s="20" t="str">
        <x:v>Prototype retrieval heuristic; association is not proof of causality.</x:v>
      </x:c>
      <x:c r="P365" s="20" t="str">
        <x:v>YES</x:v>
      </x:c>
    </x:row>
    <x:row r="366">
      <x:c r="A366" s="20" t="str">
        <x:v>FND-002</x:v>
      </x:c>
      <x:c r="B366" s="20" t="str">
        <x:v>Fondos recaudados — ¿Cuánto vale una sonrisa? México</x:v>
      </x:c>
      <x:c r="C366" s="20" t="n">
        <x:v>5</x:v>
      </x:c>
      <x:c r="D366" s="20" t="str">
        <x:v>FND-016</x:v>
      </x:c>
      <x:c r="E366" s="20" t="str">
        <x:v>Nuevas alianzas estratégicas activas por país</x:v>
      </x:c>
      <x:c r="F366" s="20" t="str">
        <x:v>Strategic-map adjacent objective; Same department</x:v>
      </x:c>
      <x:c r="G366" s="20" t="n">
        <x:v>65</x:v>
      </x:c>
      <x:c r="H366" s="20" t="str">
        <x:v>Procuración de Fondos</x:v>
      </x:c>
      <x:c r="I366" s="20" t="str">
        <x:v>Procesos internos</x:v>
      </x:c>
      <x:c r="J366" s="20" t="str">
        <x:v>P6. Construir ecosistema de alianzas</x:v>
      </x:c>
      <x:c r="K366" s="20" t="n">
        <x:v>4</x:v>
      </x:c>
      <x:c r="L366" s="20" t="n">
        <x:v>2.6666666666666665</x:v>
      </x:c>
      <x:c r="M366" s="52" t="n">
        <x:v>0.5000000000000001</x:v>
      </x:c>
      <x:c r="N366" s="20" t="str">
        <x:v>Strong improvement</x:v>
      </x:c>
      <x:c r="O366" s="20" t="str">
        <x:v>Prototype retrieval heuristic; association is not proof of causality.</x:v>
      </x:c>
      <x:c r="P366" s="20" t="str">
        <x:v>YES</x:v>
      </x:c>
    </x:row>
    <x:row r="367">
      <x:c r="A367" s="20" t="str">
        <x:v>FND-002</x:v>
      </x:c>
      <x:c r="B367" s="20" t="str">
        <x:v>Fondos recaudados — ¿Cuánto vale una sonrisa? México</x:v>
      </x:c>
      <x:c r="C367" s="20" t="n">
        <x:v>6</x:v>
      </x:c>
      <x:c r="D367" s="20" t="str">
        <x:v>FND-005</x:v>
      </x:c>
      <x:c r="E367" s="20" t="str">
        <x:v>Sell-through de artículos Mes de Fundación</x:v>
      </x:c>
      <x:c r="F367" s="20" t="str">
        <x:v>Same strategic objective; Same department; Same BSC perspective</x:v>
      </x:c>
      <x:c r="G367" s="20" t="n">
        <x:v>87</x:v>
      </x:c>
      <x:c r="H367" s="20" t="str">
        <x:v>Procuración de Fondos</x:v>
      </x:c>
      <x:c r="I367" s="20" t="str">
        <x:v>Sostenibilidad financiera</x:v>
      </x:c>
      <x:c r="J367" s="20" t="str">
        <x:v>F1. Diversificar y aumentar fuentes</x:v>
      </x:c>
      <x:c r="K367" s="20" t="n">
        <x:v>100</x:v>
      </x:c>
      <x:c r="L367" s="20" t="n">
        <x:v>88.9514687100894</x:v>
      </x:c>
      <x:c r="M367" s="52" t="n">
        <x:v>0.12420853135005526</x:v>
      </x:c>
      <x:c r="N367" s="20" t="str">
        <x:v>Strong improvement</x:v>
      </x:c>
      <x:c r="O367" s="20" t="str">
        <x:v>Prototype retrieval heuristic; association is not proof of causality.</x:v>
      </x:c>
      <x:c r="P367" s="20" t="str">
        <x:v>YES</x:v>
      </x:c>
    </x:row>
    <x:row r="368">
      <x:c r="A368" s="20" t="str">
        <x:v>FND-002</x:v>
      </x:c>
      <x:c r="B368" s="20" t="str">
        <x:v>Fondos recaudados — ¿Cuánto vale una sonrisa? México</x:v>
      </x:c>
      <x:c r="C368" s="20" t="n">
        <x:v>7</x:v>
      </x:c>
      <x:c r="D368" s="20" t="str">
        <x:v>FND-017</x:v>
      </x:c>
      <x:c r="E368" s="20" t="str">
        <x:v>Fondos recaudados — Subasta Omnilife</x:v>
      </x:c>
      <x:c r="F368" s="20" t="str">
        <x:v>Same strategic objective; Same department; Same BSC perspective</x:v>
      </x:c>
      <x:c r="G368" s="20" t="n">
        <x:v>87</x:v>
      </x:c>
      <x:c r="H368" s="20" t="str">
        <x:v>Procuración de Fondos</x:v>
      </x:c>
      <x:c r="I368" s="20" t="str">
        <x:v>Sostenibilidad financiera</x:v>
      </x:c>
      <x:c r="J368" s="20" t="str">
        <x:v>F1. Diversificar y aumentar fuentes</x:v>
      </x:c>
      <x:c r="K368" s="20" t="n">
        <x:v>100</x:v>
      </x:c>
      <x:c r="L368" s="20" t="n">
        <x:v>1599989</x:v>
      </x:c>
      <x:c r="M368" s="52" t="n">
        <x:v>-0.9999374995703095</x:v>
      </x:c>
      <x:c r="N368" s="20" t="str">
        <x:v>Deteriorating</x:v>
      </x:c>
      <x:c r="O368" s="20" t="str">
        <x:v>Prototype retrieval heuristic; association is not proof of causality.</x:v>
      </x:c>
      <x:c r="P368" s="20" t="str">
        <x:v>YES</x:v>
      </x:c>
    </x:row>
    <x:row r="369">
      <x:c r="A369" s="20" t="str">
        <x:v>FND-002</x:v>
      </x:c>
      <x:c r="B369" s="20" t="str">
        <x:v>Fondos recaudados — ¿Cuánto vale una sonrisa? México</x:v>
      </x:c>
      <x:c r="C369" s="20" t="n">
        <x:v>8</x:v>
      </x:c>
      <x:c r="D369" s="20" t="str">
        <x:v>REC-F01</x:v>
      </x:c>
      <x:c r="E369" s="20" t="str">
        <x:v>Cumplimiento de meta total de procuración</x:v>
      </x:c>
      <x:c r="F369" s="20" t="str">
        <x:v>Same strategic objective; Same department; Same BSC perspective</x:v>
      </x:c>
      <x:c r="G369" s="20" t="n">
        <x:v>87</x:v>
      </x:c>
      <x:c r="H369" s="20" t="str">
        <x:v>Procuración de Fondos</x:v>
      </x:c>
      <x:c r="I369" s="20" t="str">
        <x:v>Sostenibilidad financiera</x:v>
      </x:c>
      <x:c r="J369" s="20" t="str">
        <x:v>F1. Diversificar y aumentar fuentes</x:v>
      </x:c>
      <x:c r="K369" s="20" t="n">
        <x:v>100</x:v>
      </x:c>
      <x:c r="L369" s="20" t="n">
        <x:v>88.9514687100894</x:v>
      </x:c>
      <x:c r="M369" s="52" t="n">
        <x:v>0.12420853135005526</x:v>
      </x:c>
      <x:c r="N369" s="20" t="str">
        <x:v>Strong improvement</x:v>
      </x:c>
      <x:c r="O369" s="20" t="str">
        <x:v>Prototype retrieval heuristic; association is not proof of causality.</x:v>
      </x:c>
      <x:c r="P369" s="20" t="str">
        <x:v>YES</x:v>
      </x:c>
    </x:row>
    <x:row r="370">
      <x:c r="A370" s="20" t="str">
        <x:v>FND-003</x:v>
      </x:c>
      <x:c r="B370" s="20" t="str">
        <x:v>Fondos recaudados — ¿Cuánto vale una sonrisa? USA</x:v>
      </x:c>
      <x:c r="C370" s="20" t="n">
        <x:v>1</x:v>
      </x:c>
      <x:c r="D370" s="20" t="str">
        <x:v>FND-001</x:v>
      </x:c>
      <x:c r="E370" s="20" t="str">
        <x:v>Fondos recaudados — Tu Donativo x2 (Chivas)</x:v>
      </x:c>
      <x:c r="F370" s="20" t="str">
        <x:v>Same strategic objective; Same department; Same BSC perspective</x:v>
      </x:c>
      <x:c r="G370" s="20" t="n">
        <x:v>87</x:v>
      </x:c>
      <x:c r="H370" s="20" t="str">
        <x:v>Procuración de Fondos</x:v>
      </x:c>
      <x:c r="I370" s="20" t="str">
        <x:v>Sostenibilidad financiera</x:v>
      </x:c>
      <x:c r="J370" s="20" t="str">
        <x:v>F1. Diversificar y aumentar fuentes</x:v>
      </x:c>
      <x:c r="K370" s="20" t="n">
        <x:v>40800</x:v>
      </x:c>
      <x:c r="L370" s="20" t="n">
        <x:v>31333.333333333332</x:v>
      </x:c>
      <x:c r="M370" s="52" t="n">
        <x:v>0.30212765957446813</x:v>
      </x:c>
      <x:c r="N370" s="20" t="str">
        <x:v>Strong improvement</x:v>
      </x:c>
      <x:c r="O370" s="20" t="str">
        <x:v>Prototype retrieval heuristic; association is not proof of causality.</x:v>
      </x:c>
      <x:c r="P370" s="20" t="str">
        <x:v>YES</x:v>
      </x:c>
    </x:row>
    <x:row r="371">
      <x:c r="A371" s="20" t="str">
        <x:v>FND-003</x:v>
      </x:c>
      <x:c r="B371" s="20" t="str">
        <x:v>Fondos recaudados — ¿Cuánto vale una sonrisa? USA</x:v>
      </x:c>
      <x:c r="C371" s="20" t="n">
        <x:v>2</x:v>
      </x:c>
      <x:c r="D371" s="20" t="str">
        <x:v>FND-002</x:v>
      </x:c>
      <x:c r="E371" s="20" t="str">
        <x:v>Fondos recaudados — ¿Cuánto vale una sonrisa? México</x:v>
      </x:c>
      <x:c r="F371" s="20" t="str">
        <x:v>Same strategic objective; Same department; Same BSC perspective</x:v>
      </x:c>
      <x:c r="G371" s="20" t="n">
        <x:v>87</x:v>
      </x:c>
      <x:c r="H371" s="20" t="str">
        <x:v>Procuración de Fondos</x:v>
      </x:c>
      <x:c r="I371" s="20" t="str">
        <x:v>Sostenibilidad financiera</x:v>
      </x:c>
      <x:c r="J371" s="20" t="str">
        <x:v>F1. Diversificar y aumentar fuentes</x:v>
      </x:c>
      <x:c r="K371" s="20" t="n">
        <x:v>100</x:v>
      </x:c>
      <x:c r="L371" s="20" t="n">
        <x:v>359989</x:v>
      </x:c>
      <x:c r="M371" s="52" t="n">
        <x:v>-0.9997222137343086</x:v>
      </x:c>
      <x:c r="N371" s="20" t="str">
        <x:v>Deteriorating</x:v>
      </x:c>
      <x:c r="O371" s="20" t="str">
        <x:v>Prototype retrieval heuristic; association is not proof of causality.</x:v>
      </x:c>
      <x:c r="P371" s="20" t="str">
        <x:v>YES</x:v>
      </x:c>
    </x:row>
    <x:row r="372">
      <x:c r="A372" s="20" t="str">
        <x:v>FND-003</x:v>
      </x:c>
      <x:c r="B372" s="20" t="str">
        <x:v>Fondos recaudados — ¿Cuánto vale una sonrisa? USA</x:v>
      </x:c>
      <x:c r="C372" s="20" t="n">
        <x:v>3</x:v>
      </x:c>
      <x:c r="D372" s="20" t="str">
        <x:v>FND-004</x:v>
      </x:c>
      <x:c r="E372" s="20" t="str">
        <x:v>Fondos recaudados — ¿Cuánto vale una sonrisa? Perú</x:v>
      </x:c>
      <x:c r="F372" s="20" t="str">
        <x:v>Same strategic objective; Same department; Same BSC perspective</x:v>
      </x:c>
      <x:c r="G372" s="20" t="n">
        <x:v>87</x:v>
      </x:c>
      <x:c r="H372" s="20" t="str">
        <x:v>Procuración de Fondos</x:v>
      </x:c>
      <x:c r="I372" s="20" t="str">
        <x:v>Sostenibilidad financiera</x:v>
      </x:c>
      <x:c r="J372" s="20" t="str">
        <x:v>F1. Diversificar y aumentar fuentes</x:v>
      </x:c>
      <x:c r="K372" s="20" t="n">
        <x:v>100</x:v>
      </x:c>
      <x:c r="L372" s="20" t="n">
        <x:v>2989</x:v>
      </x:c>
      <x:c r="M372" s="52" t="n">
        <x:v>-0.9665439946470391</x:v>
      </x:c>
      <x:c r="N372" s="20" t="str">
        <x:v>Deteriorating</x:v>
      </x:c>
      <x:c r="O372" s="20" t="str">
        <x:v>Prototype retrieval heuristic; association is not proof of causality.</x:v>
      </x:c>
      <x:c r="P372" s="20" t="str">
        <x:v>YES</x:v>
      </x:c>
    </x:row>
    <x:row r="373">
      <x:c r="A373" s="20" t="str">
        <x:v>FND-003</x:v>
      </x:c>
      <x:c r="B373" s="20" t="str">
        <x:v>Fondos recaudados — ¿Cuánto vale una sonrisa? USA</x:v>
      </x:c>
      <x:c r="C373" s="20" t="n">
        <x:v>4</x:v>
      </x:c>
      <x:c r="D373" s="20" t="str">
        <x:v>REC-P07</x:v>
      </x:c>
      <x:c r="E373" s="20" t="str">
        <x:v>Conversión de alianzas estratégicas a recursos o capacidad programática</x:v>
      </x:c>
      <x:c r="F373" s="20" t="str">
        <x:v>Strategic-map adjacent objective; Same department</x:v>
      </x:c>
      <x:c r="G373" s="20" t="n">
        <x:v>67</x:v>
      </x:c>
      <x:c r="H373" s="20" t="str">
        <x:v>Procuración de Fondos</x:v>
      </x:c>
      <x:c r="I373" s="20" t="str">
        <x:v>Procesos internos</x:v>
      </x:c>
      <x:c r="J373" s="20" t="str">
        <x:v>P6. Construir ecosistema de alianzas</x:v>
      </x:c>
      <x:c r="K373" s="20" t="n">
        <x:v>72</x:v>
      </x:c>
      <x:c r="L373" s="20" t="n">
        <x:v>61.16347381864623</x:v>
      </x:c>
      <x:c r="M373" s="52" t="n">
        <x:v>0.17717316406005307</x:v>
      </x:c>
      <x:c r="N373" s="20" t="str">
        <x:v>Strong improvement</x:v>
      </x:c>
      <x:c r="O373" s="20" t="str">
        <x:v>Prototype retrieval heuristic; association is not proof of causality.</x:v>
      </x:c>
      <x:c r="P373" s="20" t="str">
        <x:v>YES</x:v>
      </x:c>
    </x:row>
    <x:row r="374">
      <x:c r="A374" s="20" t="str">
        <x:v>FND-003</x:v>
      </x:c>
      <x:c r="B374" s="20" t="str">
        <x:v>Fondos recaudados — ¿Cuánto vale una sonrisa? USA</x:v>
      </x:c>
      <x:c r="C374" s="20" t="n">
        <x:v>5</x:v>
      </x:c>
      <x:c r="D374" s="20" t="str">
        <x:v>FND-016</x:v>
      </x:c>
      <x:c r="E374" s="20" t="str">
        <x:v>Nuevas alianzas estratégicas activas por país</x:v>
      </x:c>
      <x:c r="F374" s="20" t="str">
        <x:v>Strategic-map adjacent objective; Same department</x:v>
      </x:c>
      <x:c r="G374" s="20" t="n">
        <x:v>65</x:v>
      </x:c>
      <x:c r="H374" s="20" t="str">
        <x:v>Procuración de Fondos</x:v>
      </x:c>
      <x:c r="I374" s="20" t="str">
        <x:v>Procesos internos</x:v>
      </x:c>
      <x:c r="J374" s="20" t="str">
        <x:v>P6. Construir ecosistema de alianzas</x:v>
      </x:c>
      <x:c r="K374" s="20" t="n">
        <x:v>4</x:v>
      </x:c>
      <x:c r="L374" s="20" t="n">
        <x:v>2.6666666666666665</x:v>
      </x:c>
      <x:c r="M374" s="52" t="n">
        <x:v>0.5000000000000001</x:v>
      </x:c>
      <x:c r="N374" s="20" t="str">
        <x:v>Strong improvement</x:v>
      </x:c>
      <x:c r="O374" s="20" t="str">
        <x:v>Prototype retrieval heuristic; association is not proof of causality.</x:v>
      </x:c>
      <x:c r="P374" s="20" t="str">
        <x:v>YES</x:v>
      </x:c>
    </x:row>
    <x:row r="375">
      <x:c r="A375" s="20" t="str">
        <x:v>FND-003</x:v>
      </x:c>
      <x:c r="B375" s="20" t="str">
        <x:v>Fondos recaudados — ¿Cuánto vale una sonrisa? USA</x:v>
      </x:c>
      <x:c r="C375" s="20" t="n">
        <x:v>6</x:v>
      </x:c>
      <x:c r="D375" s="20" t="str">
        <x:v>FND-005</x:v>
      </x:c>
      <x:c r="E375" s="20" t="str">
        <x:v>Sell-through de artículos Mes de Fundación</x:v>
      </x:c>
      <x:c r="F375" s="20" t="str">
        <x:v>Same strategic objective; Same department; Same BSC perspective</x:v>
      </x:c>
      <x:c r="G375" s="20" t="n">
        <x:v>87</x:v>
      </x:c>
      <x:c r="H375" s="20" t="str">
        <x:v>Procuración de Fondos</x:v>
      </x:c>
      <x:c r="I375" s="20" t="str">
        <x:v>Sostenibilidad financiera</x:v>
      </x:c>
      <x:c r="J375" s="20" t="str">
        <x:v>F1. Diversificar y aumentar fuentes</x:v>
      </x:c>
      <x:c r="K375" s="20" t="n">
        <x:v>100</x:v>
      </x:c>
      <x:c r="L375" s="20" t="n">
        <x:v>88.9514687100894</x:v>
      </x:c>
      <x:c r="M375" s="52" t="n">
        <x:v>0.12420853135005526</x:v>
      </x:c>
      <x:c r="N375" s="20" t="str">
        <x:v>Strong improvement</x:v>
      </x:c>
      <x:c r="O375" s="20" t="str">
        <x:v>Prototype retrieval heuristic; association is not proof of causality.</x:v>
      </x:c>
      <x:c r="P375" s="20" t="str">
        <x:v>YES</x:v>
      </x:c>
    </x:row>
    <x:row r="376">
      <x:c r="A376" s="20" t="str">
        <x:v>FND-003</x:v>
      </x:c>
      <x:c r="B376" s="20" t="str">
        <x:v>Fondos recaudados — ¿Cuánto vale una sonrisa? USA</x:v>
      </x:c>
      <x:c r="C376" s="20" t="n">
        <x:v>7</x:v>
      </x:c>
      <x:c r="D376" s="20" t="str">
        <x:v>FND-017</x:v>
      </x:c>
      <x:c r="E376" s="20" t="str">
        <x:v>Fondos recaudados — Subasta Omnilife</x:v>
      </x:c>
      <x:c r="F376" s="20" t="str">
        <x:v>Same strategic objective; Same department; Same BSC perspective</x:v>
      </x:c>
      <x:c r="G376" s="20" t="n">
        <x:v>87</x:v>
      </x:c>
      <x:c r="H376" s="20" t="str">
        <x:v>Procuración de Fondos</x:v>
      </x:c>
      <x:c r="I376" s="20" t="str">
        <x:v>Sostenibilidad financiera</x:v>
      </x:c>
      <x:c r="J376" s="20" t="str">
        <x:v>F1. Diversificar y aumentar fuentes</x:v>
      </x:c>
      <x:c r="K376" s="20" t="n">
        <x:v>100</x:v>
      </x:c>
      <x:c r="L376" s="20" t="n">
        <x:v>1599989</x:v>
      </x:c>
      <x:c r="M376" s="52" t="n">
        <x:v>-0.9999374995703095</x:v>
      </x:c>
      <x:c r="N376" s="20" t="str">
        <x:v>Deteriorating</x:v>
      </x:c>
      <x:c r="O376" s="20" t="str">
        <x:v>Prototype retrieval heuristic; association is not proof of causality.</x:v>
      </x:c>
      <x:c r="P376" s="20" t="str">
        <x:v>YES</x:v>
      </x:c>
    </x:row>
    <x:row r="377">
      <x:c r="A377" s="20" t="str">
        <x:v>FND-003</x:v>
      </x:c>
      <x:c r="B377" s="20" t="str">
        <x:v>Fondos recaudados — ¿Cuánto vale una sonrisa? USA</x:v>
      </x:c>
      <x:c r="C377" s="20" t="n">
        <x:v>8</x:v>
      </x:c>
      <x:c r="D377" s="20" t="str">
        <x:v>REC-F01</x:v>
      </x:c>
      <x:c r="E377" s="20" t="str">
        <x:v>Cumplimiento de meta total de procuración</x:v>
      </x:c>
      <x:c r="F377" s="20" t="str">
        <x:v>Same strategic objective; Same department; Same BSC perspective</x:v>
      </x:c>
      <x:c r="G377" s="20" t="n">
        <x:v>87</x:v>
      </x:c>
      <x:c r="H377" s="20" t="str">
        <x:v>Procuración de Fondos</x:v>
      </x:c>
      <x:c r="I377" s="20" t="str">
        <x:v>Sostenibilidad financiera</x:v>
      </x:c>
      <x:c r="J377" s="20" t="str">
        <x:v>F1. Diversificar y aumentar fuentes</x:v>
      </x:c>
      <x:c r="K377" s="20" t="n">
        <x:v>100</x:v>
      </x:c>
      <x:c r="L377" s="20" t="n">
        <x:v>88.9514687100894</x:v>
      </x:c>
      <x:c r="M377" s="52" t="n">
        <x:v>0.12420853135005526</x:v>
      </x:c>
      <x:c r="N377" s="20" t="str">
        <x:v>Strong improvement</x:v>
      </x:c>
      <x:c r="O377" s="20" t="str">
        <x:v>Prototype retrieval heuristic; association is not proof of causality.</x:v>
      </x:c>
      <x:c r="P377" s="20" t="str">
        <x:v>YES</x:v>
      </x:c>
    </x:row>
    <x:row r="378">
      <x:c r="A378" s="20" t="str">
        <x:v>FND-004</x:v>
      </x:c>
      <x:c r="B378" s="20" t="str">
        <x:v>Fondos recaudados — ¿Cuánto vale una sonrisa? Perú</x:v>
      </x:c>
      <x:c r="C378" s="20" t="n">
        <x:v>1</x:v>
      </x:c>
      <x:c r="D378" s="20" t="str">
        <x:v>FND-001</x:v>
      </x:c>
      <x:c r="E378" s="20" t="str">
        <x:v>Fondos recaudados — Tu Donativo x2 (Chivas)</x:v>
      </x:c>
      <x:c r="F378" s="20" t="str">
        <x:v>Same strategic objective; Same department; Same BSC perspective</x:v>
      </x:c>
      <x:c r="G378" s="20" t="n">
        <x:v>87</x:v>
      </x:c>
      <x:c r="H378" s="20" t="str">
        <x:v>Procuración de Fondos</x:v>
      </x:c>
      <x:c r="I378" s="20" t="str">
        <x:v>Sostenibilidad financiera</x:v>
      </x:c>
      <x:c r="J378" s="20" t="str">
        <x:v>F1. Diversificar y aumentar fuentes</x:v>
      </x:c>
      <x:c r="K378" s="20" t="n">
        <x:v>40800</x:v>
      </x:c>
      <x:c r="L378" s="20" t="n">
        <x:v>31333.333333333332</x:v>
      </x:c>
      <x:c r="M378" s="52" t="n">
        <x:v>0.30212765957446813</x:v>
      </x:c>
      <x:c r="N378" s="20" t="str">
        <x:v>Strong improvement</x:v>
      </x:c>
      <x:c r="O378" s="20" t="str">
        <x:v>Prototype retrieval heuristic; association is not proof of causality.</x:v>
      </x:c>
      <x:c r="P378" s="20" t="str">
        <x:v>YES</x:v>
      </x:c>
    </x:row>
    <x:row r="379">
      <x:c r="A379" s="20" t="str">
        <x:v>FND-004</x:v>
      </x:c>
      <x:c r="B379" s="20" t="str">
        <x:v>Fondos recaudados — ¿Cuánto vale una sonrisa? Perú</x:v>
      </x:c>
      <x:c r="C379" s="20" t="n">
        <x:v>2</x:v>
      </x:c>
      <x:c r="D379" s="20" t="str">
        <x:v>FND-002</x:v>
      </x:c>
      <x:c r="E379" s="20" t="str">
        <x:v>Fondos recaudados — ¿Cuánto vale una sonrisa? México</x:v>
      </x:c>
      <x:c r="F379" s="20" t="str">
        <x:v>Same strategic objective; Same department; Same BSC perspective</x:v>
      </x:c>
      <x:c r="G379" s="20" t="n">
        <x:v>87</x:v>
      </x:c>
      <x:c r="H379" s="20" t="str">
        <x:v>Procuración de Fondos</x:v>
      </x:c>
      <x:c r="I379" s="20" t="str">
        <x:v>Sostenibilidad financiera</x:v>
      </x:c>
      <x:c r="J379" s="20" t="str">
        <x:v>F1. Diversificar y aumentar fuentes</x:v>
      </x:c>
      <x:c r="K379" s="20" t="n">
        <x:v>100</x:v>
      </x:c>
      <x:c r="L379" s="20" t="n">
        <x:v>359989</x:v>
      </x:c>
      <x:c r="M379" s="52" t="n">
        <x:v>-0.9997222137343086</x:v>
      </x:c>
      <x:c r="N379" s="20" t="str">
        <x:v>Deteriorating</x:v>
      </x:c>
      <x:c r="O379" s="20" t="str">
        <x:v>Prototype retrieval heuristic; association is not proof of causality.</x:v>
      </x:c>
      <x:c r="P379" s="20" t="str">
        <x:v>YES</x:v>
      </x:c>
    </x:row>
    <x:row r="380">
      <x:c r="A380" s="20" t="str">
        <x:v>FND-004</x:v>
      </x:c>
      <x:c r="B380" s="20" t="str">
        <x:v>Fondos recaudados — ¿Cuánto vale una sonrisa? Perú</x:v>
      </x:c>
      <x:c r="C380" s="20" t="n">
        <x:v>3</x:v>
      </x:c>
      <x:c r="D380" s="20" t="str">
        <x:v>FND-003</x:v>
      </x:c>
      <x:c r="E380" s="20" t="str">
        <x:v>Fondos recaudados — ¿Cuánto vale una sonrisa? USA</x:v>
      </x:c>
      <x:c r="F380" s="20" t="str">
        <x:v>Same strategic objective; Same department; Same BSC perspective</x:v>
      </x:c>
      <x:c r="G380" s="20" t="n">
        <x:v>87</x:v>
      </x:c>
      <x:c r="H380" s="20" t="str">
        <x:v>Procuración de Fondos</x:v>
      </x:c>
      <x:c r="I380" s="20" t="str">
        <x:v>Sostenibilidad financiera</x:v>
      </x:c>
      <x:c r="J380" s="20" t="str">
        <x:v>F1. Diversificar y aumentar fuentes</x:v>
      </x:c>
      <x:c r="K380" s="20" t="n">
        <x:v>100</x:v>
      </x:c>
      <x:c r="L380" s="20" t="n">
        <x:v>29989</x:v>
      </x:c>
      <x:c r="M380" s="52" t="n">
        <x:v>-0.9966654439961319</x:v>
      </x:c>
      <x:c r="N380" s="20" t="str">
        <x:v>Deteriorating</x:v>
      </x:c>
      <x:c r="O380" s="20" t="str">
        <x:v>Prototype retrieval heuristic; association is not proof of causality.</x:v>
      </x:c>
      <x:c r="P380" s="20" t="str">
        <x:v>YES</x:v>
      </x:c>
    </x:row>
    <x:row r="381">
      <x:c r="A381" s="20" t="str">
        <x:v>FND-004</x:v>
      </x:c>
      <x:c r="B381" s="20" t="str">
        <x:v>Fondos recaudados — ¿Cuánto vale una sonrisa? Perú</x:v>
      </x:c>
      <x:c r="C381" s="20" t="n">
        <x:v>4</x:v>
      </x:c>
      <x:c r="D381" s="20" t="str">
        <x:v>REC-P07</x:v>
      </x:c>
      <x:c r="E381" s="20" t="str">
        <x:v>Conversión de alianzas estratégicas a recursos o capacidad programática</x:v>
      </x:c>
      <x:c r="F381" s="20" t="str">
        <x:v>Strategic-map adjacent objective; Same department</x:v>
      </x:c>
      <x:c r="G381" s="20" t="n">
        <x:v>67</x:v>
      </x:c>
      <x:c r="H381" s="20" t="str">
        <x:v>Procuración de Fondos</x:v>
      </x:c>
      <x:c r="I381" s="20" t="str">
        <x:v>Procesos internos</x:v>
      </x:c>
      <x:c r="J381" s="20" t="str">
        <x:v>P6. Construir ecosistema de alianzas</x:v>
      </x:c>
      <x:c r="K381" s="20" t="n">
        <x:v>72</x:v>
      </x:c>
      <x:c r="L381" s="20" t="n">
        <x:v>61.16347381864623</x:v>
      </x:c>
      <x:c r="M381" s="52" t="n">
        <x:v>0.17717316406005307</x:v>
      </x:c>
      <x:c r="N381" s="20" t="str">
        <x:v>Strong improvement</x:v>
      </x:c>
      <x:c r="O381" s="20" t="str">
        <x:v>Prototype retrieval heuristic; association is not proof of causality.</x:v>
      </x:c>
      <x:c r="P381" s="20" t="str">
        <x:v>YES</x:v>
      </x:c>
    </x:row>
    <x:row r="382">
      <x:c r="A382" s="20" t="str">
        <x:v>FND-004</x:v>
      </x:c>
      <x:c r="B382" s="20" t="str">
        <x:v>Fondos recaudados — ¿Cuánto vale una sonrisa? Perú</x:v>
      </x:c>
      <x:c r="C382" s="20" t="n">
        <x:v>5</x:v>
      </x:c>
      <x:c r="D382" s="20" t="str">
        <x:v>FND-016</x:v>
      </x:c>
      <x:c r="E382" s="20" t="str">
        <x:v>Nuevas alianzas estratégicas activas por país</x:v>
      </x:c>
      <x:c r="F382" s="20" t="str">
        <x:v>Strategic-map adjacent objective; Same department</x:v>
      </x:c>
      <x:c r="G382" s="20" t="n">
        <x:v>65</x:v>
      </x:c>
      <x:c r="H382" s="20" t="str">
        <x:v>Procuración de Fondos</x:v>
      </x:c>
      <x:c r="I382" s="20" t="str">
        <x:v>Procesos internos</x:v>
      </x:c>
      <x:c r="J382" s="20" t="str">
        <x:v>P6. Construir ecosistema de alianzas</x:v>
      </x:c>
      <x:c r="K382" s="20" t="n">
        <x:v>4</x:v>
      </x:c>
      <x:c r="L382" s="20" t="n">
        <x:v>2.6666666666666665</x:v>
      </x:c>
      <x:c r="M382" s="52" t="n">
        <x:v>0.5000000000000001</x:v>
      </x:c>
      <x:c r="N382" s="20" t="str">
        <x:v>Strong improvement</x:v>
      </x:c>
      <x:c r="O382" s="20" t="str">
        <x:v>Prototype retrieval heuristic; association is not proof of causality.</x:v>
      </x:c>
      <x:c r="P382" s="20" t="str">
        <x:v>YES</x:v>
      </x:c>
    </x:row>
    <x:row r="383">
      <x:c r="A383" s="20" t="str">
        <x:v>FND-004</x:v>
      </x:c>
      <x:c r="B383" s="20" t="str">
        <x:v>Fondos recaudados — ¿Cuánto vale una sonrisa? Perú</x:v>
      </x:c>
      <x:c r="C383" s="20" t="n">
        <x:v>6</x:v>
      </x:c>
      <x:c r="D383" s="20" t="str">
        <x:v>FND-005</x:v>
      </x:c>
      <x:c r="E383" s="20" t="str">
        <x:v>Sell-through de artículos Mes de Fundación</x:v>
      </x:c>
      <x:c r="F383" s="20" t="str">
        <x:v>Same strategic objective; Same department; Same BSC perspective</x:v>
      </x:c>
      <x:c r="G383" s="20" t="n">
        <x:v>87</x:v>
      </x:c>
      <x:c r="H383" s="20" t="str">
        <x:v>Procuración de Fondos</x:v>
      </x:c>
      <x:c r="I383" s="20" t="str">
        <x:v>Sostenibilidad financiera</x:v>
      </x:c>
      <x:c r="J383" s="20" t="str">
        <x:v>F1. Diversificar y aumentar fuentes</x:v>
      </x:c>
      <x:c r="K383" s="20" t="n">
        <x:v>100</x:v>
      </x:c>
      <x:c r="L383" s="20" t="n">
        <x:v>88.9514687100894</x:v>
      </x:c>
      <x:c r="M383" s="52" t="n">
        <x:v>0.12420853135005526</x:v>
      </x:c>
      <x:c r="N383" s="20" t="str">
        <x:v>Strong improvement</x:v>
      </x:c>
      <x:c r="O383" s="20" t="str">
        <x:v>Prototype retrieval heuristic; association is not proof of causality.</x:v>
      </x:c>
      <x:c r="P383" s="20" t="str">
        <x:v>YES</x:v>
      </x:c>
    </x:row>
    <x:row r="384">
      <x:c r="A384" s="20" t="str">
        <x:v>FND-004</x:v>
      </x:c>
      <x:c r="B384" s="20" t="str">
        <x:v>Fondos recaudados — ¿Cuánto vale una sonrisa? Perú</x:v>
      </x:c>
      <x:c r="C384" s="20" t="n">
        <x:v>7</x:v>
      </x:c>
      <x:c r="D384" s="20" t="str">
        <x:v>FND-017</x:v>
      </x:c>
      <x:c r="E384" s="20" t="str">
        <x:v>Fondos recaudados — Subasta Omnilife</x:v>
      </x:c>
      <x:c r="F384" s="20" t="str">
        <x:v>Same strategic objective; Same department; Same BSC perspective</x:v>
      </x:c>
      <x:c r="G384" s="20" t="n">
        <x:v>87</x:v>
      </x:c>
      <x:c r="H384" s="20" t="str">
        <x:v>Procuración de Fondos</x:v>
      </x:c>
      <x:c r="I384" s="20" t="str">
        <x:v>Sostenibilidad financiera</x:v>
      </x:c>
      <x:c r="J384" s="20" t="str">
        <x:v>F1. Diversificar y aumentar fuentes</x:v>
      </x:c>
      <x:c r="K384" s="20" t="n">
        <x:v>100</x:v>
      </x:c>
      <x:c r="L384" s="20" t="n">
        <x:v>1599989</x:v>
      </x:c>
      <x:c r="M384" s="52" t="n">
        <x:v>-0.9999374995703095</x:v>
      </x:c>
      <x:c r="N384" s="20" t="str">
        <x:v>Deteriorating</x:v>
      </x:c>
      <x:c r="O384" s="20" t="str">
        <x:v>Prototype retrieval heuristic; association is not proof of causality.</x:v>
      </x:c>
      <x:c r="P384" s="20" t="str">
        <x:v>YES</x:v>
      </x:c>
    </x:row>
    <x:row r="385">
      <x:c r="A385" s="20" t="str">
        <x:v>FND-004</x:v>
      </x:c>
      <x:c r="B385" s="20" t="str">
        <x:v>Fondos recaudados — ¿Cuánto vale una sonrisa? Perú</x:v>
      </x:c>
      <x:c r="C385" s="20" t="n">
        <x:v>8</x:v>
      </x:c>
      <x:c r="D385" s="20" t="str">
        <x:v>REC-F01</x:v>
      </x:c>
      <x:c r="E385" s="20" t="str">
        <x:v>Cumplimiento de meta total de procuración</x:v>
      </x:c>
      <x:c r="F385" s="20" t="str">
        <x:v>Same strategic objective; Same department; Same BSC perspective</x:v>
      </x:c>
      <x:c r="G385" s="20" t="n">
        <x:v>87</x:v>
      </x:c>
      <x:c r="H385" s="20" t="str">
        <x:v>Procuración de Fondos</x:v>
      </x:c>
      <x:c r="I385" s="20" t="str">
        <x:v>Sostenibilidad financiera</x:v>
      </x:c>
      <x:c r="J385" s="20" t="str">
        <x:v>F1. Diversificar y aumentar fuentes</x:v>
      </x:c>
      <x:c r="K385" s="20" t="n">
        <x:v>100</x:v>
      </x:c>
      <x:c r="L385" s="20" t="n">
        <x:v>88.9514687100894</x:v>
      </x:c>
      <x:c r="M385" s="52" t="n">
        <x:v>0.12420853135005526</x:v>
      </x:c>
      <x:c r="N385" s="20" t="str">
        <x:v>Strong improvement</x:v>
      </x:c>
      <x:c r="O385" s="20" t="str">
        <x:v>Prototype retrieval heuristic; association is not proof of causality.</x:v>
      </x:c>
      <x:c r="P385" s="20" t="str">
        <x:v>YES</x:v>
      </x:c>
    </x:row>
    <x:row r="386">
      <x:c r="A386" s="20" t="str">
        <x:v>FND-005</x:v>
      </x:c>
      <x:c r="B386" s="20" t="str">
        <x:v>Sell-through de artículos Mes de Fundación</x:v>
      </x:c>
      <x:c r="C386" s="20" t="n">
        <x:v>1</x:v>
      </x:c>
      <x:c r="D386" s="20" t="str">
        <x:v>FND-001</x:v>
      </x:c>
      <x:c r="E386" s="20" t="str">
        <x:v>Fondos recaudados — Tu Donativo x2 (Chivas)</x:v>
      </x:c>
      <x:c r="F386" s="20" t="str">
        <x:v>Same strategic objective; Same department; Same BSC perspective</x:v>
      </x:c>
      <x:c r="G386" s="20" t="n">
        <x:v>87</x:v>
      </x:c>
      <x:c r="H386" s="20" t="str">
        <x:v>Procuración de Fondos</x:v>
      </x:c>
      <x:c r="I386" s="20" t="str">
        <x:v>Sostenibilidad financiera</x:v>
      </x:c>
      <x:c r="J386" s="20" t="str">
        <x:v>F1. Diversificar y aumentar fuentes</x:v>
      </x:c>
      <x:c r="K386" s="20" t="n">
        <x:v>40800</x:v>
      </x:c>
      <x:c r="L386" s="20" t="n">
        <x:v>31333.333333333332</x:v>
      </x:c>
      <x:c r="M386" s="52" t="n">
        <x:v>0.30212765957446813</x:v>
      </x:c>
      <x:c r="N386" s="20" t="str">
        <x:v>Strong improvement</x:v>
      </x:c>
      <x:c r="O386" s="20" t="str">
        <x:v>Prototype retrieval heuristic; association is not proof of causality.</x:v>
      </x:c>
      <x:c r="P386" s="20" t="str">
        <x:v>YES</x:v>
      </x:c>
    </x:row>
    <x:row r="387">
      <x:c r="A387" s="20" t="str">
        <x:v>FND-005</x:v>
      </x:c>
      <x:c r="B387" s="20" t="str">
        <x:v>Sell-through de artículos Mes de Fundación</x:v>
      </x:c>
      <x:c r="C387" s="20" t="n">
        <x:v>2</x:v>
      </x:c>
      <x:c r="D387" s="20" t="str">
        <x:v>FND-002</x:v>
      </x:c>
      <x:c r="E387" s="20" t="str">
        <x:v>Fondos recaudados — ¿Cuánto vale una sonrisa? México</x:v>
      </x:c>
      <x:c r="F387" s="20" t="str">
        <x:v>Same strategic objective; Same department; Same BSC perspective</x:v>
      </x:c>
      <x:c r="G387" s="20" t="n">
        <x:v>87</x:v>
      </x:c>
      <x:c r="H387" s="20" t="str">
        <x:v>Procuración de Fondos</x:v>
      </x:c>
      <x:c r="I387" s="20" t="str">
        <x:v>Sostenibilidad financiera</x:v>
      </x:c>
      <x:c r="J387" s="20" t="str">
        <x:v>F1. Diversificar y aumentar fuentes</x:v>
      </x:c>
      <x:c r="K387" s="20" t="n">
        <x:v>100</x:v>
      </x:c>
      <x:c r="L387" s="20" t="n">
        <x:v>359989</x:v>
      </x:c>
      <x:c r="M387" s="52" t="n">
        <x:v>-0.9997222137343086</x:v>
      </x:c>
      <x:c r="N387" s="20" t="str">
        <x:v>Deteriorating</x:v>
      </x:c>
      <x:c r="O387" s="20" t="str">
        <x:v>Prototype retrieval heuristic; association is not proof of causality.</x:v>
      </x:c>
      <x:c r="P387" s="20" t="str">
        <x:v>YES</x:v>
      </x:c>
    </x:row>
    <x:row r="388">
      <x:c r="A388" s="20" t="str">
        <x:v>FND-005</x:v>
      </x:c>
      <x:c r="B388" s="20" t="str">
        <x:v>Sell-through de artículos Mes de Fundación</x:v>
      </x:c>
      <x:c r="C388" s="20" t="n">
        <x:v>3</x:v>
      </x:c>
      <x:c r="D388" s="20" t="str">
        <x:v>FND-003</x:v>
      </x:c>
      <x:c r="E388" s="20" t="str">
        <x:v>Fondos recaudados — ¿Cuánto vale una sonrisa? USA</x:v>
      </x:c>
      <x:c r="F388" s="20" t="str">
        <x:v>Same strategic objective; Same department; Same BSC perspective</x:v>
      </x:c>
      <x:c r="G388" s="20" t="n">
        <x:v>87</x:v>
      </x:c>
      <x:c r="H388" s="20" t="str">
        <x:v>Procuración de Fondos</x:v>
      </x:c>
      <x:c r="I388" s="20" t="str">
        <x:v>Sostenibilidad financiera</x:v>
      </x:c>
      <x:c r="J388" s="20" t="str">
        <x:v>F1. Diversificar y aumentar fuentes</x:v>
      </x:c>
      <x:c r="K388" s="20" t="n">
        <x:v>100</x:v>
      </x:c>
      <x:c r="L388" s="20" t="n">
        <x:v>29989</x:v>
      </x:c>
      <x:c r="M388" s="52" t="n">
        <x:v>-0.9966654439961319</x:v>
      </x:c>
      <x:c r="N388" s="20" t="str">
        <x:v>Deteriorating</x:v>
      </x:c>
      <x:c r="O388" s="20" t="str">
        <x:v>Prototype retrieval heuristic; association is not proof of causality.</x:v>
      </x:c>
      <x:c r="P388" s="20" t="str">
        <x:v>YES</x:v>
      </x:c>
    </x:row>
    <x:row r="389">
      <x:c r="A389" s="20" t="str">
        <x:v>FND-005</x:v>
      </x:c>
      <x:c r="B389" s="20" t="str">
        <x:v>Sell-through de artículos Mes de Fundación</x:v>
      </x:c>
      <x:c r="C389" s="20" t="n">
        <x:v>4</x:v>
      </x:c>
      <x:c r="D389" s="20" t="str">
        <x:v>REC-P07</x:v>
      </x:c>
      <x:c r="E389" s="20" t="str">
        <x:v>Conversión de alianzas estratégicas a recursos o capacidad programática</x:v>
      </x:c>
      <x:c r="F389" s="20" t="str">
        <x:v>Strategic-map adjacent objective; Same department</x:v>
      </x:c>
      <x:c r="G389" s="20" t="n">
        <x:v>67</x:v>
      </x:c>
      <x:c r="H389" s="20" t="str">
        <x:v>Procuración de Fondos</x:v>
      </x:c>
      <x:c r="I389" s="20" t="str">
        <x:v>Procesos internos</x:v>
      </x:c>
      <x:c r="J389" s="20" t="str">
        <x:v>P6. Construir ecosistema de alianzas</x:v>
      </x:c>
      <x:c r="K389" s="20" t="n">
        <x:v>72</x:v>
      </x:c>
      <x:c r="L389" s="20" t="n">
        <x:v>61.16347381864623</x:v>
      </x:c>
      <x:c r="M389" s="52" t="n">
        <x:v>0.17717316406005307</x:v>
      </x:c>
      <x:c r="N389" s="20" t="str">
        <x:v>Strong improvement</x:v>
      </x:c>
      <x:c r="O389" s="20" t="str">
        <x:v>Prototype retrieval heuristic; association is not proof of causality.</x:v>
      </x:c>
      <x:c r="P389" s="20" t="str">
        <x:v>YES</x:v>
      </x:c>
    </x:row>
    <x:row r="390">
      <x:c r="A390" s="20" t="str">
        <x:v>FND-005</x:v>
      </x:c>
      <x:c r="B390" s="20" t="str">
        <x:v>Sell-through de artículos Mes de Fundación</x:v>
      </x:c>
      <x:c r="C390" s="20" t="n">
        <x:v>5</x:v>
      </x:c>
      <x:c r="D390" s="20" t="str">
        <x:v>FND-016</x:v>
      </x:c>
      <x:c r="E390" s="20" t="str">
        <x:v>Nuevas alianzas estratégicas activas por país</x:v>
      </x:c>
      <x:c r="F390" s="20" t="str">
        <x:v>Strategic-map adjacent objective; Same department</x:v>
      </x:c>
      <x:c r="G390" s="20" t="n">
        <x:v>65</x:v>
      </x:c>
      <x:c r="H390" s="20" t="str">
        <x:v>Procuración de Fondos</x:v>
      </x:c>
      <x:c r="I390" s="20" t="str">
        <x:v>Procesos internos</x:v>
      </x:c>
      <x:c r="J390" s="20" t="str">
        <x:v>P6. Construir ecosistema de alianzas</x:v>
      </x:c>
      <x:c r="K390" s="20" t="n">
        <x:v>4</x:v>
      </x:c>
      <x:c r="L390" s="20" t="n">
        <x:v>2.6666666666666665</x:v>
      </x:c>
      <x:c r="M390" s="52" t="n">
        <x:v>0.5000000000000001</x:v>
      </x:c>
      <x:c r="N390" s="20" t="str">
        <x:v>Strong improvement</x:v>
      </x:c>
      <x:c r="O390" s="20" t="str">
        <x:v>Prototype retrieval heuristic; association is not proof of causality.</x:v>
      </x:c>
      <x:c r="P390" s="20" t="str">
        <x:v>YES</x:v>
      </x:c>
    </x:row>
    <x:row r="391">
      <x:c r="A391" s="20" t="str">
        <x:v>FND-005</x:v>
      </x:c>
      <x:c r="B391" s="20" t="str">
        <x:v>Sell-through de artículos Mes de Fundación</x:v>
      </x:c>
      <x:c r="C391" s="20" t="n">
        <x:v>6</x:v>
      </x:c>
      <x:c r="D391" s="20" t="str">
        <x:v>FND-004</x:v>
      </x:c>
      <x:c r="E391" s="20" t="str">
        <x:v>Fondos recaudados — ¿Cuánto vale una sonrisa? Perú</x:v>
      </x:c>
      <x:c r="F391" s="20" t="str">
        <x:v>Same strategic objective; Same department; Same BSC perspective</x:v>
      </x:c>
      <x:c r="G391" s="20" t="n">
        <x:v>87</x:v>
      </x:c>
      <x:c r="H391" s="20" t="str">
        <x:v>Procuración de Fondos</x:v>
      </x:c>
      <x:c r="I391" s="20" t="str">
        <x:v>Sostenibilidad financiera</x:v>
      </x:c>
      <x:c r="J391" s="20" t="str">
        <x:v>F1. Diversificar y aumentar fuentes</x:v>
      </x:c>
      <x:c r="K391" s="20" t="n">
        <x:v>100</x:v>
      </x:c>
      <x:c r="L391" s="20" t="n">
        <x:v>2989</x:v>
      </x:c>
      <x:c r="M391" s="52" t="n">
        <x:v>-0.9665439946470391</x:v>
      </x:c>
      <x:c r="N391" s="20" t="str">
        <x:v>Deteriorating</x:v>
      </x:c>
      <x:c r="O391" s="20" t="str">
        <x:v>Prototype retrieval heuristic; association is not proof of causality.</x:v>
      </x:c>
      <x:c r="P391" s="20" t="str">
        <x:v>YES</x:v>
      </x:c>
    </x:row>
    <x:row r="392">
      <x:c r="A392" s="20" t="str">
        <x:v>FND-005</x:v>
      </x:c>
      <x:c r="B392" s="20" t="str">
        <x:v>Sell-through de artículos Mes de Fundación</x:v>
      </x:c>
      <x:c r="C392" s="20" t="n">
        <x:v>7</x:v>
      </x:c>
      <x:c r="D392" s="20" t="str">
        <x:v>FND-017</x:v>
      </x:c>
      <x:c r="E392" s="20" t="str">
        <x:v>Fondos recaudados — Subasta Omnilife</x:v>
      </x:c>
      <x:c r="F392" s="20" t="str">
        <x:v>Same strategic objective; Same department; Same BSC perspective</x:v>
      </x:c>
      <x:c r="G392" s="20" t="n">
        <x:v>87</x:v>
      </x:c>
      <x:c r="H392" s="20" t="str">
        <x:v>Procuración de Fondos</x:v>
      </x:c>
      <x:c r="I392" s="20" t="str">
        <x:v>Sostenibilidad financiera</x:v>
      </x:c>
      <x:c r="J392" s="20" t="str">
        <x:v>F1. Diversificar y aumentar fuentes</x:v>
      </x:c>
      <x:c r="K392" s="20" t="n">
        <x:v>100</x:v>
      </x:c>
      <x:c r="L392" s="20" t="n">
        <x:v>1599989</x:v>
      </x:c>
      <x:c r="M392" s="52" t="n">
        <x:v>-0.9999374995703095</x:v>
      </x:c>
      <x:c r="N392" s="20" t="str">
        <x:v>Deteriorating</x:v>
      </x:c>
      <x:c r="O392" s="20" t="str">
        <x:v>Prototype retrieval heuristic; association is not proof of causality.</x:v>
      </x:c>
      <x:c r="P392" s="20" t="str">
        <x:v>YES</x:v>
      </x:c>
    </x:row>
    <x:row r="393">
      <x:c r="A393" s="20" t="str">
        <x:v>FND-005</x:v>
      </x:c>
      <x:c r="B393" s="20" t="str">
        <x:v>Sell-through de artículos Mes de Fundación</x:v>
      </x:c>
      <x:c r="C393" s="20" t="n">
        <x:v>8</x:v>
      </x:c>
      <x:c r="D393" s="20" t="str">
        <x:v>REC-F01</x:v>
      </x:c>
      <x:c r="E393" s="20" t="str">
        <x:v>Cumplimiento de meta total de procuración</x:v>
      </x:c>
      <x:c r="F393" s="20" t="str">
        <x:v>Same strategic objective; Same department; Same BSC perspective</x:v>
      </x:c>
      <x:c r="G393" s="20" t="n">
        <x:v>87</x:v>
      </x:c>
      <x:c r="H393" s="20" t="str">
        <x:v>Procuración de Fondos</x:v>
      </x:c>
      <x:c r="I393" s="20" t="str">
        <x:v>Sostenibilidad financiera</x:v>
      </x:c>
      <x:c r="J393" s="20" t="str">
        <x:v>F1. Diversificar y aumentar fuentes</x:v>
      </x:c>
      <x:c r="K393" s="20" t="n">
        <x:v>100</x:v>
      </x:c>
      <x:c r="L393" s="20" t="n">
        <x:v>88.9514687100894</x:v>
      </x:c>
      <x:c r="M393" s="52" t="n">
        <x:v>0.12420853135005526</x:v>
      </x:c>
      <x:c r="N393" s="20" t="str">
        <x:v>Strong improvement</x:v>
      </x:c>
      <x:c r="O393" s="20" t="str">
        <x:v>Prototype retrieval heuristic; association is not proof of causality.</x:v>
      </x:c>
      <x:c r="P393" s="20" t="str">
        <x:v>YES</x:v>
      </x:c>
    </x:row>
    <x:row r="394">
      <x:c r="A394" s="20" t="str">
        <x:v>FND-006</x:v>
      </x:c>
      <x:c r="B394" s="20" t="str">
        <x:v>Nuevos donantes recurrentes — USA</x:v>
      </x:c>
      <x:c r="C394" s="20" t="n">
        <x:v>1</x:v>
      </x:c>
      <x:c r="D394" s="20" t="str">
        <x:v>FND-007</x:v>
      </x:c>
      <x:c r="E394" s="20" t="str">
        <x:v>Nuevos donantes recurrentes — México</x:v>
      </x:c>
      <x:c r="F394" s="20" t="str">
        <x:v>Same strategic objective; Same department; Same BSC perspective</x:v>
      </x:c>
      <x:c r="G394" s="20" t="n">
        <x:v>87</x:v>
      </x:c>
      <x:c r="H394" s="20" t="str">
        <x:v>Procuración de Fondos</x:v>
      </x:c>
      <x:c r="I394" s="20" t="str">
        <x:v>Sostenibilidad financiera</x:v>
      </x:c>
      <x:c r="J394" s="20" t="str">
        <x:v>F2. Incrementar y retener donantes recurrentes</x:v>
      </x:c>
      <x:c r="K394" s="20" t="n">
        <x:v>15</x:v>
      </x:c>
      <x:c r="L394" s="20" t="n">
        <x:v>12</x:v>
      </x:c>
      <x:c r="M394" s="52" t="n">
        <x:v>0.25</x:v>
      </x:c>
      <x:c r="N394" s="20" t="str">
        <x:v>Strong improvement</x:v>
      </x:c>
      <x:c r="O394" s="20" t="str">
        <x:v>Prototype retrieval heuristic; association is not proof of causality.</x:v>
      </x:c>
      <x:c r="P394" s="20" t="str">
        <x:v>YES</x:v>
      </x:c>
    </x:row>
    <x:row r="395">
      <x:c r="A395" s="20" t="str">
        <x:v>FND-006</x:v>
      </x:c>
      <x:c r="B395" s="20" t="str">
        <x:v>Nuevos donantes recurrentes — USA</x:v>
      </x:c>
      <x:c r="C395" s="20" t="n">
        <x:v>2</x:v>
      </x:c>
      <x:c r="D395" s="20" t="str">
        <x:v>FND-008</x:v>
      </x:c>
      <x:c r="E395" s="20" t="str">
        <x:v>Nuevos donantes recurrentes — Perú</x:v>
      </x:c>
      <x:c r="F395" s="20" t="str">
        <x:v>Same strategic objective; Same department; Same BSC perspective</x:v>
      </x:c>
      <x:c r="G395" s="20" t="n">
        <x:v>87</x:v>
      </x:c>
      <x:c r="H395" s="20" t="str">
        <x:v>Procuración de Fondos</x:v>
      </x:c>
      <x:c r="I395" s="20" t="str">
        <x:v>Sostenibilidad financiera</x:v>
      </x:c>
      <x:c r="J395" s="20" t="str">
        <x:v>F2. Incrementar y retener donantes recurrentes</x:v>
      </x:c>
      <x:c r="K395" s="20" t="n">
        <x:v>8</x:v>
      </x:c>
      <x:c r="L395" s="20" t="n">
        <x:v>5.666666666666667</x:v>
      </x:c>
      <x:c r="M395" s="52" t="n">
        <x:v>0.41176470588235287</x:v>
      </x:c>
      <x:c r="N395" s="20" t="str">
        <x:v>Strong improvement</x:v>
      </x:c>
      <x:c r="O395" s="20" t="str">
        <x:v>Prototype retrieval heuristic; association is not proof of causality.</x:v>
      </x:c>
      <x:c r="P395" s="20" t="str">
        <x:v>YES</x:v>
      </x:c>
    </x:row>
    <x:row r="396">
      <x:c r="A396" s="20" t="str">
        <x:v>FND-006</x:v>
      </x:c>
      <x:c r="B396" s="20" t="str">
        <x:v>Nuevos donantes recurrentes — USA</x:v>
      </x:c>
      <x:c r="C396" s="20" t="n">
        <x:v>3</x:v>
      </x:c>
      <x:c r="D396" s="20" t="str">
        <x:v>FND-009</x:v>
      </x:c>
      <x:c r="E396" s="20" t="str">
        <x:v>Nuevos donantes recurrentes — Colombia</x:v>
      </x:c>
      <x:c r="F396" s="20" t="str">
        <x:v>Same strategic objective; Same department; Same BSC perspective</x:v>
      </x:c>
      <x:c r="G396" s="20" t="n">
        <x:v>87</x:v>
      </x:c>
      <x:c r="H396" s="20" t="str">
        <x:v>Procuración de Fondos</x:v>
      </x:c>
      <x:c r="I396" s="20" t="str">
        <x:v>Sostenibilidad financiera</x:v>
      </x:c>
      <x:c r="J396" s="20" t="str">
        <x:v>F2. Incrementar y retener donantes recurrentes</x:v>
      </x:c>
      <x:c r="K396" s="20" t="n">
        <x:v>5</x:v>
      </x:c>
      <x:c r="L396" s="20" t="n">
        <x:v>3.3333333333333335</x:v>
      </x:c>
      <x:c r="M396" s="52" t="n">
        <x:v>0.49999999999999994</x:v>
      </x:c>
      <x:c r="N396" s="20" t="str">
        <x:v>Strong improvement</x:v>
      </x:c>
      <x:c r="O396" s="20" t="str">
        <x:v>Prototype retrieval heuristic; association is not proof of causality.</x:v>
      </x:c>
      <x:c r="P396" s="20" t="str">
        <x:v>YES</x:v>
      </x:c>
    </x:row>
    <x:row r="397">
      <x:c r="A397" s="20" t="str">
        <x:v>FND-006</x:v>
      </x:c>
      <x:c r="B397" s="20" t="str">
        <x:v>Nuevos donantes recurrentes — USA</x:v>
      </x:c>
      <x:c r="C397" s="20" t="n">
        <x:v>4</x:v>
      </x:c>
      <x:c r="D397" s="20" t="str">
        <x:v>REC-M02</x:v>
      </x:c>
      <x:c r="E397" s="20" t="str">
        <x:v>Costo de adquisición de nuevo donante</x:v>
      </x:c>
      <x:c r="F397" s="20" t="str">
        <x:v>Strategic-map adjacent objective</x:v>
      </x:c>
      <x:c r="G397" s="20" t="n">
        <x:v>42</x:v>
      </x:c>
      <x:c r="H397" s="20" t="str">
        <x:v>Marketing y Comunicación</x:v>
      </x:c>
      <x:c r="I397" s="20" t="str">
        <x:v>Procesos internos</x:v>
      </x:c>
      <x:c r="J397" s="20" t="str">
        <x:v>P3. Integrar Marketing + Procuración</x:v>
      </x:c>
      <x:c r="K397" s="20" t="n">
        <x:v>760</x:v>
      </x:c>
      <x:c r="L397" s="20" t="n">
        <x:v>896.6666666666666</x:v>
      </x:c>
      <x:c r="M397" s="52" t="n">
        <x:v>0.15241635687732338</x:v>
      </x:c>
      <x:c r="N397" s="20" t="str">
        <x:v>Strong improvement</x:v>
      </x:c>
      <x:c r="O397" s="20" t="str">
        <x:v>Prototype retrieval heuristic; association is not proof of causality.</x:v>
      </x:c>
      <x:c r="P397" s="20" t="str">
        <x:v>YES</x:v>
      </x:c>
    </x:row>
    <x:row r="398">
      <x:c r="A398" s="20" t="str">
        <x:v>FND-006</x:v>
      </x:c>
      <x:c r="B398" s="20" t="str">
        <x:v>Nuevos donantes recurrentes — USA</x:v>
      </x:c>
      <x:c r="C398" s="20" t="n">
        <x:v>5</x:v>
      </x:c>
      <x:c r="D398" s="20" t="str">
        <x:v>REC-P03</x:v>
      </x:c>
      <x:c r="E398" s="20" t="str">
        <x:v>Conversión de campaña a nuevo donante</x:v>
      </x:c>
      <x:c r="F398" s="20" t="str">
        <x:v>Strategic-map adjacent objective</x:v>
      </x:c>
      <x:c r="G398" s="20" t="n">
        <x:v>42</x:v>
      </x:c>
      <x:c r="H398" s="20" t="str">
        <x:v>Marketing + Procuración de Fondos</x:v>
      </x:c>
      <x:c r="I398" s="20" t="str">
        <x:v>Procesos internos</x:v>
      </x:c>
      <x:c r="J398" s="20" t="str">
        <x:v>P3. Integrar Marketing + Procuración</x:v>
      </x:c>
      <x:c r="K398" s="20" t="n">
        <x:v>100</x:v>
      </x:c>
      <x:c r="L398" s="20" t="n">
        <x:v>2015.0147157960507</x:v>
      </x:c>
      <x:c r="M398" s="52" t="n">
        <x:v>-0.9503725708720226</x:v>
      </x:c>
      <x:c r="N398" s="20" t="str">
        <x:v>Deteriorating</x:v>
      </x:c>
      <x:c r="O398" s="20" t="str">
        <x:v>Prototype retrieval heuristic; association is not proof of causality.</x:v>
      </x:c>
      <x:c r="P398" s="20" t="str">
        <x:v>YES</x:v>
      </x:c>
    </x:row>
    <x:row r="399">
      <x:c r="A399" s="20" t="str">
        <x:v>FND-006</x:v>
      </x:c>
      <x:c r="B399" s="20" t="str">
        <x:v>Nuevos donantes recurrentes — USA</x:v>
      </x:c>
      <x:c r="C399" s="20" t="n">
        <x:v>6</x:v>
      </x:c>
      <x:c r="D399" s="20" t="str">
        <x:v>FND-011</x:v>
      </x:c>
      <x:c r="E399" s="20" t="str">
        <x:v>Conversión de voluntarios staff a donantes recurrentes</x:v>
      </x:c>
      <x:c r="F399" s="20" t="str">
        <x:v>Same strategic objective; Same department; Same BSC perspective</x:v>
      </x:c>
      <x:c r="G399" s="20" t="n">
        <x:v>87</x:v>
      </x:c>
      <x:c r="H399" s="20" t="str">
        <x:v>Procuración de Fondos</x:v>
      </x:c>
      <x:c r="I399" s="20" t="str">
        <x:v>Sostenibilidad financiera</x:v>
      </x:c>
      <x:c r="J399" s="20" t="str">
        <x:v>F2. Incrementar y retener donantes recurrentes</x:v>
      </x:c>
      <x:c r="K399" s="20" t="n">
        <x:v>4</x:v>
      </x:c>
      <x:c r="L399" s="20" t="n">
        <x:v>3.232770826368222</x:v>
      </x:c>
      <x:c r="M399" s="52" t="n">
        <x:v>0.23732866164648694</x:v>
      </x:c>
      <x:c r="N399" s="20" t="str">
        <x:v>Strong improvement</x:v>
      </x:c>
      <x:c r="O399" s="20" t="str">
        <x:v>Prototype retrieval heuristic; association is not proof of causality.</x:v>
      </x:c>
      <x:c r="P399" s="20" t="str">
        <x:v>YES</x:v>
      </x:c>
    </x:row>
    <x:row r="400">
      <x:c r="A400" s="20" t="str">
        <x:v>FND-006</x:v>
      </x:c>
      <x:c r="B400" s="20" t="str">
        <x:v>Nuevos donantes recurrentes — USA</x:v>
      </x:c>
      <x:c r="C400" s="20" t="n">
        <x:v>7</x:v>
      </x:c>
      <x:c r="D400" s="20" t="str">
        <x:v>FND-013</x:v>
      </x:c>
      <x:c r="E400" s="20" t="str">
        <x:v>Nuevos donantes recurrentes EOS — Perú</x:v>
      </x:c>
      <x:c r="F400" s="20" t="str">
        <x:v>Same strategic objective; Same department; Same BSC perspective</x:v>
      </x:c>
      <x:c r="G400" s="20" t="n">
        <x:v>87</x:v>
      </x:c>
      <x:c r="H400" s="20" t="str">
        <x:v>Procuración de Fondos</x:v>
      </x:c>
      <x:c r="I400" s="20" t="str">
        <x:v>Sostenibilidad financiera</x:v>
      </x:c>
      <x:c r="J400" s="20" t="str">
        <x:v>F2. Incrementar y retener donantes recurrentes</x:v>
      </x:c>
      <x:c r="K400" s="20" t="n">
        <x:v>2</x:v>
      </x:c>
      <x:c r="L400" s="20" t="n">
        <x:v>1.3333333333333333</x:v>
      </x:c>
      <x:c r="M400" s="52" t="n">
        <x:v>0.5000000000000001</x:v>
      </x:c>
      <x:c r="N400" s="20" t="str">
        <x:v>Strong improvement</x:v>
      </x:c>
      <x:c r="O400" s="20" t="str">
        <x:v>Prototype retrieval heuristic; association is not proof of causality.</x:v>
      </x:c>
      <x:c r="P400" s="20" t="str">
        <x:v>YES</x:v>
      </x:c>
    </x:row>
    <x:row r="401">
      <x:c r="A401" s="20" t="str">
        <x:v>FND-006</x:v>
      </x:c>
      <x:c r="B401" s="20" t="str">
        <x:v>Nuevos donantes recurrentes — USA</x:v>
      </x:c>
      <x:c r="C401" s="20" t="n">
        <x:v>8</x:v>
      </x:c>
      <x:c r="D401" s="20" t="str">
        <x:v>FND-014</x:v>
      </x:c>
      <x:c r="E401" s="20" t="str">
        <x:v>Nuevos donantes recurrentes EOS — Colombia</x:v>
      </x:c>
      <x:c r="F401" s="20" t="str">
        <x:v>Same strategic objective; Same department; Same BSC perspective</x:v>
      </x:c>
      <x:c r="G401" s="20" t="n">
        <x:v>87</x:v>
      </x:c>
      <x:c r="H401" s="20" t="str">
        <x:v>Procuración de Fondos</x:v>
      </x:c>
      <x:c r="I401" s="20" t="str">
        <x:v>Sostenibilidad financiera</x:v>
      </x:c>
      <x:c r="J401" s="20" t="str">
        <x:v>F2. Incrementar y retener donantes recurrentes</x:v>
      </x:c>
      <x:c r="K401" s="20" t="n">
        <x:v>2</x:v>
      </x:c>
      <x:c r="L401" s="20" t="n">
        <x:v>1.3333333333333333</x:v>
      </x:c>
      <x:c r="M401" s="52" t="n">
        <x:v>0.5000000000000001</x:v>
      </x:c>
      <x:c r="N401" s="20" t="str">
        <x:v>Strong improvement</x:v>
      </x:c>
      <x:c r="O401" s="20" t="str">
        <x:v>Prototype retrieval heuristic; association is not proof of causality.</x:v>
      </x:c>
      <x:c r="P401" s="20" t="str">
        <x:v>YES</x:v>
      </x:c>
    </x:row>
    <x:row r="402">
      <x:c r="A402" s="20" t="str">
        <x:v>FND-007</x:v>
      </x:c>
      <x:c r="B402" s="20" t="str">
        <x:v>Nuevos donantes recurrentes — México</x:v>
      </x:c>
      <x:c r="C402" s="20" t="n">
        <x:v>1</x:v>
      </x:c>
      <x:c r="D402" s="20" t="str">
        <x:v>FND-006</x:v>
      </x:c>
      <x:c r="E402" s="20" t="str">
        <x:v>Nuevos donantes recurrentes — USA</x:v>
      </x:c>
      <x:c r="F402" s="20" t="str">
        <x:v>Same strategic objective; Same department; Same BSC perspective</x:v>
      </x:c>
      <x:c r="G402" s="20" t="n">
        <x:v>87</x:v>
      </x:c>
      <x:c r="H402" s="20" t="str">
        <x:v>Procuración de Fondos</x:v>
      </x:c>
      <x:c r="I402" s="20" t="str">
        <x:v>Sostenibilidad financiera</x:v>
      </x:c>
      <x:c r="J402" s="20" t="str">
        <x:v>F2. Incrementar y retener donantes recurrentes</x:v>
      </x:c>
      <x:c r="K402" s="20" t="n">
        <x:v>73</x:v>
      </x:c>
      <x:c r="L402" s="20" t="n">
        <x:v>62</x:v>
      </x:c>
      <x:c r="M402" s="52" t="n">
        <x:v>0.1774193548387097</x:v>
      </x:c>
      <x:c r="N402" s="20" t="str">
        <x:v>Strong improvement</x:v>
      </x:c>
      <x:c r="O402" s="20" t="str">
        <x:v>Prototype retrieval heuristic; association is not proof of causality.</x:v>
      </x:c>
      <x:c r="P402" s="20" t="str">
        <x:v>YES</x:v>
      </x:c>
    </x:row>
    <x:row r="403">
      <x:c r="A403" s="20" t="str">
        <x:v>FND-007</x:v>
      </x:c>
      <x:c r="B403" s="20" t="str">
        <x:v>Nuevos donantes recurrentes — México</x:v>
      </x:c>
      <x:c r="C403" s="20" t="n">
        <x:v>2</x:v>
      </x:c>
      <x:c r="D403" s="20" t="str">
        <x:v>FND-008</x:v>
      </x:c>
      <x:c r="E403" s="20" t="str">
        <x:v>Nuevos donantes recurrentes — Perú</x:v>
      </x:c>
      <x:c r="F403" s="20" t="str">
        <x:v>Same strategic objective; Same department; Same BSC perspective</x:v>
      </x:c>
      <x:c r="G403" s="20" t="n">
        <x:v>87</x:v>
      </x:c>
      <x:c r="H403" s="20" t="str">
        <x:v>Procuración de Fondos</x:v>
      </x:c>
      <x:c r="I403" s="20" t="str">
        <x:v>Sostenibilidad financiera</x:v>
      </x:c>
      <x:c r="J403" s="20" t="str">
        <x:v>F2. Incrementar y retener donantes recurrentes</x:v>
      </x:c>
      <x:c r="K403" s="20" t="n">
        <x:v>8</x:v>
      </x:c>
      <x:c r="L403" s="20" t="n">
        <x:v>5.666666666666667</x:v>
      </x:c>
      <x:c r="M403" s="52" t="n">
        <x:v>0.41176470588235287</x:v>
      </x:c>
      <x:c r="N403" s="20" t="str">
        <x:v>Strong improvement</x:v>
      </x:c>
      <x:c r="O403" s="20" t="str">
        <x:v>Prototype retrieval heuristic; association is not proof of causality.</x:v>
      </x:c>
      <x:c r="P403" s="20" t="str">
        <x:v>YES</x:v>
      </x:c>
    </x:row>
    <x:row r="404">
      <x:c r="A404" s="20" t="str">
        <x:v>FND-007</x:v>
      </x:c>
      <x:c r="B404" s="20" t="str">
        <x:v>Nuevos donantes recurrentes — México</x:v>
      </x:c>
      <x:c r="C404" s="20" t="n">
        <x:v>3</x:v>
      </x:c>
      <x:c r="D404" s="20" t="str">
        <x:v>FND-009</x:v>
      </x:c>
      <x:c r="E404" s="20" t="str">
        <x:v>Nuevos donantes recurrentes — Colombia</x:v>
      </x:c>
      <x:c r="F404" s="20" t="str">
        <x:v>Same strategic objective; Same department; Same BSC perspective</x:v>
      </x:c>
      <x:c r="G404" s="20" t="n">
        <x:v>87</x:v>
      </x:c>
      <x:c r="H404" s="20" t="str">
        <x:v>Procuración de Fondos</x:v>
      </x:c>
      <x:c r="I404" s="20" t="str">
        <x:v>Sostenibilidad financiera</x:v>
      </x:c>
      <x:c r="J404" s="20" t="str">
        <x:v>F2. Incrementar y retener donantes recurrentes</x:v>
      </x:c>
      <x:c r="K404" s="20" t="n">
        <x:v>5</x:v>
      </x:c>
      <x:c r="L404" s="20" t="n">
        <x:v>3.3333333333333335</x:v>
      </x:c>
      <x:c r="M404" s="52" t="n">
        <x:v>0.49999999999999994</x:v>
      </x:c>
      <x:c r="N404" s="20" t="str">
        <x:v>Strong improvement</x:v>
      </x:c>
      <x:c r="O404" s="20" t="str">
        <x:v>Prototype retrieval heuristic; association is not proof of causality.</x:v>
      </x:c>
      <x:c r="P404" s="20" t="str">
        <x:v>YES</x:v>
      </x:c>
    </x:row>
    <x:row r="405">
      <x:c r="A405" s="20" t="str">
        <x:v>FND-007</x:v>
      </x:c>
      <x:c r="B405" s="20" t="str">
        <x:v>Nuevos donantes recurrentes — México</x:v>
      </x:c>
      <x:c r="C405" s="20" t="n">
        <x:v>4</x:v>
      </x:c>
      <x:c r="D405" s="20" t="str">
        <x:v>REC-M02</x:v>
      </x:c>
      <x:c r="E405" s="20" t="str">
        <x:v>Costo de adquisición de nuevo donante</x:v>
      </x:c>
      <x:c r="F405" s="20" t="str">
        <x:v>Strategic-map adjacent objective</x:v>
      </x:c>
      <x:c r="G405" s="20" t="n">
        <x:v>42</x:v>
      </x:c>
      <x:c r="H405" s="20" t="str">
        <x:v>Marketing y Comunicación</x:v>
      </x:c>
      <x:c r="I405" s="20" t="str">
        <x:v>Procesos internos</x:v>
      </x:c>
      <x:c r="J405" s="20" t="str">
        <x:v>P3. Integrar Marketing + Procuración</x:v>
      </x:c>
      <x:c r="K405" s="20" t="n">
        <x:v>760</x:v>
      </x:c>
      <x:c r="L405" s="20" t="n">
        <x:v>896.6666666666666</x:v>
      </x:c>
      <x:c r="M405" s="52" t="n">
        <x:v>0.15241635687732338</x:v>
      </x:c>
      <x:c r="N405" s="20" t="str">
        <x:v>Strong improvement</x:v>
      </x:c>
      <x:c r="O405" s="20" t="str">
        <x:v>Prototype retrieval heuristic; association is not proof of causality.</x:v>
      </x:c>
      <x:c r="P405" s="20" t="str">
        <x:v>YES</x:v>
      </x:c>
    </x:row>
    <x:row r="406">
      <x:c r="A406" s="20" t="str">
        <x:v>FND-007</x:v>
      </x:c>
      <x:c r="B406" s="20" t="str">
        <x:v>Nuevos donantes recurrentes — México</x:v>
      </x:c>
      <x:c r="C406" s="20" t="n">
        <x:v>5</x:v>
      </x:c>
      <x:c r="D406" s="20" t="str">
        <x:v>REC-P03</x:v>
      </x:c>
      <x:c r="E406" s="20" t="str">
        <x:v>Conversión de campaña a nuevo donante</x:v>
      </x:c>
      <x:c r="F406" s="20" t="str">
        <x:v>Strategic-map adjacent objective</x:v>
      </x:c>
      <x:c r="G406" s="20" t="n">
        <x:v>42</x:v>
      </x:c>
      <x:c r="H406" s="20" t="str">
        <x:v>Marketing + Procuración de Fondos</x:v>
      </x:c>
      <x:c r="I406" s="20" t="str">
        <x:v>Procesos internos</x:v>
      </x:c>
      <x:c r="J406" s="20" t="str">
        <x:v>P3. Integrar Marketing + Procuración</x:v>
      </x:c>
      <x:c r="K406" s="20" t="n">
        <x:v>100</x:v>
      </x:c>
      <x:c r="L406" s="20" t="n">
        <x:v>2015.0147157960507</x:v>
      </x:c>
      <x:c r="M406" s="52" t="n">
        <x:v>-0.9503725708720226</x:v>
      </x:c>
      <x:c r="N406" s="20" t="str">
        <x:v>Deteriorating</x:v>
      </x:c>
      <x:c r="O406" s="20" t="str">
        <x:v>Prototype retrieval heuristic; association is not proof of causality.</x:v>
      </x:c>
      <x:c r="P406" s="20" t="str">
        <x:v>YES</x:v>
      </x:c>
    </x:row>
    <x:row r="407">
      <x:c r="A407" s="20" t="str">
        <x:v>FND-007</x:v>
      </x:c>
      <x:c r="B407" s="20" t="str">
        <x:v>Nuevos donantes recurrentes — México</x:v>
      </x:c>
      <x:c r="C407" s="20" t="n">
        <x:v>6</x:v>
      </x:c>
      <x:c r="D407" s="20" t="str">
        <x:v>FND-011</x:v>
      </x:c>
      <x:c r="E407" s="20" t="str">
        <x:v>Conversión de voluntarios staff a donantes recurrentes</x:v>
      </x:c>
      <x:c r="F407" s="20" t="str">
        <x:v>Same strategic objective; Same department; Same BSC perspective</x:v>
      </x:c>
      <x:c r="G407" s="20" t="n">
        <x:v>87</x:v>
      </x:c>
      <x:c r="H407" s="20" t="str">
        <x:v>Procuración de Fondos</x:v>
      </x:c>
      <x:c r="I407" s="20" t="str">
        <x:v>Sostenibilidad financiera</x:v>
      </x:c>
      <x:c r="J407" s="20" t="str">
        <x:v>F2. Incrementar y retener donantes recurrentes</x:v>
      </x:c>
      <x:c r="K407" s="20" t="n">
        <x:v>4</x:v>
      </x:c>
      <x:c r="L407" s="20" t="n">
        <x:v>3.232770826368222</x:v>
      </x:c>
      <x:c r="M407" s="52" t="n">
        <x:v>0.23732866164648694</x:v>
      </x:c>
      <x:c r="N407" s="20" t="str">
        <x:v>Strong improvement</x:v>
      </x:c>
      <x:c r="O407" s="20" t="str">
        <x:v>Prototype retrieval heuristic; association is not proof of causality.</x:v>
      </x:c>
      <x:c r="P407" s="20" t="str">
        <x:v>YES</x:v>
      </x:c>
    </x:row>
    <x:row r="408">
      <x:c r="A408" s="20" t="str">
        <x:v>FND-007</x:v>
      </x:c>
      <x:c r="B408" s="20" t="str">
        <x:v>Nuevos donantes recurrentes — México</x:v>
      </x:c>
      <x:c r="C408" s="20" t="n">
        <x:v>7</x:v>
      </x:c>
      <x:c r="D408" s="20" t="str">
        <x:v>FND-013</x:v>
      </x:c>
      <x:c r="E408" s="20" t="str">
        <x:v>Nuevos donantes recurrentes EOS — Perú</x:v>
      </x:c>
      <x:c r="F408" s="20" t="str">
        <x:v>Same strategic objective; Same department; Same BSC perspective</x:v>
      </x:c>
      <x:c r="G408" s="20" t="n">
        <x:v>87</x:v>
      </x:c>
      <x:c r="H408" s="20" t="str">
        <x:v>Procuración de Fondos</x:v>
      </x:c>
      <x:c r="I408" s="20" t="str">
        <x:v>Sostenibilidad financiera</x:v>
      </x:c>
      <x:c r="J408" s="20" t="str">
        <x:v>F2. Incrementar y retener donantes recurrentes</x:v>
      </x:c>
      <x:c r="K408" s="20" t="n">
        <x:v>2</x:v>
      </x:c>
      <x:c r="L408" s="20" t="n">
        <x:v>1.3333333333333333</x:v>
      </x:c>
      <x:c r="M408" s="52" t="n">
        <x:v>0.5000000000000001</x:v>
      </x:c>
      <x:c r="N408" s="20" t="str">
        <x:v>Strong improvement</x:v>
      </x:c>
      <x:c r="O408" s="20" t="str">
        <x:v>Prototype retrieval heuristic; association is not proof of causality.</x:v>
      </x:c>
      <x:c r="P408" s="20" t="str">
        <x:v>YES</x:v>
      </x:c>
    </x:row>
    <x:row r="409">
      <x:c r="A409" s="20" t="str">
        <x:v>FND-007</x:v>
      </x:c>
      <x:c r="B409" s="20" t="str">
        <x:v>Nuevos donantes recurrentes — México</x:v>
      </x:c>
      <x:c r="C409" s="20" t="n">
        <x:v>8</x:v>
      </x:c>
      <x:c r="D409" s="20" t="str">
        <x:v>FND-014</x:v>
      </x:c>
      <x:c r="E409" s="20" t="str">
        <x:v>Nuevos donantes recurrentes EOS — Colombia</x:v>
      </x:c>
      <x:c r="F409" s="20" t="str">
        <x:v>Same strategic objective; Same department; Same BSC perspective</x:v>
      </x:c>
      <x:c r="G409" s="20" t="n">
        <x:v>87</x:v>
      </x:c>
      <x:c r="H409" s="20" t="str">
        <x:v>Procuración de Fondos</x:v>
      </x:c>
      <x:c r="I409" s="20" t="str">
        <x:v>Sostenibilidad financiera</x:v>
      </x:c>
      <x:c r="J409" s="20" t="str">
        <x:v>F2. Incrementar y retener donantes recurrentes</x:v>
      </x:c>
      <x:c r="K409" s="20" t="n">
        <x:v>2</x:v>
      </x:c>
      <x:c r="L409" s="20" t="n">
        <x:v>1.3333333333333333</x:v>
      </x:c>
      <x:c r="M409" s="52" t="n">
        <x:v>0.5000000000000001</x:v>
      </x:c>
      <x:c r="N409" s="20" t="str">
        <x:v>Strong improvement</x:v>
      </x:c>
      <x:c r="O409" s="20" t="str">
        <x:v>Prototype retrieval heuristic; association is not proof of causality.</x:v>
      </x:c>
      <x:c r="P409" s="20" t="str">
        <x:v>YES</x:v>
      </x:c>
    </x:row>
    <x:row r="410">
      <x:c r="A410" s="20" t="str">
        <x:v>FND-008</x:v>
      </x:c>
      <x:c r="B410" s="20" t="str">
        <x:v>Nuevos donantes recurrentes — Perú</x:v>
      </x:c>
      <x:c r="C410" s="20" t="n">
        <x:v>1</x:v>
      </x:c>
      <x:c r="D410" s="20" t="str">
        <x:v>FND-006</x:v>
      </x:c>
      <x:c r="E410" s="20" t="str">
        <x:v>Nuevos donantes recurrentes — USA</x:v>
      </x:c>
      <x:c r="F410" s="20" t="str">
        <x:v>Same strategic objective; Same department; Same BSC perspective</x:v>
      </x:c>
      <x:c r="G410" s="20" t="n">
        <x:v>87</x:v>
      </x:c>
      <x:c r="H410" s="20" t="str">
        <x:v>Procuración de Fondos</x:v>
      </x:c>
      <x:c r="I410" s="20" t="str">
        <x:v>Sostenibilidad financiera</x:v>
      </x:c>
      <x:c r="J410" s="20" t="str">
        <x:v>F2. Incrementar y retener donantes recurrentes</x:v>
      </x:c>
      <x:c r="K410" s="20" t="n">
        <x:v>73</x:v>
      </x:c>
      <x:c r="L410" s="20" t="n">
        <x:v>62</x:v>
      </x:c>
      <x:c r="M410" s="52" t="n">
        <x:v>0.1774193548387097</x:v>
      </x:c>
      <x:c r="N410" s="20" t="str">
        <x:v>Strong improvement</x:v>
      </x:c>
      <x:c r="O410" s="20" t="str">
        <x:v>Prototype retrieval heuristic; association is not proof of causality.</x:v>
      </x:c>
      <x:c r="P410" s="20" t="str">
        <x:v>YES</x:v>
      </x:c>
    </x:row>
    <x:row r="411">
      <x:c r="A411" s="20" t="str">
        <x:v>FND-008</x:v>
      </x:c>
      <x:c r="B411" s="20" t="str">
        <x:v>Nuevos donantes recurrentes — Perú</x:v>
      </x:c>
      <x:c r="C411" s="20" t="n">
        <x:v>2</x:v>
      </x:c>
      <x:c r="D411" s="20" t="str">
        <x:v>FND-007</x:v>
      </x:c>
      <x:c r="E411" s="20" t="str">
        <x:v>Nuevos donantes recurrentes — México</x:v>
      </x:c>
      <x:c r="F411" s="20" t="str">
        <x:v>Same strategic objective; Same department; Same BSC perspective</x:v>
      </x:c>
      <x:c r="G411" s="20" t="n">
        <x:v>87</x:v>
      </x:c>
      <x:c r="H411" s="20" t="str">
        <x:v>Procuración de Fondos</x:v>
      </x:c>
      <x:c r="I411" s="20" t="str">
        <x:v>Sostenibilidad financiera</x:v>
      </x:c>
      <x:c r="J411" s="20" t="str">
        <x:v>F2. Incrementar y retener donantes recurrentes</x:v>
      </x:c>
      <x:c r="K411" s="20" t="n">
        <x:v>15</x:v>
      </x:c>
      <x:c r="L411" s="20" t="n">
        <x:v>12</x:v>
      </x:c>
      <x:c r="M411" s="52" t="n">
        <x:v>0.25</x:v>
      </x:c>
      <x:c r="N411" s="20" t="str">
        <x:v>Strong improvement</x:v>
      </x:c>
      <x:c r="O411" s="20" t="str">
        <x:v>Prototype retrieval heuristic; association is not proof of causality.</x:v>
      </x:c>
      <x:c r="P411" s="20" t="str">
        <x:v>YES</x:v>
      </x:c>
    </x:row>
    <x:row r="412">
      <x:c r="A412" s="20" t="str">
        <x:v>FND-008</x:v>
      </x:c>
      <x:c r="B412" s="20" t="str">
        <x:v>Nuevos donantes recurrentes — Perú</x:v>
      </x:c>
      <x:c r="C412" s="20" t="n">
        <x:v>3</x:v>
      </x:c>
      <x:c r="D412" s="20" t="str">
        <x:v>FND-009</x:v>
      </x:c>
      <x:c r="E412" s="20" t="str">
        <x:v>Nuevos donantes recurrentes — Colombia</x:v>
      </x:c>
      <x:c r="F412" s="20" t="str">
        <x:v>Same strategic objective; Same department; Same BSC perspective</x:v>
      </x:c>
      <x:c r="G412" s="20" t="n">
        <x:v>87</x:v>
      </x:c>
      <x:c r="H412" s="20" t="str">
        <x:v>Procuración de Fondos</x:v>
      </x:c>
      <x:c r="I412" s="20" t="str">
        <x:v>Sostenibilidad financiera</x:v>
      </x:c>
      <x:c r="J412" s="20" t="str">
        <x:v>F2. Incrementar y retener donantes recurrentes</x:v>
      </x:c>
      <x:c r="K412" s="20" t="n">
        <x:v>5</x:v>
      </x:c>
      <x:c r="L412" s="20" t="n">
        <x:v>3.3333333333333335</x:v>
      </x:c>
      <x:c r="M412" s="52" t="n">
        <x:v>0.49999999999999994</x:v>
      </x:c>
      <x:c r="N412" s="20" t="str">
        <x:v>Strong improvement</x:v>
      </x:c>
      <x:c r="O412" s="20" t="str">
        <x:v>Prototype retrieval heuristic; association is not proof of causality.</x:v>
      </x:c>
      <x:c r="P412" s="20" t="str">
        <x:v>YES</x:v>
      </x:c>
    </x:row>
    <x:row r="413">
      <x:c r="A413" s="20" t="str">
        <x:v>FND-008</x:v>
      </x:c>
      <x:c r="B413" s="20" t="str">
        <x:v>Nuevos donantes recurrentes — Perú</x:v>
      </x:c>
      <x:c r="C413" s="20" t="n">
        <x:v>4</x:v>
      </x:c>
      <x:c r="D413" s="20" t="str">
        <x:v>REC-M02</x:v>
      </x:c>
      <x:c r="E413" s="20" t="str">
        <x:v>Costo de adquisición de nuevo donante</x:v>
      </x:c>
      <x:c r="F413" s="20" t="str">
        <x:v>Strategic-map adjacent objective</x:v>
      </x:c>
      <x:c r="G413" s="20" t="n">
        <x:v>42</x:v>
      </x:c>
      <x:c r="H413" s="20" t="str">
        <x:v>Marketing y Comunicación</x:v>
      </x:c>
      <x:c r="I413" s="20" t="str">
        <x:v>Procesos internos</x:v>
      </x:c>
      <x:c r="J413" s="20" t="str">
        <x:v>P3. Integrar Marketing + Procuración</x:v>
      </x:c>
      <x:c r="K413" s="20" t="n">
        <x:v>760</x:v>
      </x:c>
      <x:c r="L413" s="20" t="n">
        <x:v>896.6666666666666</x:v>
      </x:c>
      <x:c r="M413" s="52" t="n">
        <x:v>0.15241635687732338</x:v>
      </x:c>
      <x:c r="N413" s="20" t="str">
        <x:v>Strong improvement</x:v>
      </x:c>
      <x:c r="O413" s="20" t="str">
        <x:v>Prototype retrieval heuristic; association is not proof of causality.</x:v>
      </x:c>
      <x:c r="P413" s="20" t="str">
        <x:v>YES</x:v>
      </x:c>
    </x:row>
    <x:row r="414">
      <x:c r="A414" s="20" t="str">
        <x:v>FND-008</x:v>
      </x:c>
      <x:c r="B414" s="20" t="str">
        <x:v>Nuevos donantes recurrentes — Perú</x:v>
      </x:c>
      <x:c r="C414" s="20" t="n">
        <x:v>5</x:v>
      </x:c>
      <x:c r="D414" s="20" t="str">
        <x:v>REC-P03</x:v>
      </x:c>
      <x:c r="E414" s="20" t="str">
        <x:v>Conversión de campaña a nuevo donante</x:v>
      </x:c>
      <x:c r="F414" s="20" t="str">
        <x:v>Strategic-map adjacent objective</x:v>
      </x:c>
      <x:c r="G414" s="20" t="n">
        <x:v>42</x:v>
      </x:c>
      <x:c r="H414" s="20" t="str">
        <x:v>Marketing + Procuración de Fondos</x:v>
      </x:c>
      <x:c r="I414" s="20" t="str">
        <x:v>Procesos internos</x:v>
      </x:c>
      <x:c r="J414" s="20" t="str">
        <x:v>P3. Integrar Marketing + Procuración</x:v>
      </x:c>
      <x:c r="K414" s="20" t="n">
        <x:v>100</x:v>
      </x:c>
      <x:c r="L414" s="20" t="n">
        <x:v>2015.0147157960507</x:v>
      </x:c>
      <x:c r="M414" s="52" t="n">
        <x:v>-0.9503725708720226</x:v>
      </x:c>
      <x:c r="N414" s="20" t="str">
        <x:v>Deteriorating</x:v>
      </x:c>
      <x:c r="O414" s="20" t="str">
        <x:v>Prototype retrieval heuristic; association is not proof of causality.</x:v>
      </x:c>
      <x:c r="P414" s="20" t="str">
        <x:v>YES</x:v>
      </x:c>
    </x:row>
    <x:row r="415">
      <x:c r="A415" s="20" t="str">
        <x:v>FND-008</x:v>
      </x:c>
      <x:c r="B415" s="20" t="str">
        <x:v>Nuevos donantes recurrentes — Perú</x:v>
      </x:c>
      <x:c r="C415" s="20" t="n">
        <x:v>6</x:v>
      </x:c>
      <x:c r="D415" s="20" t="str">
        <x:v>FND-011</x:v>
      </x:c>
      <x:c r="E415" s="20" t="str">
        <x:v>Conversión de voluntarios staff a donantes recurrentes</x:v>
      </x:c>
      <x:c r="F415" s="20" t="str">
        <x:v>Same strategic objective; Same department; Same BSC perspective</x:v>
      </x:c>
      <x:c r="G415" s="20" t="n">
        <x:v>87</x:v>
      </x:c>
      <x:c r="H415" s="20" t="str">
        <x:v>Procuración de Fondos</x:v>
      </x:c>
      <x:c r="I415" s="20" t="str">
        <x:v>Sostenibilidad financiera</x:v>
      </x:c>
      <x:c r="J415" s="20" t="str">
        <x:v>F2. Incrementar y retener donantes recurrentes</x:v>
      </x:c>
      <x:c r="K415" s="20" t="n">
        <x:v>4</x:v>
      </x:c>
      <x:c r="L415" s="20" t="n">
        <x:v>3.232770826368222</x:v>
      </x:c>
      <x:c r="M415" s="52" t="n">
        <x:v>0.23732866164648694</x:v>
      </x:c>
      <x:c r="N415" s="20" t="str">
        <x:v>Strong improvement</x:v>
      </x:c>
      <x:c r="O415" s="20" t="str">
        <x:v>Prototype retrieval heuristic; association is not proof of causality.</x:v>
      </x:c>
      <x:c r="P415" s="20" t="str">
        <x:v>YES</x:v>
      </x:c>
    </x:row>
    <x:row r="416">
      <x:c r="A416" s="20" t="str">
        <x:v>FND-008</x:v>
      </x:c>
      <x:c r="B416" s="20" t="str">
        <x:v>Nuevos donantes recurrentes — Perú</x:v>
      </x:c>
      <x:c r="C416" s="20" t="n">
        <x:v>7</x:v>
      </x:c>
      <x:c r="D416" s="20" t="str">
        <x:v>FND-013</x:v>
      </x:c>
      <x:c r="E416" s="20" t="str">
        <x:v>Nuevos donantes recurrentes EOS — Perú</x:v>
      </x:c>
      <x:c r="F416" s="20" t="str">
        <x:v>Same strategic objective; Same department; Same BSC perspective</x:v>
      </x:c>
      <x:c r="G416" s="20" t="n">
        <x:v>87</x:v>
      </x:c>
      <x:c r="H416" s="20" t="str">
        <x:v>Procuración de Fondos</x:v>
      </x:c>
      <x:c r="I416" s="20" t="str">
        <x:v>Sostenibilidad financiera</x:v>
      </x:c>
      <x:c r="J416" s="20" t="str">
        <x:v>F2. Incrementar y retener donantes recurrentes</x:v>
      </x:c>
      <x:c r="K416" s="20" t="n">
        <x:v>2</x:v>
      </x:c>
      <x:c r="L416" s="20" t="n">
        <x:v>1.3333333333333333</x:v>
      </x:c>
      <x:c r="M416" s="52" t="n">
        <x:v>0.5000000000000001</x:v>
      </x:c>
      <x:c r="N416" s="20" t="str">
        <x:v>Strong improvement</x:v>
      </x:c>
      <x:c r="O416" s="20" t="str">
        <x:v>Prototype retrieval heuristic; association is not proof of causality.</x:v>
      </x:c>
      <x:c r="P416" s="20" t="str">
        <x:v>YES</x:v>
      </x:c>
    </x:row>
    <x:row r="417">
      <x:c r="A417" s="20" t="str">
        <x:v>FND-008</x:v>
      </x:c>
      <x:c r="B417" s="20" t="str">
        <x:v>Nuevos donantes recurrentes — Perú</x:v>
      </x:c>
      <x:c r="C417" s="20" t="n">
        <x:v>8</x:v>
      </x:c>
      <x:c r="D417" s="20" t="str">
        <x:v>FND-014</x:v>
      </x:c>
      <x:c r="E417" s="20" t="str">
        <x:v>Nuevos donantes recurrentes EOS — Colombia</x:v>
      </x:c>
      <x:c r="F417" s="20" t="str">
        <x:v>Same strategic objective; Same department; Same BSC perspective</x:v>
      </x:c>
      <x:c r="G417" s="20" t="n">
        <x:v>87</x:v>
      </x:c>
      <x:c r="H417" s="20" t="str">
        <x:v>Procuración de Fondos</x:v>
      </x:c>
      <x:c r="I417" s="20" t="str">
        <x:v>Sostenibilidad financiera</x:v>
      </x:c>
      <x:c r="J417" s="20" t="str">
        <x:v>F2. Incrementar y retener donantes recurrentes</x:v>
      </x:c>
      <x:c r="K417" s="20" t="n">
        <x:v>2</x:v>
      </x:c>
      <x:c r="L417" s="20" t="n">
        <x:v>1.3333333333333333</x:v>
      </x:c>
      <x:c r="M417" s="52" t="n">
        <x:v>0.5000000000000001</x:v>
      </x:c>
      <x:c r="N417" s="20" t="str">
        <x:v>Strong improvement</x:v>
      </x:c>
      <x:c r="O417" s="20" t="str">
        <x:v>Prototype retrieval heuristic; association is not proof of causality.</x:v>
      </x:c>
      <x:c r="P417" s="20" t="str">
        <x:v>YES</x:v>
      </x:c>
    </x:row>
    <x:row r="418">
      <x:c r="A418" s="20" t="str">
        <x:v>FND-009</x:v>
      </x:c>
      <x:c r="B418" s="20" t="str">
        <x:v>Nuevos donantes recurrentes — Colombia</x:v>
      </x:c>
      <x:c r="C418" s="20" t="n">
        <x:v>1</x:v>
      </x:c>
      <x:c r="D418" s="20" t="str">
        <x:v>FND-006</x:v>
      </x:c>
      <x:c r="E418" s="20" t="str">
        <x:v>Nuevos donantes recurrentes — USA</x:v>
      </x:c>
      <x:c r="F418" s="20" t="str">
        <x:v>Same strategic objective; Same department; Same BSC perspective</x:v>
      </x:c>
      <x:c r="G418" s="20" t="n">
        <x:v>87</x:v>
      </x:c>
      <x:c r="H418" s="20" t="str">
        <x:v>Procuración de Fondos</x:v>
      </x:c>
      <x:c r="I418" s="20" t="str">
        <x:v>Sostenibilidad financiera</x:v>
      </x:c>
      <x:c r="J418" s="20" t="str">
        <x:v>F2. Incrementar y retener donantes recurrentes</x:v>
      </x:c>
      <x:c r="K418" s="20" t="n">
        <x:v>73</x:v>
      </x:c>
      <x:c r="L418" s="20" t="n">
        <x:v>62</x:v>
      </x:c>
      <x:c r="M418" s="52" t="n">
        <x:v>0.1774193548387097</x:v>
      </x:c>
      <x:c r="N418" s="20" t="str">
        <x:v>Strong improvement</x:v>
      </x:c>
      <x:c r="O418" s="20" t="str">
        <x:v>Prototype retrieval heuristic; association is not proof of causality.</x:v>
      </x:c>
      <x:c r="P418" s="20" t="str">
        <x:v>YES</x:v>
      </x:c>
    </x:row>
    <x:row r="419">
      <x:c r="A419" s="20" t="str">
        <x:v>FND-009</x:v>
      </x:c>
      <x:c r="B419" s="20" t="str">
        <x:v>Nuevos donantes recurrentes — Colombia</x:v>
      </x:c>
      <x:c r="C419" s="20" t="n">
        <x:v>2</x:v>
      </x:c>
      <x:c r="D419" s="20" t="str">
        <x:v>FND-007</x:v>
      </x:c>
      <x:c r="E419" s="20" t="str">
        <x:v>Nuevos donantes recurrentes — México</x:v>
      </x:c>
      <x:c r="F419" s="20" t="str">
        <x:v>Same strategic objective; Same department; Same BSC perspective</x:v>
      </x:c>
      <x:c r="G419" s="20" t="n">
        <x:v>87</x:v>
      </x:c>
      <x:c r="H419" s="20" t="str">
        <x:v>Procuración de Fondos</x:v>
      </x:c>
      <x:c r="I419" s="20" t="str">
        <x:v>Sostenibilidad financiera</x:v>
      </x:c>
      <x:c r="J419" s="20" t="str">
        <x:v>F2. Incrementar y retener donantes recurrentes</x:v>
      </x:c>
      <x:c r="K419" s="20" t="n">
        <x:v>15</x:v>
      </x:c>
      <x:c r="L419" s="20" t="n">
        <x:v>12</x:v>
      </x:c>
      <x:c r="M419" s="52" t="n">
        <x:v>0.25</x:v>
      </x:c>
      <x:c r="N419" s="20" t="str">
        <x:v>Strong improvement</x:v>
      </x:c>
      <x:c r="O419" s="20" t="str">
        <x:v>Prototype retrieval heuristic; association is not proof of causality.</x:v>
      </x:c>
      <x:c r="P419" s="20" t="str">
        <x:v>YES</x:v>
      </x:c>
    </x:row>
    <x:row r="420">
      <x:c r="A420" s="20" t="str">
        <x:v>FND-009</x:v>
      </x:c>
      <x:c r="B420" s="20" t="str">
        <x:v>Nuevos donantes recurrentes — Colombia</x:v>
      </x:c>
      <x:c r="C420" s="20" t="n">
        <x:v>3</x:v>
      </x:c>
      <x:c r="D420" s="20" t="str">
        <x:v>FND-008</x:v>
      </x:c>
      <x:c r="E420" s="20" t="str">
        <x:v>Nuevos donantes recurrentes — Perú</x:v>
      </x:c>
      <x:c r="F420" s="20" t="str">
        <x:v>Same strategic objective; Same department; Same BSC perspective</x:v>
      </x:c>
      <x:c r="G420" s="20" t="n">
        <x:v>87</x:v>
      </x:c>
      <x:c r="H420" s="20" t="str">
        <x:v>Procuración de Fondos</x:v>
      </x:c>
      <x:c r="I420" s="20" t="str">
        <x:v>Sostenibilidad financiera</x:v>
      </x:c>
      <x:c r="J420" s="20" t="str">
        <x:v>F2. Incrementar y retener donantes recurrentes</x:v>
      </x:c>
      <x:c r="K420" s="20" t="n">
        <x:v>8</x:v>
      </x:c>
      <x:c r="L420" s="20" t="n">
        <x:v>5.666666666666667</x:v>
      </x:c>
      <x:c r="M420" s="52" t="n">
        <x:v>0.41176470588235287</x:v>
      </x:c>
      <x:c r="N420" s="20" t="str">
        <x:v>Strong improvement</x:v>
      </x:c>
      <x:c r="O420" s="20" t="str">
        <x:v>Prototype retrieval heuristic; association is not proof of causality.</x:v>
      </x:c>
      <x:c r="P420" s="20" t="str">
        <x:v>YES</x:v>
      </x:c>
    </x:row>
    <x:row r="421">
      <x:c r="A421" s="20" t="str">
        <x:v>FND-009</x:v>
      </x:c>
      <x:c r="B421" s="20" t="str">
        <x:v>Nuevos donantes recurrentes — Colombia</x:v>
      </x:c>
      <x:c r="C421" s="20" t="n">
        <x:v>4</x:v>
      </x:c>
      <x:c r="D421" s="20" t="str">
        <x:v>REC-M02</x:v>
      </x:c>
      <x:c r="E421" s="20" t="str">
        <x:v>Costo de adquisición de nuevo donante</x:v>
      </x:c>
      <x:c r="F421" s="20" t="str">
        <x:v>Strategic-map adjacent objective</x:v>
      </x:c>
      <x:c r="G421" s="20" t="n">
        <x:v>42</x:v>
      </x:c>
      <x:c r="H421" s="20" t="str">
        <x:v>Marketing y Comunicación</x:v>
      </x:c>
      <x:c r="I421" s="20" t="str">
        <x:v>Procesos internos</x:v>
      </x:c>
      <x:c r="J421" s="20" t="str">
        <x:v>P3. Integrar Marketing + Procuración</x:v>
      </x:c>
      <x:c r="K421" s="20" t="n">
        <x:v>760</x:v>
      </x:c>
      <x:c r="L421" s="20" t="n">
        <x:v>896.6666666666666</x:v>
      </x:c>
      <x:c r="M421" s="52" t="n">
        <x:v>0.15241635687732338</x:v>
      </x:c>
      <x:c r="N421" s="20" t="str">
        <x:v>Strong improvement</x:v>
      </x:c>
      <x:c r="O421" s="20" t="str">
        <x:v>Prototype retrieval heuristic; association is not proof of causality.</x:v>
      </x:c>
      <x:c r="P421" s="20" t="str">
        <x:v>YES</x:v>
      </x:c>
    </x:row>
    <x:row r="422">
      <x:c r="A422" s="20" t="str">
        <x:v>FND-009</x:v>
      </x:c>
      <x:c r="B422" s="20" t="str">
        <x:v>Nuevos donantes recurrentes — Colombia</x:v>
      </x:c>
      <x:c r="C422" s="20" t="n">
        <x:v>5</x:v>
      </x:c>
      <x:c r="D422" s="20" t="str">
        <x:v>REC-P03</x:v>
      </x:c>
      <x:c r="E422" s="20" t="str">
        <x:v>Conversión de campaña a nuevo donante</x:v>
      </x:c>
      <x:c r="F422" s="20" t="str">
        <x:v>Strategic-map adjacent objective</x:v>
      </x:c>
      <x:c r="G422" s="20" t="n">
        <x:v>42</x:v>
      </x:c>
      <x:c r="H422" s="20" t="str">
        <x:v>Marketing + Procuración de Fondos</x:v>
      </x:c>
      <x:c r="I422" s="20" t="str">
        <x:v>Procesos internos</x:v>
      </x:c>
      <x:c r="J422" s="20" t="str">
        <x:v>P3. Integrar Marketing + Procuración</x:v>
      </x:c>
      <x:c r="K422" s="20" t="n">
        <x:v>100</x:v>
      </x:c>
      <x:c r="L422" s="20" t="n">
        <x:v>2015.0147157960507</x:v>
      </x:c>
      <x:c r="M422" s="52" t="n">
        <x:v>-0.9503725708720226</x:v>
      </x:c>
      <x:c r="N422" s="20" t="str">
        <x:v>Deteriorating</x:v>
      </x:c>
      <x:c r="O422" s="20" t="str">
        <x:v>Prototype retrieval heuristic; association is not proof of causality.</x:v>
      </x:c>
      <x:c r="P422" s="20" t="str">
        <x:v>YES</x:v>
      </x:c>
    </x:row>
    <x:row r="423">
      <x:c r="A423" s="20" t="str">
        <x:v>FND-009</x:v>
      </x:c>
      <x:c r="B423" s="20" t="str">
        <x:v>Nuevos donantes recurrentes — Colombia</x:v>
      </x:c>
      <x:c r="C423" s="20" t="n">
        <x:v>6</x:v>
      </x:c>
      <x:c r="D423" s="20" t="str">
        <x:v>FND-011</x:v>
      </x:c>
      <x:c r="E423" s="20" t="str">
        <x:v>Conversión de voluntarios staff a donantes recurrentes</x:v>
      </x:c>
      <x:c r="F423" s="20" t="str">
        <x:v>Same strategic objective; Same department; Same BSC perspective</x:v>
      </x:c>
      <x:c r="G423" s="20" t="n">
        <x:v>87</x:v>
      </x:c>
      <x:c r="H423" s="20" t="str">
        <x:v>Procuración de Fondos</x:v>
      </x:c>
      <x:c r="I423" s="20" t="str">
        <x:v>Sostenibilidad financiera</x:v>
      </x:c>
      <x:c r="J423" s="20" t="str">
        <x:v>F2. Incrementar y retener donantes recurrentes</x:v>
      </x:c>
      <x:c r="K423" s="20" t="n">
        <x:v>4</x:v>
      </x:c>
      <x:c r="L423" s="20" t="n">
        <x:v>3.232770826368222</x:v>
      </x:c>
      <x:c r="M423" s="52" t="n">
        <x:v>0.23732866164648694</x:v>
      </x:c>
      <x:c r="N423" s="20" t="str">
        <x:v>Strong improvement</x:v>
      </x:c>
      <x:c r="O423" s="20" t="str">
        <x:v>Prototype retrieval heuristic; association is not proof of causality.</x:v>
      </x:c>
      <x:c r="P423" s="20" t="str">
        <x:v>YES</x:v>
      </x:c>
    </x:row>
    <x:row r="424">
      <x:c r="A424" s="20" t="str">
        <x:v>FND-009</x:v>
      </x:c>
      <x:c r="B424" s="20" t="str">
        <x:v>Nuevos donantes recurrentes — Colombia</x:v>
      </x:c>
      <x:c r="C424" s="20" t="n">
        <x:v>7</x:v>
      </x:c>
      <x:c r="D424" s="20" t="str">
        <x:v>FND-013</x:v>
      </x:c>
      <x:c r="E424" s="20" t="str">
        <x:v>Nuevos donantes recurrentes EOS — Perú</x:v>
      </x:c>
      <x:c r="F424" s="20" t="str">
        <x:v>Same strategic objective; Same department; Same BSC perspective</x:v>
      </x:c>
      <x:c r="G424" s="20" t="n">
        <x:v>87</x:v>
      </x:c>
      <x:c r="H424" s="20" t="str">
        <x:v>Procuración de Fondos</x:v>
      </x:c>
      <x:c r="I424" s="20" t="str">
        <x:v>Sostenibilidad financiera</x:v>
      </x:c>
      <x:c r="J424" s="20" t="str">
        <x:v>F2. Incrementar y retener donantes recurrentes</x:v>
      </x:c>
      <x:c r="K424" s="20" t="n">
        <x:v>2</x:v>
      </x:c>
      <x:c r="L424" s="20" t="n">
        <x:v>1.3333333333333333</x:v>
      </x:c>
      <x:c r="M424" s="52" t="n">
        <x:v>0.5000000000000001</x:v>
      </x:c>
      <x:c r="N424" s="20" t="str">
        <x:v>Strong improvement</x:v>
      </x:c>
      <x:c r="O424" s="20" t="str">
        <x:v>Prototype retrieval heuristic; association is not proof of causality.</x:v>
      </x:c>
      <x:c r="P424" s="20" t="str">
        <x:v>YES</x:v>
      </x:c>
    </x:row>
    <x:row r="425">
      <x:c r="A425" s="20" t="str">
        <x:v>FND-009</x:v>
      </x:c>
      <x:c r="B425" s="20" t="str">
        <x:v>Nuevos donantes recurrentes — Colombia</x:v>
      </x:c>
      <x:c r="C425" s="20" t="n">
        <x:v>8</x:v>
      </x:c>
      <x:c r="D425" s="20" t="str">
        <x:v>FND-014</x:v>
      </x:c>
      <x:c r="E425" s="20" t="str">
        <x:v>Nuevos donantes recurrentes EOS — Colombia</x:v>
      </x:c>
      <x:c r="F425" s="20" t="str">
        <x:v>Same strategic objective; Same department; Same BSC perspective</x:v>
      </x:c>
      <x:c r="G425" s="20" t="n">
        <x:v>87</x:v>
      </x:c>
      <x:c r="H425" s="20" t="str">
        <x:v>Procuración de Fondos</x:v>
      </x:c>
      <x:c r="I425" s="20" t="str">
        <x:v>Sostenibilidad financiera</x:v>
      </x:c>
      <x:c r="J425" s="20" t="str">
        <x:v>F2. Incrementar y retener donantes recurrentes</x:v>
      </x:c>
      <x:c r="K425" s="20" t="n">
        <x:v>2</x:v>
      </x:c>
      <x:c r="L425" s="20" t="n">
        <x:v>1.3333333333333333</x:v>
      </x:c>
      <x:c r="M425" s="52" t="n">
        <x:v>0.5000000000000001</x:v>
      </x:c>
      <x:c r="N425" s="20" t="str">
        <x:v>Strong improvement</x:v>
      </x:c>
      <x:c r="O425" s="20" t="str">
        <x:v>Prototype retrieval heuristic; association is not proof of causality.</x:v>
      </x:c>
      <x:c r="P425" s="20" t="str">
        <x:v>YES</x:v>
      </x:c>
    </x:row>
    <x:row r="426">
      <x:c r="A426" s="20" t="str">
        <x:v>FND-010</x:v>
      </x:c>
      <x:c r="B426" s="20" t="str">
        <x:v>Participación de staff en voluntariado corporativo</x:v>
      </x:c>
      <x:c r="C426" s="20" t="n">
        <x:v>1</x:v>
      </x:c>
      <x:c r="D426" s="20" t="str">
        <x:v>FND-012</x:v>
      </x:c>
      <x:c r="E426" s="20" t="str">
        <x:v>Participación de empresarios EOS en voluntariado</x:v>
      </x:c>
      <x:c r="F426" s="20" t="str">
        <x:v>Same strategic objective; Same department; Same BSC perspective</x:v>
      </x:c>
      <x:c r="G426" s="20" t="n">
        <x:v>87</x:v>
      </x:c>
      <x:c r="H426" s="20" t="str">
        <x:v>Procuración de Fondos</x:v>
      </x:c>
      <x:c r="I426" s="20" t="str">
        <x:v>Beneficiarios y grupos de interés</x:v>
      </x:c>
      <x:c r="J426" s="20" t="str">
        <x:v>C4. Fortalecer relación con donantes, aliados y comunidades</x:v>
      </x:c>
      <x:c r="K426" s="20" t="n">
        <x:v>15</x:v>
      </x:c>
      <x:c r="L426" s="20" t="n">
        <x:v>12</x:v>
      </x:c>
      <x:c r="M426" s="52" t="n">
        <x:v>0.25</x:v>
      </x:c>
      <x:c r="N426" s="20" t="str">
        <x:v>Strong improvement</x:v>
      </x:c>
      <x:c r="O426" s="20" t="str">
        <x:v>Prototype retrieval heuristic; association is not proof of causality.</x:v>
      </x:c>
      <x:c r="P426" s="20" t="str">
        <x:v>YES</x:v>
      </x:c>
    </x:row>
    <x:row r="427">
      <x:c r="A427" s="20" t="str">
        <x:v>FND-010</x:v>
      </x:c>
      <x:c r="B427" s="20" t="str">
        <x:v>Participación de staff en voluntariado corporativo</x:v>
      </x:c>
      <x:c r="C427" s="20" t="n">
        <x:v>2</x:v>
      </x:c>
      <x:c r="D427" s="20" t="str">
        <x:v>REC-C04</x:v>
      </x:c>
      <x:c r="E427" s="20" t="str">
        <x:v>Retención de aliados estratégicos activos</x:v>
      </x:c>
      <x:c r="F427" s="20" t="str">
        <x:v>Same strategic objective; Same department; Same BSC perspective</x:v>
      </x:c>
      <x:c r="G427" s="20" t="n">
        <x:v>85</x:v>
      </x:c>
      <x:c r="H427" s="20" t="str">
        <x:v>Procuración de Fondos</x:v>
      </x:c>
      <x:c r="I427" s="20" t="str">
        <x:v>Beneficiarios y grupos de interés</x:v>
      </x:c>
      <x:c r="J427" s="20" t="str">
        <x:v>C4. Fortalecer relación con donantes, aliados y comunidades</x:v>
      </x:c>
      <x:c r="K427" s="20" t="n">
        <x:v>88</x:v>
      </x:c>
      <x:c r="L427" s="20" t="n">
        <x:v>74.36951894423159</x:v>
      </x:c>
      <x:c r="M427" s="52" t="n">
        <x:v>0.18328047900901007</x:v>
      </x:c>
      <x:c r="N427" s="20" t="str">
        <x:v>Strong improvement</x:v>
      </x:c>
      <x:c r="O427" s="20" t="str">
        <x:v>Prototype retrieval heuristic; association is not proof of causality.</x:v>
      </x:c>
      <x:c r="P427" s="20" t="str">
        <x:v>YES</x:v>
      </x:c>
    </x:row>
    <x:row r="428">
      <x:c r="A428" s="20" t="str">
        <x:v>FND-010</x:v>
      </x:c>
      <x:c r="B428" s="20" t="str">
        <x:v>Participación de staff en voluntariado corporativo</x:v>
      </x:c>
      <x:c r="C428" s="20" t="n">
        <x:v>3</x:v>
      </x:c>
      <x:c r="D428" s="20" t="str">
        <x:v>MKT-007</x:v>
      </x:c>
      <x:c r="E428" s="20" t="str">
        <x:v>Embajadores Omnilife activos en campaña de nutrición</x:v>
      </x:c>
      <x:c r="F428" s="20" t="str">
        <x:v>Same strategic objective; Same BSC perspective</x:v>
      </x:c>
      <x:c r="G428" s="20" t="n">
        <x:v>62</x:v>
      </x:c>
      <x:c r="H428" s="20" t="str">
        <x:v>Marketing y Comunicación</x:v>
      </x:c>
      <x:c r="I428" s="20" t="str">
        <x:v>Beneficiarios y grupos de interés</x:v>
      </x:c>
      <x:c r="J428" s="20" t="str">
        <x:v>C4. Fortalecer relación con donantes, aliados y comunidades</x:v>
      </x:c>
      <x:c r="K428" s="20" t="n">
        <x:v>100</x:v>
      </x:c>
      <x:c r="L428" s="20" t="n">
        <x:v>88.71031746031747</x:v>
      </x:c>
      <x:c r="M428" s="52" t="n">
        <x:v>0.12726459405054785</x:v>
      </x:c>
      <x:c r="N428" s="20" t="str">
        <x:v>Strong improvement</x:v>
      </x:c>
      <x:c r="O428" s="20" t="str">
        <x:v>Prototype retrieval heuristic; association is not proof of causality.</x:v>
      </x:c>
      <x:c r="P428" s="20" t="str">
        <x:v>YES</x:v>
      </x:c>
    </x:row>
    <x:row r="429">
      <x:c r="A429" s="20" t="str">
        <x:v>FND-010</x:v>
      </x:c>
      <x:c r="B429" s="20" t="str">
        <x:v>Participación de staff en voluntariado corporativo</x:v>
      </x:c>
      <x:c r="C429" s="20" t="n">
        <x:v>4</x:v>
      </x:c>
      <x:c r="D429" s="20" t="str">
        <x:v>FND-016</x:v>
      </x:c>
      <x:c r="E429" s="20" t="str">
        <x:v>Nuevas alianzas estratégicas activas por país</x:v>
      </x:c>
      <x:c r="F429" s="20" t="str">
        <x:v>Strategic-map adjacent objective; Same department</x:v>
      </x:c>
      <x:c r="G429" s="20" t="n">
        <x:v>67</x:v>
      </x:c>
      <x:c r="H429" s="20" t="str">
        <x:v>Procuración de Fondos</x:v>
      </x:c>
      <x:c r="I429" s="20" t="str">
        <x:v>Procesos internos</x:v>
      </x:c>
      <x:c r="J429" s="20" t="str">
        <x:v>P6. Construir ecosistema de alianzas</x:v>
      </x:c>
      <x:c r="K429" s="20" t="n">
        <x:v>4</x:v>
      </x:c>
      <x:c r="L429" s="20" t="n">
        <x:v>2.6666666666666665</x:v>
      </x:c>
      <x:c r="M429" s="52" t="n">
        <x:v>0.5000000000000001</x:v>
      </x:c>
      <x:c r="N429" s="20" t="str">
        <x:v>Strong improvement</x:v>
      </x:c>
      <x:c r="O429" s="20" t="str">
        <x:v>Prototype retrieval heuristic; association is not proof of causality.</x:v>
      </x:c>
      <x:c r="P429" s="20" t="str">
        <x:v>YES</x:v>
      </x:c>
    </x:row>
    <x:row r="430">
      <x:c r="A430" s="20" t="str">
        <x:v>FND-010</x:v>
      </x:c>
      <x:c r="B430" s="20" t="str">
        <x:v>Participación de staff en voluntariado corporativo</x:v>
      </x:c>
      <x:c r="C430" s="20" t="n">
        <x:v>5</x:v>
      </x:c>
      <x:c r="D430" s="20" t="str">
        <x:v>REC-P07</x:v>
      </x:c>
      <x:c r="E430" s="20" t="str">
        <x:v>Conversión de alianzas estratégicas a recursos o capacidad programática</x:v>
      </x:c>
      <x:c r="F430" s="20" t="str">
        <x:v>Strategic-map adjacent objective; Same department</x:v>
      </x:c>
      <x:c r="G430" s="20" t="n">
        <x:v>65</x:v>
      </x:c>
      <x:c r="H430" s="20" t="str">
        <x:v>Procuración de Fondos</x:v>
      </x:c>
      <x:c r="I430" s="20" t="str">
        <x:v>Procesos internos</x:v>
      </x:c>
      <x:c r="J430" s="20" t="str">
        <x:v>P6. Construir ecosistema de alianzas</x:v>
      </x:c>
      <x:c r="K430" s="20" t="n">
        <x:v>72</x:v>
      </x:c>
      <x:c r="L430" s="20" t="n">
        <x:v>61.16347381864623</x:v>
      </x:c>
      <x:c r="M430" s="52" t="n">
        <x:v>0.17717316406005307</x:v>
      </x:c>
      <x:c r="N430" s="20" t="str">
        <x:v>Strong improvement</x:v>
      </x:c>
      <x:c r="O430" s="20" t="str">
        <x:v>Prototype retrieval heuristic; association is not proof of causality.</x:v>
      </x:c>
      <x:c r="P430" s="20" t="str">
        <x:v>YES</x:v>
      </x:c>
    </x:row>
    <x:row r="431">
      <x:c r="A431" s="20" t="str">
        <x:v>FND-010</x:v>
      </x:c>
      <x:c r="B431" s="20" t="str">
        <x:v>Participación de staff en voluntariado corporativo</x:v>
      </x:c>
      <x:c r="C431" s="20" t="n">
        <x:v>6</x:v>
      </x:c>
      <x:c r="D431" s="20" t="str">
        <x:v>FND-001</x:v>
      </x:c>
      <x:c r="E431" s="20" t="str">
        <x:v>Fondos recaudados — Tu Donativo x2 (Chivas)</x:v>
      </x:c>
      <x:c r="F431" s="20" t="str">
        <x:v>Same department</x:v>
      </x:c>
      <x:c r="G431" s="20" t="n">
        <x:v>25</x:v>
      </x:c>
      <x:c r="H431" s="20" t="str">
        <x:v>Procuración de Fondos</x:v>
      </x:c>
      <x:c r="I431" s="20" t="str">
        <x:v>Sostenibilidad financiera</x:v>
      </x:c>
      <x:c r="J431" s="20" t="str">
        <x:v>F1. Diversificar y aumentar fuentes</x:v>
      </x:c>
      <x:c r="K431" s="20" t="n">
        <x:v>40800</x:v>
      </x:c>
      <x:c r="L431" s="20" t="n">
        <x:v>31333.333333333332</x:v>
      </x:c>
      <x:c r="M431" s="52" t="n">
        <x:v>0.30212765957446813</x:v>
      </x:c>
      <x:c r="N431" s="20" t="str">
        <x:v>Strong improvement</x:v>
      </x:c>
      <x:c r="O431" s="20" t="str">
        <x:v>Prototype retrieval heuristic; association is not proof of causality.</x:v>
      </x:c>
      <x:c r="P431" s="20" t="str">
        <x:v>YES</x:v>
      </x:c>
    </x:row>
    <x:row r="432">
      <x:c r="A432" s="20" t="str">
        <x:v>FND-010</x:v>
      </x:c>
      <x:c r="B432" s="20" t="str">
        <x:v>Participación de staff en voluntariado corporativo</x:v>
      </x:c>
      <x:c r="C432" s="20" t="n">
        <x:v>7</x:v>
      </x:c>
      <x:c r="D432" s="20" t="str">
        <x:v>FND-002</x:v>
      </x:c>
      <x:c r="E432" s="20" t="str">
        <x:v>Fondos recaudados — ¿Cuánto vale una sonrisa? México</x:v>
      </x:c>
      <x:c r="F432" s="20" t="str">
        <x:v>Same department</x:v>
      </x:c>
      <x:c r="G432" s="20" t="n">
        <x:v>25</x:v>
      </x:c>
      <x:c r="H432" s="20" t="str">
        <x:v>Procuración de Fondos</x:v>
      </x:c>
      <x:c r="I432" s="20" t="str">
        <x:v>Sostenibilidad financiera</x:v>
      </x:c>
      <x:c r="J432" s="20" t="str">
        <x:v>F1. Diversificar y aumentar fuentes</x:v>
      </x:c>
      <x:c r="K432" s="20" t="n">
        <x:v>100</x:v>
      </x:c>
      <x:c r="L432" s="20" t="n">
        <x:v>359989</x:v>
      </x:c>
      <x:c r="M432" s="52" t="n">
        <x:v>-0.9997222137343086</x:v>
      </x:c>
      <x:c r="N432" s="20" t="str">
        <x:v>Deteriorating</x:v>
      </x:c>
      <x:c r="O432" s="20" t="str">
        <x:v>Prototype retrieval heuristic; association is not proof of causality.</x:v>
      </x:c>
      <x:c r="P432" s="20" t="str">
        <x:v>YES</x:v>
      </x:c>
    </x:row>
    <x:row r="433">
      <x:c r="A433" s="20" t="str">
        <x:v>FND-010</x:v>
      </x:c>
      <x:c r="B433" s="20" t="str">
        <x:v>Participación de staff en voluntariado corporativo</x:v>
      </x:c>
      <x:c r="C433" s="20" t="n">
        <x:v>8</x:v>
      </x:c>
      <x:c r="D433" s="20" t="str">
        <x:v>ADM-006</x:v>
      </x:c>
      <x:c r="E433" s="20" t="str">
        <x:v>Informes regulatorios presentados en tiempo y forma</x:v>
      </x:c>
      <x:c r="F433" s="20" t="str">
        <x:v>Same BSC perspective</x:v>
      </x:c>
      <x:c r="G433" s="20" t="n">
        <x:v>12</x:v>
      </x:c>
      <x:c r="H433" s="20" t="str">
        <x:v>Administración</x:v>
      </x:c>
      <x:c r="I433" s="20" t="str">
        <x:v>Beneficiarios y grupos de interés</x:v>
      </x:c>
      <x:c r="J433" s="20" t="str">
        <x:v>C3. Fortalecer confianza y credibilidad institucional</x:v>
      </x:c>
      <x:c r="K433" s="20" t="n">
        <x:v>100</x:v>
      </x:c>
      <x:c r="L433" s="20" t="n">
        <x:v>88.9514687100894</x:v>
      </x:c>
      <x:c r="M433" s="52" t="n">
        <x:v>0.12420853135005526</x:v>
      </x:c>
      <x:c r="N433" s="20" t="str">
        <x:v>Strong improvement</x:v>
      </x:c>
      <x:c r="O433" s="20" t="str">
        <x:v>Prototype retrieval heuristic; association is not proof of causality.</x:v>
      </x:c>
      <x:c r="P433" s="20" t="str">
        <x:v>YES</x:v>
      </x:c>
    </x:row>
    <x:row r="434">
      <x:c r="A434" s="20" t="str">
        <x:v>FND-011</x:v>
      </x:c>
      <x:c r="B434" s="20" t="str">
        <x:v>Conversión de voluntarios staff a donantes recurrentes</x:v>
      </x:c>
      <x:c r="C434" s="20" t="n">
        <x:v>1</x:v>
      </x:c>
      <x:c r="D434" s="20" t="str">
        <x:v>FND-006</x:v>
      </x:c>
      <x:c r="E434" s="20" t="str">
        <x:v>Nuevos donantes recurrentes — USA</x:v>
      </x:c>
      <x:c r="F434" s="20" t="str">
        <x:v>Same strategic objective; Same department; Same BSC perspective</x:v>
      </x:c>
      <x:c r="G434" s="20" t="n">
        <x:v>87</x:v>
      </x:c>
      <x:c r="H434" s="20" t="str">
        <x:v>Procuración de Fondos</x:v>
      </x:c>
      <x:c r="I434" s="20" t="str">
        <x:v>Sostenibilidad financiera</x:v>
      </x:c>
      <x:c r="J434" s="20" t="str">
        <x:v>F2. Incrementar y retener donantes recurrentes</x:v>
      </x:c>
      <x:c r="K434" s="20" t="n">
        <x:v>73</x:v>
      </x:c>
      <x:c r="L434" s="20" t="n">
        <x:v>62</x:v>
      </x:c>
      <x:c r="M434" s="52" t="n">
        <x:v>0.1774193548387097</x:v>
      </x:c>
      <x:c r="N434" s="20" t="str">
        <x:v>Strong improvement</x:v>
      </x:c>
      <x:c r="O434" s="20" t="str">
        <x:v>Prototype retrieval heuristic; association is not proof of causality.</x:v>
      </x:c>
      <x:c r="P434" s="20" t="str">
        <x:v>YES</x:v>
      </x:c>
    </x:row>
    <x:row r="435">
      <x:c r="A435" s="20" t="str">
        <x:v>FND-011</x:v>
      </x:c>
      <x:c r="B435" s="20" t="str">
        <x:v>Conversión de voluntarios staff a donantes recurrentes</x:v>
      </x:c>
      <x:c r="C435" s="20" t="n">
        <x:v>2</x:v>
      </x:c>
      <x:c r="D435" s="20" t="str">
        <x:v>FND-007</x:v>
      </x:c>
      <x:c r="E435" s="20" t="str">
        <x:v>Nuevos donantes recurrentes — México</x:v>
      </x:c>
      <x:c r="F435" s="20" t="str">
        <x:v>Same strategic objective; Same department; Same BSC perspective</x:v>
      </x:c>
      <x:c r="G435" s="20" t="n">
        <x:v>87</x:v>
      </x:c>
      <x:c r="H435" s="20" t="str">
        <x:v>Procuración de Fondos</x:v>
      </x:c>
      <x:c r="I435" s="20" t="str">
        <x:v>Sostenibilidad financiera</x:v>
      </x:c>
      <x:c r="J435" s="20" t="str">
        <x:v>F2. Incrementar y retener donantes recurrentes</x:v>
      </x:c>
      <x:c r="K435" s="20" t="n">
        <x:v>15</x:v>
      </x:c>
      <x:c r="L435" s="20" t="n">
        <x:v>12</x:v>
      </x:c>
      <x:c r="M435" s="52" t="n">
        <x:v>0.25</x:v>
      </x:c>
      <x:c r="N435" s="20" t="str">
        <x:v>Strong improvement</x:v>
      </x:c>
      <x:c r="O435" s="20" t="str">
        <x:v>Prototype retrieval heuristic; association is not proof of causality.</x:v>
      </x:c>
      <x:c r="P435" s="20" t="str">
        <x:v>YES</x:v>
      </x:c>
    </x:row>
    <x:row r="436">
      <x:c r="A436" s="20" t="str">
        <x:v>FND-011</x:v>
      </x:c>
      <x:c r="B436" s="20" t="str">
        <x:v>Conversión de voluntarios staff a donantes recurrentes</x:v>
      </x:c>
      <x:c r="C436" s="20" t="n">
        <x:v>3</x:v>
      </x:c>
      <x:c r="D436" s="20" t="str">
        <x:v>FND-008</x:v>
      </x:c>
      <x:c r="E436" s="20" t="str">
        <x:v>Nuevos donantes recurrentes — Perú</x:v>
      </x:c>
      <x:c r="F436" s="20" t="str">
        <x:v>Same strategic objective; Same department; Same BSC perspective</x:v>
      </x:c>
      <x:c r="G436" s="20" t="n">
        <x:v>87</x:v>
      </x:c>
      <x:c r="H436" s="20" t="str">
        <x:v>Procuración de Fondos</x:v>
      </x:c>
      <x:c r="I436" s="20" t="str">
        <x:v>Sostenibilidad financiera</x:v>
      </x:c>
      <x:c r="J436" s="20" t="str">
        <x:v>F2. Incrementar y retener donantes recurrentes</x:v>
      </x:c>
      <x:c r="K436" s="20" t="n">
        <x:v>8</x:v>
      </x:c>
      <x:c r="L436" s="20" t="n">
        <x:v>5.666666666666667</x:v>
      </x:c>
      <x:c r="M436" s="52" t="n">
        <x:v>0.41176470588235287</x:v>
      </x:c>
      <x:c r="N436" s="20" t="str">
        <x:v>Strong improvement</x:v>
      </x:c>
      <x:c r="O436" s="20" t="str">
        <x:v>Prototype retrieval heuristic; association is not proof of causality.</x:v>
      </x:c>
      <x:c r="P436" s="20" t="str">
        <x:v>YES</x:v>
      </x:c>
    </x:row>
    <x:row r="437">
      <x:c r="A437" s="20" t="str">
        <x:v>FND-011</x:v>
      </x:c>
      <x:c r="B437" s="20" t="str">
        <x:v>Conversión de voluntarios staff a donantes recurrentes</x:v>
      </x:c>
      <x:c r="C437" s="20" t="n">
        <x:v>4</x:v>
      </x:c>
      <x:c r="D437" s="20" t="str">
        <x:v>REC-M02</x:v>
      </x:c>
      <x:c r="E437" s="20" t="str">
        <x:v>Costo de adquisición de nuevo donante</x:v>
      </x:c>
      <x:c r="F437" s="20" t="str">
        <x:v>Strategic-map adjacent objective</x:v>
      </x:c>
      <x:c r="G437" s="20" t="n">
        <x:v>42</x:v>
      </x:c>
      <x:c r="H437" s="20" t="str">
        <x:v>Marketing y Comunicación</x:v>
      </x:c>
      <x:c r="I437" s="20" t="str">
        <x:v>Procesos internos</x:v>
      </x:c>
      <x:c r="J437" s="20" t="str">
        <x:v>P3. Integrar Marketing + Procuración</x:v>
      </x:c>
      <x:c r="K437" s="20" t="n">
        <x:v>760</x:v>
      </x:c>
      <x:c r="L437" s="20" t="n">
        <x:v>896.6666666666666</x:v>
      </x:c>
      <x:c r="M437" s="52" t="n">
        <x:v>0.15241635687732338</x:v>
      </x:c>
      <x:c r="N437" s="20" t="str">
        <x:v>Strong improvement</x:v>
      </x:c>
      <x:c r="O437" s="20" t="str">
        <x:v>Prototype retrieval heuristic; association is not proof of causality.</x:v>
      </x:c>
      <x:c r="P437" s="20" t="str">
        <x:v>YES</x:v>
      </x:c>
    </x:row>
    <x:row r="438">
      <x:c r="A438" s="20" t="str">
        <x:v>FND-011</x:v>
      </x:c>
      <x:c r="B438" s="20" t="str">
        <x:v>Conversión de voluntarios staff a donantes recurrentes</x:v>
      </x:c>
      <x:c r="C438" s="20" t="n">
        <x:v>5</x:v>
      </x:c>
      <x:c r="D438" s="20" t="str">
        <x:v>REC-P03</x:v>
      </x:c>
      <x:c r="E438" s="20" t="str">
        <x:v>Conversión de campaña a nuevo donante</x:v>
      </x:c>
      <x:c r="F438" s="20" t="str">
        <x:v>Strategic-map adjacent objective</x:v>
      </x:c>
      <x:c r="G438" s="20" t="n">
        <x:v>42</x:v>
      </x:c>
      <x:c r="H438" s="20" t="str">
        <x:v>Marketing + Procuración de Fondos</x:v>
      </x:c>
      <x:c r="I438" s="20" t="str">
        <x:v>Procesos internos</x:v>
      </x:c>
      <x:c r="J438" s="20" t="str">
        <x:v>P3. Integrar Marketing + Procuración</x:v>
      </x:c>
      <x:c r="K438" s="20" t="n">
        <x:v>100</x:v>
      </x:c>
      <x:c r="L438" s="20" t="n">
        <x:v>2015.0147157960507</x:v>
      </x:c>
      <x:c r="M438" s="52" t="n">
        <x:v>-0.9503725708720226</x:v>
      </x:c>
      <x:c r="N438" s="20" t="str">
        <x:v>Deteriorating</x:v>
      </x:c>
      <x:c r="O438" s="20" t="str">
        <x:v>Prototype retrieval heuristic; association is not proof of causality.</x:v>
      </x:c>
      <x:c r="P438" s="20" t="str">
        <x:v>YES</x:v>
      </x:c>
    </x:row>
    <x:row r="439">
      <x:c r="A439" s="20" t="str">
        <x:v>FND-011</x:v>
      </x:c>
      <x:c r="B439" s="20" t="str">
        <x:v>Conversión de voluntarios staff a donantes recurrentes</x:v>
      </x:c>
      <x:c r="C439" s="20" t="n">
        <x:v>6</x:v>
      </x:c>
      <x:c r="D439" s="20" t="str">
        <x:v>FND-009</x:v>
      </x:c>
      <x:c r="E439" s="20" t="str">
        <x:v>Nuevos donantes recurrentes — Colombia</x:v>
      </x:c>
      <x:c r="F439" s="20" t="str">
        <x:v>Same strategic objective; Same department; Same BSC perspective</x:v>
      </x:c>
      <x:c r="G439" s="20" t="n">
        <x:v>87</x:v>
      </x:c>
      <x:c r="H439" s="20" t="str">
        <x:v>Procuración de Fondos</x:v>
      </x:c>
      <x:c r="I439" s="20" t="str">
        <x:v>Sostenibilidad financiera</x:v>
      </x:c>
      <x:c r="J439" s="20" t="str">
        <x:v>F2. Incrementar y retener donantes recurrentes</x:v>
      </x:c>
      <x:c r="K439" s="20" t="n">
        <x:v>5</x:v>
      </x:c>
      <x:c r="L439" s="20" t="n">
        <x:v>3.3333333333333335</x:v>
      </x:c>
      <x:c r="M439" s="52" t="n">
        <x:v>0.49999999999999994</x:v>
      </x:c>
      <x:c r="N439" s="20" t="str">
        <x:v>Strong improvement</x:v>
      </x:c>
      <x:c r="O439" s="20" t="str">
        <x:v>Prototype retrieval heuristic; association is not proof of causality.</x:v>
      </x:c>
      <x:c r="P439" s="20" t="str">
        <x:v>YES</x:v>
      </x:c>
    </x:row>
    <x:row r="440">
      <x:c r="A440" s="20" t="str">
        <x:v>FND-011</x:v>
      </x:c>
      <x:c r="B440" s="20" t="str">
        <x:v>Conversión de voluntarios staff a donantes recurrentes</x:v>
      </x:c>
      <x:c r="C440" s="20" t="n">
        <x:v>7</x:v>
      </x:c>
      <x:c r="D440" s="20" t="str">
        <x:v>FND-013</x:v>
      </x:c>
      <x:c r="E440" s="20" t="str">
        <x:v>Nuevos donantes recurrentes EOS — Perú</x:v>
      </x:c>
      <x:c r="F440" s="20" t="str">
        <x:v>Same strategic objective; Same department; Same BSC perspective</x:v>
      </x:c>
      <x:c r="G440" s="20" t="n">
        <x:v>87</x:v>
      </x:c>
      <x:c r="H440" s="20" t="str">
        <x:v>Procuración de Fondos</x:v>
      </x:c>
      <x:c r="I440" s="20" t="str">
        <x:v>Sostenibilidad financiera</x:v>
      </x:c>
      <x:c r="J440" s="20" t="str">
        <x:v>F2. Incrementar y retener donantes recurrentes</x:v>
      </x:c>
      <x:c r="K440" s="20" t="n">
        <x:v>2</x:v>
      </x:c>
      <x:c r="L440" s="20" t="n">
        <x:v>1.3333333333333333</x:v>
      </x:c>
      <x:c r="M440" s="52" t="n">
        <x:v>0.5000000000000001</x:v>
      </x:c>
      <x:c r="N440" s="20" t="str">
        <x:v>Strong improvement</x:v>
      </x:c>
      <x:c r="O440" s="20" t="str">
        <x:v>Prototype retrieval heuristic; association is not proof of causality.</x:v>
      </x:c>
      <x:c r="P440" s="20" t="str">
        <x:v>YES</x:v>
      </x:c>
    </x:row>
    <x:row r="441">
      <x:c r="A441" s="20" t="str">
        <x:v>FND-011</x:v>
      </x:c>
      <x:c r="B441" s="20" t="str">
        <x:v>Conversión de voluntarios staff a donantes recurrentes</x:v>
      </x:c>
      <x:c r="C441" s="20" t="n">
        <x:v>8</x:v>
      </x:c>
      <x:c r="D441" s="20" t="str">
        <x:v>FND-014</x:v>
      </x:c>
      <x:c r="E441" s="20" t="str">
        <x:v>Nuevos donantes recurrentes EOS — Colombia</x:v>
      </x:c>
      <x:c r="F441" s="20" t="str">
        <x:v>Same strategic objective; Same department; Same BSC perspective</x:v>
      </x:c>
      <x:c r="G441" s="20" t="n">
        <x:v>87</x:v>
      </x:c>
      <x:c r="H441" s="20" t="str">
        <x:v>Procuración de Fondos</x:v>
      </x:c>
      <x:c r="I441" s="20" t="str">
        <x:v>Sostenibilidad financiera</x:v>
      </x:c>
      <x:c r="J441" s="20" t="str">
        <x:v>F2. Incrementar y retener donantes recurrentes</x:v>
      </x:c>
      <x:c r="K441" s="20" t="n">
        <x:v>2</x:v>
      </x:c>
      <x:c r="L441" s="20" t="n">
        <x:v>1.3333333333333333</x:v>
      </x:c>
      <x:c r="M441" s="52" t="n">
        <x:v>0.5000000000000001</x:v>
      </x:c>
      <x:c r="N441" s="20" t="str">
        <x:v>Strong improvement</x:v>
      </x:c>
      <x:c r="O441" s="20" t="str">
        <x:v>Prototype retrieval heuristic; association is not proof of causality.</x:v>
      </x:c>
      <x:c r="P441" s="20" t="str">
        <x:v>YES</x:v>
      </x:c>
    </x:row>
    <x:row r="442">
      <x:c r="A442" s="20" t="str">
        <x:v>FND-012</x:v>
      </x:c>
      <x:c r="B442" s="20" t="str">
        <x:v>Participación de empresarios EOS en voluntariado</x:v>
      </x:c>
      <x:c r="C442" s="20" t="n">
        <x:v>1</x:v>
      </x:c>
      <x:c r="D442" s="20" t="str">
        <x:v>FND-010</x:v>
      </x:c>
      <x:c r="E442" s="20" t="str">
        <x:v>Participación de staff en voluntariado corporativo</x:v>
      </x:c>
      <x:c r="F442" s="20" t="str">
        <x:v>Same strategic objective; Same department; Same BSC perspective</x:v>
      </x:c>
      <x:c r="G442" s="20" t="n">
        <x:v>87</x:v>
      </x:c>
      <x:c r="H442" s="20" t="str">
        <x:v>Procuración de Fondos</x:v>
      </x:c>
      <x:c r="I442" s="20" t="str">
        <x:v>Beneficiarios y grupos de interés</x:v>
      </x:c>
      <x:c r="J442" s="20" t="str">
        <x:v>C4. Fortalecer relación con donantes, aliados y comunidades</x:v>
      </x:c>
      <x:c r="K442" s="20" t="n">
        <x:v>26</x:v>
      </x:c>
      <x:c r="L442" s="20" t="n">
        <x:v>19.333333333333332</x:v>
      </x:c>
      <x:c r="M442" s="52" t="n">
        <x:v>0.34482758620689663</x:v>
      </x:c>
      <x:c r="N442" s="20" t="str">
        <x:v>Strong improvement</x:v>
      </x:c>
      <x:c r="O442" s="20" t="str">
        <x:v>Prototype retrieval heuristic; association is not proof of causality.</x:v>
      </x:c>
      <x:c r="P442" s="20" t="str">
        <x:v>YES</x:v>
      </x:c>
    </x:row>
    <x:row r="443">
      <x:c r="A443" s="20" t="str">
        <x:v>FND-012</x:v>
      </x:c>
      <x:c r="B443" s="20" t="str">
        <x:v>Participación de empresarios EOS en voluntariado</x:v>
      </x:c>
      <x:c r="C443" s="20" t="n">
        <x:v>2</x:v>
      </x:c>
      <x:c r="D443" s="20" t="str">
        <x:v>REC-C04</x:v>
      </x:c>
      <x:c r="E443" s="20" t="str">
        <x:v>Retención de aliados estratégicos activos</x:v>
      </x:c>
      <x:c r="F443" s="20" t="str">
        <x:v>Same strategic objective; Same department; Same BSC perspective</x:v>
      </x:c>
      <x:c r="G443" s="20" t="n">
        <x:v>85</x:v>
      </x:c>
      <x:c r="H443" s="20" t="str">
        <x:v>Procuración de Fondos</x:v>
      </x:c>
      <x:c r="I443" s="20" t="str">
        <x:v>Beneficiarios y grupos de interés</x:v>
      </x:c>
      <x:c r="J443" s="20" t="str">
        <x:v>C4. Fortalecer relación con donantes, aliados y comunidades</x:v>
      </x:c>
      <x:c r="K443" s="20" t="n">
        <x:v>88</x:v>
      </x:c>
      <x:c r="L443" s="20" t="n">
        <x:v>74.36951894423159</x:v>
      </x:c>
      <x:c r="M443" s="52" t="n">
        <x:v>0.18328047900901007</x:v>
      </x:c>
      <x:c r="N443" s="20" t="str">
        <x:v>Strong improvement</x:v>
      </x:c>
      <x:c r="O443" s="20" t="str">
        <x:v>Prototype retrieval heuristic; association is not proof of causality.</x:v>
      </x:c>
      <x:c r="P443" s="20" t="str">
        <x:v>YES</x:v>
      </x:c>
    </x:row>
    <x:row r="444">
      <x:c r="A444" s="20" t="str">
        <x:v>FND-012</x:v>
      </x:c>
      <x:c r="B444" s="20" t="str">
        <x:v>Participación de empresarios EOS en voluntariado</x:v>
      </x:c>
      <x:c r="C444" s="20" t="n">
        <x:v>3</x:v>
      </x:c>
      <x:c r="D444" s="20" t="str">
        <x:v>MKT-007</x:v>
      </x:c>
      <x:c r="E444" s="20" t="str">
        <x:v>Embajadores Omnilife activos en campaña de nutrición</x:v>
      </x:c>
      <x:c r="F444" s="20" t="str">
        <x:v>Same strategic objective; Same BSC perspective</x:v>
      </x:c>
      <x:c r="G444" s="20" t="n">
        <x:v>62</x:v>
      </x:c>
      <x:c r="H444" s="20" t="str">
        <x:v>Marketing y Comunicación</x:v>
      </x:c>
      <x:c r="I444" s="20" t="str">
        <x:v>Beneficiarios y grupos de interés</x:v>
      </x:c>
      <x:c r="J444" s="20" t="str">
        <x:v>C4. Fortalecer relación con donantes, aliados y comunidades</x:v>
      </x:c>
      <x:c r="K444" s="20" t="n">
        <x:v>100</x:v>
      </x:c>
      <x:c r="L444" s="20" t="n">
        <x:v>88.71031746031747</x:v>
      </x:c>
      <x:c r="M444" s="52" t="n">
        <x:v>0.12726459405054785</x:v>
      </x:c>
      <x:c r="N444" s="20" t="str">
        <x:v>Strong improvement</x:v>
      </x:c>
      <x:c r="O444" s="20" t="str">
        <x:v>Prototype retrieval heuristic; association is not proof of causality.</x:v>
      </x:c>
      <x:c r="P444" s="20" t="str">
        <x:v>YES</x:v>
      </x:c>
    </x:row>
    <x:row r="445">
      <x:c r="A445" s="20" t="str">
        <x:v>FND-012</x:v>
      </x:c>
      <x:c r="B445" s="20" t="str">
        <x:v>Participación de empresarios EOS en voluntariado</x:v>
      </x:c>
      <x:c r="C445" s="20" t="n">
        <x:v>4</x:v>
      </x:c>
      <x:c r="D445" s="20" t="str">
        <x:v>FND-016</x:v>
      </x:c>
      <x:c r="E445" s="20" t="str">
        <x:v>Nuevas alianzas estratégicas activas por país</x:v>
      </x:c>
      <x:c r="F445" s="20" t="str">
        <x:v>Strategic-map adjacent objective; Same department</x:v>
      </x:c>
      <x:c r="G445" s="20" t="n">
        <x:v>67</x:v>
      </x:c>
      <x:c r="H445" s="20" t="str">
        <x:v>Procuración de Fondos</x:v>
      </x:c>
      <x:c r="I445" s="20" t="str">
        <x:v>Procesos internos</x:v>
      </x:c>
      <x:c r="J445" s="20" t="str">
        <x:v>P6. Construir ecosistema de alianzas</x:v>
      </x:c>
      <x:c r="K445" s="20" t="n">
        <x:v>4</x:v>
      </x:c>
      <x:c r="L445" s="20" t="n">
        <x:v>2.6666666666666665</x:v>
      </x:c>
      <x:c r="M445" s="52" t="n">
        <x:v>0.5000000000000001</x:v>
      </x:c>
      <x:c r="N445" s="20" t="str">
        <x:v>Strong improvement</x:v>
      </x:c>
      <x:c r="O445" s="20" t="str">
        <x:v>Prototype retrieval heuristic; association is not proof of causality.</x:v>
      </x:c>
      <x:c r="P445" s="20" t="str">
        <x:v>YES</x:v>
      </x:c>
    </x:row>
    <x:row r="446">
      <x:c r="A446" s="20" t="str">
        <x:v>FND-012</x:v>
      </x:c>
      <x:c r="B446" s="20" t="str">
        <x:v>Participación de empresarios EOS en voluntariado</x:v>
      </x:c>
      <x:c r="C446" s="20" t="n">
        <x:v>5</x:v>
      </x:c>
      <x:c r="D446" s="20" t="str">
        <x:v>REC-P07</x:v>
      </x:c>
      <x:c r="E446" s="20" t="str">
        <x:v>Conversión de alianzas estratégicas a recursos o capacidad programática</x:v>
      </x:c>
      <x:c r="F446" s="20" t="str">
        <x:v>Strategic-map adjacent objective; Same department</x:v>
      </x:c>
      <x:c r="G446" s="20" t="n">
        <x:v>65</x:v>
      </x:c>
      <x:c r="H446" s="20" t="str">
        <x:v>Procuración de Fondos</x:v>
      </x:c>
      <x:c r="I446" s="20" t="str">
        <x:v>Procesos internos</x:v>
      </x:c>
      <x:c r="J446" s="20" t="str">
        <x:v>P6. Construir ecosistema de alianzas</x:v>
      </x:c>
      <x:c r="K446" s="20" t="n">
        <x:v>72</x:v>
      </x:c>
      <x:c r="L446" s="20" t="n">
        <x:v>61.16347381864623</x:v>
      </x:c>
      <x:c r="M446" s="52" t="n">
        <x:v>0.17717316406005307</x:v>
      </x:c>
      <x:c r="N446" s="20" t="str">
        <x:v>Strong improvement</x:v>
      </x:c>
      <x:c r="O446" s="20" t="str">
        <x:v>Prototype retrieval heuristic; association is not proof of causality.</x:v>
      </x:c>
      <x:c r="P446" s="20" t="str">
        <x:v>YES</x:v>
      </x:c>
    </x:row>
    <x:row r="447">
      <x:c r="A447" s="20" t="str">
        <x:v>FND-012</x:v>
      </x:c>
      <x:c r="B447" s="20" t="str">
        <x:v>Participación de empresarios EOS en voluntariado</x:v>
      </x:c>
      <x:c r="C447" s="20" t="n">
        <x:v>6</x:v>
      </x:c>
      <x:c r="D447" s="20" t="str">
        <x:v>FND-001</x:v>
      </x:c>
      <x:c r="E447" s="20" t="str">
        <x:v>Fondos recaudados — Tu Donativo x2 (Chivas)</x:v>
      </x:c>
      <x:c r="F447" s="20" t="str">
        <x:v>Same department</x:v>
      </x:c>
      <x:c r="G447" s="20" t="n">
        <x:v>25</x:v>
      </x:c>
      <x:c r="H447" s="20" t="str">
        <x:v>Procuración de Fondos</x:v>
      </x:c>
      <x:c r="I447" s="20" t="str">
        <x:v>Sostenibilidad financiera</x:v>
      </x:c>
      <x:c r="J447" s="20" t="str">
        <x:v>F1. Diversificar y aumentar fuentes</x:v>
      </x:c>
      <x:c r="K447" s="20" t="n">
        <x:v>40800</x:v>
      </x:c>
      <x:c r="L447" s="20" t="n">
        <x:v>31333.333333333332</x:v>
      </x:c>
      <x:c r="M447" s="52" t="n">
        <x:v>0.30212765957446813</x:v>
      </x:c>
      <x:c r="N447" s="20" t="str">
        <x:v>Strong improvement</x:v>
      </x:c>
      <x:c r="O447" s="20" t="str">
        <x:v>Prototype retrieval heuristic; association is not proof of causality.</x:v>
      </x:c>
      <x:c r="P447" s="20" t="str">
        <x:v>YES</x:v>
      </x:c>
    </x:row>
    <x:row r="448">
      <x:c r="A448" s="20" t="str">
        <x:v>FND-012</x:v>
      </x:c>
      <x:c r="B448" s="20" t="str">
        <x:v>Participación de empresarios EOS en voluntariado</x:v>
      </x:c>
      <x:c r="C448" s="20" t="n">
        <x:v>7</x:v>
      </x:c>
      <x:c r="D448" s="20" t="str">
        <x:v>FND-002</x:v>
      </x:c>
      <x:c r="E448" s="20" t="str">
        <x:v>Fondos recaudados — ¿Cuánto vale una sonrisa? México</x:v>
      </x:c>
      <x:c r="F448" s="20" t="str">
        <x:v>Same department</x:v>
      </x:c>
      <x:c r="G448" s="20" t="n">
        <x:v>25</x:v>
      </x:c>
      <x:c r="H448" s="20" t="str">
        <x:v>Procuración de Fondos</x:v>
      </x:c>
      <x:c r="I448" s="20" t="str">
        <x:v>Sostenibilidad financiera</x:v>
      </x:c>
      <x:c r="J448" s="20" t="str">
        <x:v>F1. Diversificar y aumentar fuentes</x:v>
      </x:c>
      <x:c r="K448" s="20" t="n">
        <x:v>100</x:v>
      </x:c>
      <x:c r="L448" s="20" t="n">
        <x:v>359989</x:v>
      </x:c>
      <x:c r="M448" s="52" t="n">
        <x:v>-0.9997222137343086</x:v>
      </x:c>
      <x:c r="N448" s="20" t="str">
        <x:v>Deteriorating</x:v>
      </x:c>
      <x:c r="O448" s="20" t="str">
        <x:v>Prototype retrieval heuristic; association is not proof of causality.</x:v>
      </x:c>
      <x:c r="P448" s="20" t="str">
        <x:v>YES</x:v>
      </x:c>
    </x:row>
    <x:row r="449">
      <x:c r="A449" s="20" t="str">
        <x:v>FND-012</x:v>
      </x:c>
      <x:c r="B449" s="20" t="str">
        <x:v>Participación de empresarios EOS en voluntariado</x:v>
      </x:c>
      <x:c r="C449" s="20" t="n">
        <x:v>8</x:v>
      </x:c>
      <x:c r="D449" s="20" t="str">
        <x:v>ADM-006</x:v>
      </x:c>
      <x:c r="E449" s="20" t="str">
        <x:v>Informes regulatorios presentados en tiempo y forma</x:v>
      </x:c>
      <x:c r="F449" s="20" t="str">
        <x:v>Same BSC perspective</x:v>
      </x:c>
      <x:c r="G449" s="20" t="n">
        <x:v>12</x:v>
      </x:c>
      <x:c r="H449" s="20" t="str">
        <x:v>Administración</x:v>
      </x:c>
      <x:c r="I449" s="20" t="str">
        <x:v>Beneficiarios y grupos de interés</x:v>
      </x:c>
      <x:c r="J449" s="20" t="str">
        <x:v>C3. Fortalecer confianza y credibilidad institucional</x:v>
      </x:c>
      <x:c r="K449" s="20" t="n">
        <x:v>100</x:v>
      </x:c>
      <x:c r="L449" s="20" t="n">
        <x:v>88.9514687100894</x:v>
      </x:c>
      <x:c r="M449" s="52" t="n">
        <x:v>0.12420853135005526</x:v>
      </x:c>
      <x:c r="N449" s="20" t="str">
        <x:v>Strong improvement</x:v>
      </x:c>
      <x:c r="O449" s="20" t="str">
        <x:v>Prototype retrieval heuristic; association is not proof of causality.</x:v>
      </x:c>
      <x:c r="P449" s="20" t="str">
        <x:v>YES</x:v>
      </x:c>
    </x:row>
    <x:row r="450">
      <x:c r="A450" s="20" t="str">
        <x:v>FND-013</x:v>
      </x:c>
      <x:c r="B450" s="20" t="str">
        <x:v>Nuevos donantes recurrentes EOS — Perú</x:v>
      </x:c>
      <x:c r="C450" s="20" t="n">
        <x:v>1</x:v>
      </x:c>
      <x:c r="D450" s="20" t="str">
        <x:v>FND-006</x:v>
      </x:c>
      <x:c r="E450" s="20" t="str">
        <x:v>Nuevos donantes recurrentes — USA</x:v>
      </x:c>
      <x:c r="F450" s="20" t="str">
        <x:v>Same strategic objective; Same department; Same BSC perspective</x:v>
      </x:c>
      <x:c r="G450" s="20" t="n">
        <x:v>87</x:v>
      </x:c>
      <x:c r="H450" s="20" t="str">
        <x:v>Procuración de Fondos</x:v>
      </x:c>
      <x:c r="I450" s="20" t="str">
        <x:v>Sostenibilidad financiera</x:v>
      </x:c>
      <x:c r="J450" s="20" t="str">
        <x:v>F2. Incrementar y retener donantes recurrentes</x:v>
      </x:c>
      <x:c r="K450" s="20" t="n">
        <x:v>73</x:v>
      </x:c>
      <x:c r="L450" s="20" t="n">
        <x:v>62</x:v>
      </x:c>
      <x:c r="M450" s="52" t="n">
        <x:v>0.1774193548387097</x:v>
      </x:c>
      <x:c r="N450" s="20" t="str">
        <x:v>Strong improvement</x:v>
      </x:c>
      <x:c r="O450" s="20" t="str">
        <x:v>Prototype retrieval heuristic; association is not proof of causality.</x:v>
      </x:c>
      <x:c r="P450" s="20" t="str">
        <x:v>YES</x:v>
      </x:c>
    </x:row>
    <x:row r="451">
      <x:c r="A451" s="20" t="str">
        <x:v>FND-013</x:v>
      </x:c>
      <x:c r="B451" s="20" t="str">
        <x:v>Nuevos donantes recurrentes EOS — Perú</x:v>
      </x:c>
      <x:c r="C451" s="20" t="n">
        <x:v>2</x:v>
      </x:c>
      <x:c r="D451" s="20" t="str">
        <x:v>FND-007</x:v>
      </x:c>
      <x:c r="E451" s="20" t="str">
        <x:v>Nuevos donantes recurrentes — México</x:v>
      </x:c>
      <x:c r="F451" s="20" t="str">
        <x:v>Same strategic objective; Same department; Same BSC perspective</x:v>
      </x:c>
      <x:c r="G451" s="20" t="n">
        <x:v>87</x:v>
      </x:c>
      <x:c r="H451" s="20" t="str">
        <x:v>Procuración de Fondos</x:v>
      </x:c>
      <x:c r="I451" s="20" t="str">
        <x:v>Sostenibilidad financiera</x:v>
      </x:c>
      <x:c r="J451" s="20" t="str">
        <x:v>F2. Incrementar y retener donantes recurrentes</x:v>
      </x:c>
      <x:c r="K451" s="20" t="n">
        <x:v>15</x:v>
      </x:c>
      <x:c r="L451" s="20" t="n">
        <x:v>12</x:v>
      </x:c>
      <x:c r="M451" s="52" t="n">
        <x:v>0.25</x:v>
      </x:c>
      <x:c r="N451" s="20" t="str">
        <x:v>Strong improvement</x:v>
      </x:c>
      <x:c r="O451" s="20" t="str">
        <x:v>Prototype retrieval heuristic; association is not proof of causality.</x:v>
      </x:c>
      <x:c r="P451" s="20" t="str">
        <x:v>YES</x:v>
      </x:c>
    </x:row>
    <x:row r="452">
      <x:c r="A452" s="20" t="str">
        <x:v>FND-013</x:v>
      </x:c>
      <x:c r="B452" s="20" t="str">
        <x:v>Nuevos donantes recurrentes EOS — Perú</x:v>
      </x:c>
      <x:c r="C452" s="20" t="n">
        <x:v>3</x:v>
      </x:c>
      <x:c r="D452" s="20" t="str">
        <x:v>FND-008</x:v>
      </x:c>
      <x:c r="E452" s="20" t="str">
        <x:v>Nuevos donantes recurrentes — Perú</x:v>
      </x:c>
      <x:c r="F452" s="20" t="str">
        <x:v>Same strategic objective; Same department; Same BSC perspective</x:v>
      </x:c>
      <x:c r="G452" s="20" t="n">
        <x:v>87</x:v>
      </x:c>
      <x:c r="H452" s="20" t="str">
        <x:v>Procuración de Fondos</x:v>
      </x:c>
      <x:c r="I452" s="20" t="str">
        <x:v>Sostenibilidad financiera</x:v>
      </x:c>
      <x:c r="J452" s="20" t="str">
        <x:v>F2. Incrementar y retener donantes recurrentes</x:v>
      </x:c>
      <x:c r="K452" s="20" t="n">
        <x:v>8</x:v>
      </x:c>
      <x:c r="L452" s="20" t="n">
        <x:v>5.666666666666667</x:v>
      </x:c>
      <x:c r="M452" s="52" t="n">
        <x:v>0.41176470588235287</x:v>
      </x:c>
      <x:c r="N452" s="20" t="str">
        <x:v>Strong improvement</x:v>
      </x:c>
      <x:c r="O452" s="20" t="str">
        <x:v>Prototype retrieval heuristic; association is not proof of causality.</x:v>
      </x:c>
      <x:c r="P452" s="20" t="str">
        <x:v>YES</x:v>
      </x:c>
    </x:row>
    <x:row r="453">
      <x:c r="A453" s="20" t="str">
        <x:v>FND-013</x:v>
      </x:c>
      <x:c r="B453" s="20" t="str">
        <x:v>Nuevos donantes recurrentes EOS — Perú</x:v>
      </x:c>
      <x:c r="C453" s="20" t="n">
        <x:v>4</x:v>
      </x:c>
      <x:c r="D453" s="20" t="str">
        <x:v>REC-M02</x:v>
      </x:c>
      <x:c r="E453" s="20" t="str">
        <x:v>Costo de adquisición de nuevo donante</x:v>
      </x:c>
      <x:c r="F453" s="20" t="str">
        <x:v>Strategic-map adjacent objective</x:v>
      </x:c>
      <x:c r="G453" s="20" t="n">
        <x:v>42</x:v>
      </x:c>
      <x:c r="H453" s="20" t="str">
        <x:v>Marketing y Comunicación</x:v>
      </x:c>
      <x:c r="I453" s="20" t="str">
        <x:v>Procesos internos</x:v>
      </x:c>
      <x:c r="J453" s="20" t="str">
        <x:v>P3. Integrar Marketing + Procuración</x:v>
      </x:c>
      <x:c r="K453" s="20" t="n">
        <x:v>760</x:v>
      </x:c>
      <x:c r="L453" s="20" t="n">
        <x:v>896.6666666666666</x:v>
      </x:c>
      <x:c r="M453" s="52" t="n">
        <x:v>0.15241635687732338</x:v>
      </x:c>
      <x:c r="N453" s="20" t="str">
        <x:v>Strong improvement</x:v>
      </x:c>
      <x:c r="O453" s="20" t="str">
        <x:v>Prototype retrieval heuristic; association is not proof of causality.</x:v>
      </x:c>
      <x:c r="P453" s="20" t="str">
        <x:v>YES</x:v>
      </x:c>
    </x:row>
    <x:row r="454">
      <x:c r="A454" s="20" t="str">
        <x:v>FND-013</x:v>
      </x:c>
      <x:c r="B454" s="20" t="str">
        <x:v>Nuevos donantes recurrentes EOS — Perú</x:v>
      </x:c>
      <x:c r="C454" s="20" t="n">
        <x:v>5</x:v>
      </x:c>
      <x:c r="D454" s="20" t="str">
        <x:v>REC-P03</x:v>
      </x:c>
      <x:c r="E454" s="20" t="str">
        <x:v>Conversión de campaña a nuevo donante</x:v>
      </x:c>
      <x:c r="F454" s="20" t="str">
        <x:v>Strategic-map adjacent objective</x:v>
      </x:c>
      <x:c r="G454" s="20" t="n">
        <x:v>42</x:v>
      </x:c>
      <x:c r="H454" s="20" t="str">
        <x:v>Marketing + Procuración de Fondos</x:v>
      </x:c>
      <x:c r="I454" s="20" t="str">
        <x:v>Procesos internos</x:v>
      </x:c>
      <x:c r="J454" s="20" t="str">
        <x:v>P3. Integrar Marketing + Procuración</x:v>
      </x:c>
      <x:c r="K454" s="20" t="n">
        <x:v>100</x:v>
      </x:c>
      <x:c r="L454" s="20" t="n">
        <x:v>2015.0147157960507</x:v>
      </x:c>
      <x:c r="M454" s="52" t="n">
        <x:v>-0.9503725708720226</x:v>
      </x:c>
      <x:c r="N454" s="20" t="str">
        <x:v>Deteriorating</x:v>
      </x:c>
      <x:c r="O454" s="20" t="str">
        <x:v>Prototype retrieval heuristic; association is not proof of causality.</x:v>
      </x:c>
      <x:c r="P454" s="20" t="str">
        <x:v>YES</x:v>
      </x:c>
    </x:row>
    <x:row r="455">
      <x:c r="A455" s="20" t="str">
        <x:v>FND-013</x:v>
      </x:c>
      <x:c r="B455" s="20" t="str">
        <x:v>Nuevos donantes recurrentes EOS — Perú</x:v>
      </x:c>
      <x:c r="C455" s="20" t="n">
        <x:v>6</x:v>
      </x:c>
      <x:c r="D455" s="20" t="str">
        <x:v>FND-009</x:v>
      </x:c>
      <x:c r="E455" s="20" t="str">
        <x:v>Nuevos donantes recurrentes — Colombia</x:v>
      </x:c>
      <x:c r="F455" s="20" t="str">
        <x:v>Same strategic objective; Same department; Same BSC perspective</x:v>
      </x:c>
      <x:c r="G455" s="20" t="n">
        <x:v>87</x:v>
      </x:c>
      <x:c r="H455" s="20" t="str">
        <x:v>Procuración de Fondos</x:v>
      </x:c>
      <x:c r="I455" s="20" t="str">
        <x:v>Sostenibilidad financiera</x:v>
      </x:c>
      <x:c r="J455" s="20" t="str">
        <x:v>F2. Incrementar y retener donantes recurrentes</x:v>
      </x:c>
      <x:c r="K455" s="20" t="n">
        <x:v>5</x:v>
      </x:c>
      <x:c r="L455" s="20" t="n">
        <x:v>3.3333333333333335</x:v>
      </x:c>
      <x:c r="M455" s="52" t="n">
        <x:v>0.49999999999999994</x:v>
      </x:c>
      <x:c r="N455" s="20" t="str">
        <x:v>Strong improvement</x:v>
      </x:c>
      <x:c r="O455" s="20" t="str">
        <x:v>Prototype retrieval heuristic; association is not proof of causality.</x:v>
      </x:c>
      <x:c r="P455" s="20" t="str">
        <x:v>YES</x:v>
      </x:c>
    </x:row>
    <x:row r="456">
      <x:c r="A456" s="20" t="str">
        <x:v>FND-013</x:v>
      </x:c>
      <x:c r="B456" s="20" t="str">
        <x:v>Nuevos donantes recurrentes EOS — Perú</x:v>
      </x:c>
      <x:c r="C456" s="20" t="n">
        <x:v>7</x:v>
      </x:c>
      <x:c r="D456" s="20" t="str">
        <x:v>FND-011</x:v>
      </x:c>
      <x:c r="E456" s="20" t="str">
        <x:v>Conversión de voluntarios staff a donantes recurrentes</x:v>
      </x:c>
      <x:c r="F456" s="20" t="str">
        <x:v>Same strategic objective; Same department; Same BSC perspective</x:v>
      </x:c>
      <x:c r="G456" s="20" t="n">
        <x:v>87</x:v>
      </x:c>
      <x:c r="H456" s="20" t="str">
        <x:v>Procuración de Fondos</x:v>
      </x:c>
      <x:c r="I456" s="20" t="str">
        <x:v>Sostenibilidad financiera</x:v>
      </x:c>
      <x:c r="J456" s="20" t="str">
        <x:v>F2. Incrementar y retener donantes recurrentes</x:v>
      </x:c>
      <x:c r="K456" s="20" t="n">
        <x:v>4</x:v>
      </x:c>
      <x:c r="L456" s="20" t="n">
        <x:v>3.232770826368222</x:v>
      </x:c>
      <x:c r="M456" s="52" t="n">
        <x:v>0.23732866164648694</x:v>
      </x:c>
      <x:c r="N456" s="20" t="str">
        <x:v>Strong improvement</x:v>
      </x:c>
      <x:c r="O456" s="20" t="str">
        <x:v>Prototype retrieval heuristic; association is not proof of causality.</x:v>
      </x:c>
      <x:c r="P456" s="20" t="str">
        <x:v>YES</x:v>
      </x:c>
    </x:row>
    <x:row r="457">
      <x:c r="A457" s="20" t="str">
        <x:v>FND-013</x:v>
      </x:c>
      <x:c r="B457" s="20" t="str">
        <x:v>Nuevos donantes recurrentes EOS — Perú</x:v>
      </x:c>
      <x:c r="C457" s="20" t="n">
        <x:v>8</x:v>
      </x:c>
      <x:c r="D457" s="20" t="str">
        <x:v>FND-014</x:v>
      </x:c>
      <x:c r="E457" s="20" t="str">
        <x:v>Nuevos donantes recurrentes EOS — Colombia</x:v>
      </x:c>
      <x:c r="F457" s="20" t="str">
        <x:v>Same strategic objective; Same department; Same BSC perspective</x:v>
      </x:c>
      <x:c r="G457" s="20" t="n">
        <x:v>87</x:v>
      </x:c>
      <x:c r="H457" s="20" t="str">
        <x:v>Procuración de Fondos</x:v>
      </x:c>
      <x:c r="I457" s="20" t="str">
        <x:v>Sostenibilidad financiera</x:v>
      </x:c>
      <x:c r="J457" s="20" t="str">
        <x:v>F2. Incrementar y retener donantes recurrentes</x:v>
      </x:c>
      <x:c r="K457" s="20" t="n">
        <x:v>2</x:v>
      </x:c>
      <x:c r="L457" s="20" t="n">
        <x:v>1.3333333333333333</x:v>
      </x:c>
      <x:c r="M457" s="52" t="n">
        <x:v>0.5000000000000001</x:v>
      </x:c>
      <x:c r="N457" s="20" t="str">
        <x:v>Strong improvement</x:v>
      </x:c>
      <x:c r="O457" s="20" t="str">
        <x:v>Prototype retrieval heuristic; association is not proof of causality.</x:v>
      </x:c>
      <x:c r="P457" s="20" t="str">
        <x:v>YES</x:v>
      </x:c>
    </x:row>
    <x:row r="458">
      <x:c r="A458" s="20" t="str">
        <x:v>FND-014</x:v>
      </x:c>
      <x:c r="B458" s="20" t="str">
        <x:v>Nuevos donantes recurrentes EOS — Colombia</x:v>
      </x:c>
      <x:c r="C458" s="20" t="n">
        <x:v>1</x:v>
      </x:c>
      <x:c r="D458" s="20" t="str">
        <x:v>FND-006</x:v>
      </x:c>
      <x:c r="E458" s="20" t="str">
        <x:v>Nuevos donantes recurrentes — USA</x:v>
      </x:c>
      <x:c r="F458" s="20" t="str">
        <x:v>Same strategic objective; Same department; Same BSC perspective</x:v>
      </x:c>
      <x:c r="G458" s="20" t="n">
        <x:v>87</x:v>
      </x:c>
      <x:c r="H458" s="20" t="str">
        <x:v>Procuración de Fondos</x:v>
      </x:c>
      <x:c r="I458" s="20" t="str">
        <x:v>Sostenibilidad financiera</x:v>
      </x:c>
      <x:c r="J458" s="20" t="str">
        <x:v>F2. Incrementar y retener donantes recurrentes</x:v>
      </x:c>
      <x:c r="K458" s="20" t="n">
        <x:v>73</x:v>
      </x:c>
      <x:c r="L458" s="20" t="n">
        <x:v>62</x:v>
      </x:c>
      <x:c r="M458" s="52" t="n">
        <x:v>0.1774193548387097</x:v>
      </x:c>
      <x:c r="N458" s="20" t="str">
        <x:v>Strong improvement</x:v>
      </x:c>
      <x:c r="O458" s="20" t="str">
        <x:v>Prototype retrieval heuristic; association is not proof of causality.</x:v>
      </x:c>
      <x:c r="P458" s="20" t="str">
        <x:v>YES</x:v>
      </x:c>
    </x:row>
    <x:row r="459">
      <x:c r="A459" s="20" t="str">
        <x:v>FND-014</x:v>
      </x:c>
      <x:c r="B459" s="20" t="str">
        <x:v>Nuevos donantes recurrentes EOS — Colombia</x:v>
      </x:c>
      <x:c r="C459" s="20" t="n">
        <x:v>2</x:v>
      </x:c>
      <x:c r="D459" s="20" t="str">
        <x:v>FND-007</x:v>
      </x:c>
      <x:c r="E459" s="20" t="str">
        <x:v>Nuevos donantes recurrentes — México</x:v>
      </x:c>
      <x:c r="F459" s="20" t="str">
        <x:v>Same strategic objective; Same department; Same BSC perspective</x:v>
      </x:c>
      <x:c r="G459" s="20" t="n">
        <x:v>87</x:v>
      </x:c>
      <x:c r="H459" s="20" t="str">
        <x:v>Procuración de Fondos</x:v>
      </x:c>
      <x:c r="I459" s="20" t="str">
        <x:v>Sostenibilidad financiera</x:v>
      </x:c>
      <x:c r="J459" s="20" t="str">
        <x:v>F2. Incrementar y retener donantes recurrentes</x:v>
      </x:c>
      <x:c r="K459" s="20" t="n">
        <x:v>15</x:v>
      </x:c>
      <x:c r="L459" s="20" t="n">
        <x:v>12</x:v>
      </x:c>
      <x:c r="M459" s="52" t="n">
        <x:v>0.25</x:v>
      </x:c>
      <x:c r="N459" s="20" t="str">
        <x:v>Strong improvement</x:v>
      </x:c>
      <x:c r="O459" s="20" t="str">
        <x:v>Prototype retrieval heuristic; association is not proof of causality.</x:v>
      </x:c>
      <x:c r="P459" s="20" t="str">
        <x:v>YES</x:v>
      </x:c>
    </x:row>
    <x:row r="460">
      <x:c r="A460" s="20" t="str">
        <x:v>FND-014</x:v>
      </x:c>
      <x:c r="B460" s="20" t="str">
        <x:v>Nuevos donantes recurrentes EOS — Colombia</x:v>
      </x:c>
      <x:c r="C460" s="20" t="n">
        <x:v>3</x:v>
      </x:c>
      <x:c r="D460" s="20" t="str">
        <x:v>FND-008</x:v>
      </x:c>
      <x:c r="E460" s="20" t="str">
        <x:v>Nuevos donantes recurrentes — Perú</x:v>
      </x:c>
      <x:c r="F460" s="20" t="str">
        <x:v>Same strategic objective; Same department; Same BSC perspective</x:v>
      </x:c>
      <x:c r="G460" s="20" t="n">
        <x:v>87</x:v>
      </x:c>
      <x:c r="H460" s="20" t="str">
        <x:v>Procuración de Fondos</x:v>
      </x:c>
      <x:c r="I460" s="20" t="str">
        <x:v>Sostenibilidad financiera</x:v>
      </x:c>
      <x:c r="J460" s="20" t="str">
        <x:v>F2. Incrementar y retener donantes recurrentes</x:v>
      </x:c>
      <x:c r="K460" s="20" t="n">
        <x:v>8</x:v>
      </x:c>
      <x:c r="L460" s="20" t="n">
        <x:v>5.666666666666667</x:v>
      </x:c>
      <x:c r="M460" s="52" t="n">
        <x:v>0.41176470588235287</x:v>
      </x:c>
      <x:c r="N460" s="20" t="str">
        <x:v>Strong improvement</x:v>
      </x:c>
      <x:c r="O460" s="20" t="str">
        <x:v>Prototype retrieval heuristic; association is not proof of causality.</x:v>
      </x:c>
      <x:c r="P460" s="20" t="str">
        <x:v>YES</x:v>
      </x:c>
    </x:row>
    <x:row r="461">
      <x:c r="A461" s="20" t="str">
        <x:v>FND-014</x:v>
      </x:c>
      <x:c r="B461" s="20" t="str">
        <x:v>Nuevos donantes recurrentes EOS — Colombia</x:v>
      </x:c>
      <x:c r="C461" s="20" t="n">
        <x:v>4</x:v>
      </x:c>
      <x:c r="D461" s="20" t="str">
        <x:v>REC-M02</x:v>
      </x:c>
      <x:c r="E461" s="20" t="str">
        <x:v>Costo de adquisición de nuevo donante</x:v>
      </x:c>
      <x:c r="F461" s="20" t="str">
        <x:v>Strategic-map adjacent objective</x:v>
      </x:c>
      <x:c r="G461" s="20" t="n">
        <x:v>42</x:v>
      </x:c>
      <x:c r="H461" s="20" t="str">
        <x:v>Marketing y Comunicación</x:v>
      </x:c>
      <x:c r="I461" s="20" t="str">
        <x:v>Procesos internos</x:v>
      </x:c>
      <x:c r="J461" s="20" t="str">
        <x:v>P3. Integrar Marketing + Procuración</x:v>
      </x:c>
      <x:c r="K461" s="20" t="n">
        <x:v>760</x:v>
      </x:c>
      <x:c r="L461" s="20" t="n">
        <x:v>896.6666666666666</x:v>
      </x:c>
      <x:c r="M461" s="52" t="n">
        <x:v>0.15241635687732338</x:v>
      </x:c>
      <x:c r="N461" s="20" t="str">
        <x:v>Strong improvement</x:v>
      </x:c>
      <x:c r="O461" s="20" t="str">
        <x:v>Prototype retrieval heuristic; association is not proof of causality.</x:v>
      </x:c>
      <x:c r="P461" s="20" t="str">
        <x:v>YES</x:v>
      </x:c>
    </x:row>
    <x:row r="462">
      <x:c r="A462" s="20" t="str">
        <x:v>FND-014</x:v>
      </x:c>
      <x:c r="B462" s="20" t="str">
        <x:v>Nuevos donantes recurrentes EOS — Colombia</x:v>
      </x:c>
      <x:c r="C462" s="20" t="n">
        <x:v>5</x:v>
      </x:c>
      <x:c r="D462" s="20" t="str">
        <x:v>REC-P03</x:v>
      </x:c>
      <x:c r="E462" s="20" t="str">
        <x:v>Conversión de campaña a nuevo donante</x:v>
      </x:c>
      <x:c r="F462" s="20" t="str">
        <x:v>Strategic-map adjacent objective</x:v>
      </x:c>
      <x:c r="G462" s="20" t="n">
        <x:v>42</x:v>
      </x:c>
      <x:c r="H462" s="20" t="str">
        <x:v>Marketing + Procuración de Fondos</x:v>
      </x:c>
      <x:c r="I462" s="20" t="str">
        <x:v>Procesos internos</x:v>
      </x:c>
      <x:c r="J462" s="20" t="str">
        <x:v>P3. Integrar Marketing + Procuración</x:v>
      </x:c>
      <x:c r="K462" s="20" t="n">
        <x:v>100</x:v>
      </x:c>
      <x:c r="L462" s="20" t="n">
        <x:v>2015.0147157960507</x:v>
      </x:c>
      <x:c r="M462" s="52" t="n">
        <x:v>-0.9503725708720226</x:v>
      </x:c>
      <x:c r="N462" s="20" t="str">
        <x:v>Deteriorating</x:v>
      </x:c>
      <x:c r="O462" s="20" t="str">
        <x:v>Prototype retrieval heuristic; association is not proof of causality.</x:v>
      </x:c>
      <x:c r="P462" s="20" t="str">
        <x:v>YES</x:v>
      </x:c>
    </x:row>
    <x:row r="463">
      <x:c r="A463" s="20" t="str">
        <x:v>FND-014</x:v>
      </x:c>
      <x:c r="B463" s="20" t="str">
        <x:v>Nuevos donantes recurrentes EOS — Colombia</x:v>
      </x:c>
      <x:c r="C463" s="20" t="n">
        <x:v>6</x:v>
      </x:c>
      <x:c r="D463" s="20" t="str">
        <x:v>FND-009</x:v>
      </x:c>
      <x:c r="E463" s="20" t="str">
        <x:v>Nuevos donantes recurrentes — Colombia</x:v>
      </x:c>
      <x:c r="F463" s="20" t="str">
        <x:v>Same strategic objective; Same department; Same BSC perspective</x:v>
      </x:c>
      <x:c r="G463" s="20" t="n">
        <x:v>87</x:v>
      </x:c>
      <x:c r="H463" s="20" t="str">
        <x:v>Procuración de Fondos</x:v>
      </x:c>
      <x:c r="I463" s="20" t="str">
        <x:v>Sostenibilidad financiera</x:v>
      </x:c>
      <x:c r="J463" s="20" t="str">
        <x:v>F2. Incrementar y retener donantes recurrentes</x:v>
      </x:c>
      <x:c r="K463" s="20" t="n">
        <x:v>5</x:v>
      </x:c>
      <x:c r="L463" s="20" t="n">
        <x:v>3.3333333333333335</x:v>
      </x:c>
      <x:c r="M463" s="52" t="n">
        <x:v>0.49999999999999994</x:v>
      </x:c>
      <x:c r="N463" s="20" t="str">
        <x:v>Strong improvement</x:v>
      </x:c>
      <x:c r="O463" s="20" t="str">
        <x:v>Prototype retrieval heuristic; association is not proof of causality.</x:v>
      </x:c>
      <x:c r="P463" s="20" t="str">
        <x:v>YES</x:v>
      </x:c>
    </x:row>
    <x:row r="464">
      <x:c r="A464" s="20" t="str">
        <x:v>FND-014</x:v>
      </x:c>
      <x:c r="B464" s="20" t="str">
        <x:v>Nuevos donantes recurrentes EOS — Colombia</x:v>
      </x:c>
      <x:c r="C464" s="20" t="n">
        <x:v>7</x:v>
      </x:c>
      <x:c r="D464" s="20" t="str">
        <x:v>FND-011</x:v>
      </x:c>
      <x:c r="E464" s="20" t="str">
        <x:v>Conversión de voluntarios staff a donantes recurrentes</x:v>
      </x:c>
      <x:c r="F464" s="20" t="str">
        <x:v>Same strategic objective; Same department; Same BSC perspective</x:v>
      </x:c>
      <x:c r="G464" s="20" t="n">
        <x:v>87</x:v>
      </x:c>
      <x:c r="H464" s="20" t="str">
        <x:v>Procuración de Fondos</x:v>
      </x:c>
      <x:c r="I464" s="20" t="str">
        <x:v>Sostenibilidad financiera</x:v>
      </x:c>
      <x:c r="J464" s="20" t="str">
        <x:v>F2. Incrementar y retener donantes recurrentes</x:v>
      </x:c>
      <x:c r="K464" s="20" t="n">
        <x:v>4</x:v>
      </x:c>
      <x:c r="L464" s="20" t="n">
        <x:v>3.232770826368222</x:v>
      </x:c>
      <x:c r="M464" s="52" t="n">
        <x:v>0.23732866164648694</x:v>
      </x:c>
      <x:c r="N464" s="20" t="str">
        <x:v>Strong improvement</x:v>
      </x:c>
      <x:c r="O464" s="20" t="str">
        <x:v>Prototype retrieval heuristic; association is not proof of causality.</x:v>
      </x:c>
      <x:c r="P464" s="20" t="str">
        <x:v>YES</x:v>
      </x:c>
    </x:row>
    <x:row r="465">
      <x:c r="A465" s="20" t="str">
        <x:v>FND-014</x:v>
      </x:c>
      <x:c r="B465" s="20" t="str">
        <x:v>Nuevos donantes recurrentes EOS — Colombia</x:v>
      </x:c>
      <x:c r="C465" s="20" t="n">
        <x:v>8</x:v>
      </x:c>
      <x:c r="D465" s="20" t="str">
        <x:v>FND-013</x:v>
      </x:c>
      <x:c r="E465" s="20" t="str">
        <x:v>Nuevos donantes recurrentes EOS — Perú</x:v>
      </x:c>
      <x:c r="F465" s="20" t="str">
        <x:v>Same strategic objective; Same department; Same BSC perspective</x:v>
      </x:c>
      <x:c r="G465" s="20" t="n">
        <x:v>87</x:v>
      </x:c>
      <x:c r="H465" s="20" t="str">
        <x:v>Procuración de Fondos</x:v>
      </x:c>
      <x:c r="I465" s="20" t="str">
        <x:v>Sostenibilidad financiera</x:v>
      </x:c>
      <x:c r="J465" s="20" t="str">
        <x:v>F2. Incrementar y retener donantes recurrentes</x:v>
      </x:c>
      <x:c r="K465" s="20" t="n">
        <x:v>2</x:v>
      </x:c>
      <x:c r="L465" s="20" t="n">
        <x:v>1.3333333333333333</x:v>
      </x:c>
      <x:c r="M465" s="52" t="n">
        <x:v>0.5000000000000001</x:v>
      </x:c>
      <x:c r="N465" s="20" t="str">
        <x:v>Strong improvement</x:v>
      </x:c>
      <x:c r="O465" s="20" t="str">
        <x:v>Prototype retrieval heuristic; association is not proof of causality.</x:v>
      </x:c>
      <x:c r="P465" s="20" t="str">
        <x:v>YES</x:v>
      </x:c>
    </x:row>
    <x:row r="466">
      <x:c r="A466" s="20" t="str">
        <x:v>FND-015</x:v>
      </x:c>
      <x:c r="B466" s="20" t="str">
        <x:v>Nuevos donantes recurrentes EOS — México</x:v>
      </x:c>
      <x:c r="C466" s="20" t="n">
        <x:v>1</x:v>
      </x:c>
      <x:c r="D466" s="20" t="str">
        <x:v>FND-006</x:v>
      </x:c>
      <x:c r="E466" s="20" t="str">
        <x:v>Nuevos donantes recurrentes — USA</x:v>
      </x:c>
      <x:c r="F466" s="20" t="str">
        <x:v>Same strategic objective; Same department; Same BSC perspective</x:v>
      </x:c>
      <x:c r="G466" s="20" t="n">
        <x:v>87</x:v>
      </x:c>
      <x:c r="H466" s="20" t="str">
        <x:v>Procuración de Fondos</x:v>
      </x:c>
      <x:c r="I466" s="20" t="str">
        <x:v>Sostenibilidad financiera</x:v>
      </x:c>
      <x:c r="J466" s="20" t="str">
        <x:v>F2. Incrementar y retener donantes recurrentes</x:v>
      </x:c>
      <x:c r="K466" s="20" t="n">
        <x:v>73</x:v>
      </x:c>
      <x:c r="L466" s="20" t="n">
        <x:v>62</x:v>
      </x:c>
      <x:c r="M466" s="52" t="n">
        <x:v>0.1774193548387097</x:v>
      </x:c>
      <x:c r="N466" s="20" t="str">
        <x:v>Strong improvement</x:v>
      </x:c>
      <x:c r="O466" s="20" t="str">
        <x:v>Prototype retrieval heuristic; association is not proof of causality.</x:v>
      </x:c>
      <x:c r="P466" s="20" t="str">
        <x:v>YES</x:v>
      </x:c>
    </x:row>
    <x:row r="467">
      <x:c r="A467" s="20" t="str">
        <x:v>FND-015</x:v>
      </x:c>
      <x:c r="B467" s="20" t="str">
        <x:v>Nuevos donantes recurrentes EOS — México</x:v>
      </x:c>
      <x:c r="C467" s="20" t="n">
        <x:v>2</x:v>
      </x:c>
      <x:c r="D467" s="20" t="str">
        <x:v>FND-007</x:v>
      </x:c>
      <x:c r="E467" s="20" t="str">
        <x:v>Nuevos donantes recurrentes — México</x:v>
      </x:c>
      <x:c r="F467" s="20" t="str">
        <x:v>Same strategic objective; Same department; Same BSC perspective</x:v>
      </x:c>
      <x:c r="G467" s="20" t="n">
        <x:v>87</x:v>
      </x:c>
      <x:c r="H467" s="20" t="str">
        <x:v>Procuración de Fondos</x:v>
      </x:c>
      <x:c r="I467" s="20" t="str">
        <x:v>Sostenibilidad financiera</x:v>
      </x:c>
      <x:c r="J467" s="20" t="str">
        <x:v>F2. Incrementar y retener donantes recurrentes</x:v>
      </x:c>
      <x:c r="K467" s="20" t="n">
        <x:v>15</x:v>
      </x:c>
      <x:c r="L467" s="20" t="n">
        <x:v>12</x:v>
      </x:c>
      <x:c r="M467" s="52" t="n">
        <x:v>0.25</x:v>
      </x:c>
      <x:c r="N467" s="20" t="str">
        <x:v>Strong improvement</x:v>
      </x:c>
      <x:c r="O467" s="20" t="str">
        <x:v>Prototype retrieval heuristic; association is not proof of causality.</x:v>
      </x:c>
      <x:c r="P467" s="20" t="str">
        <x:v>YES</x:v>
      </x:c>
    </x:row>
    <x:row r="468">
      <x:c r="A468" s="20" t="str">
        <x:v>FND-015</x:v>
      </x:c>
      <x:c r="B468" s="20" t="str">
        <x:v>Nuevos donantes recurrentes EOS — México</x:v>
      </x:c>
      <x:c r="C468" s="20" t="n">
        <x:v>3</x:v>
      </x:c>
      <x:c r="D468" s="20" t="str">
        <x:v>FND-008</x:v>
      </x:c>
      <x:c r="E468" s="20" t="str">
        <x:v>Nuevos donantes recurrentes — Perú</x:v>
      </x:c>
      <x:c r="F468" s="20" t="str">
        <x:v>Same strategic objective; Same department; Same BSC perspective</x:v>
      </x:c>
      <x:c r="G468" s="20" t="n">
        <x:v>87</x:v>
      </x:c>
      <x:c r="H468" s="20" t="str">
        <x:v>Procuración de Fondos</x:v>
      </x:c>
      <x:c r="I468" s="20" t="str">
        <x:v>Sostenibilidad financiera</x:v>
      </x:c>
      <x:c r="J468" s="20" t="str">
        <x:v>F2. Incrementar y retener donantes recurrentes</x:v>
      </x:c>
      <x:c r="K468" s="20" t="n">
        <x:v>8</x:v>
      </x:c>
      <x:c r="L468" s="20" t="n">
        <x:v>5.666666666666667</x:v>
      </x:c>
      <x:c r="M468" s="52" t="n">
        <x:v>0.41176470588235287</x:v>
      </x:c>
      <x:c r="N468" s="20" t="str">
        <x:v>Strong improvement</x:v>
      </x:c>
      <x:c r="O468" s="20" t="str">
        <x:v>Prototype retrieval heuristic; association is not proof of causality.</x:v>
      </x:c>
      <x:c r="P468" s="20" t="str">
        <x:v>YES</x:v>
      </x:c>
    </x:row>
    <x:row r="469">
      <x:c r="A469" s="20" t="str">
        <x:v>FND-015</x:v>
      </x:c>
      <x:c r="B469" s="20" t="str">
        <x:v>Nuevos donantes recurrentes EOS — México</x:v>
      </x:c>
      <x:c r="C469" s="20" t="n">
        <x:v>4</x:v>
      </x:c>
      <x:c r="D469" s="20" t="str">
        <x:v>REC-M02</x:v>
      </x:c>
      <x:c r="E469" s="20" t="str">
        <x:v>Costo de adquisición de nuevo donante</x:v>
      </x:c>
      <x:c r="F469" s="20" t="str">
        <x:v>Strategic-map adjacent objective</x:v>
      </x:c>
      <x:c r="G469" s="20" t="n">
        <x:v>42</x:v>
      </x:c>
      <x:c r="H469" s="20" t="str">
        <x:v>Marketing y Comunicación</x:v>
      </x:c>
      <x:c r="I469" s="20" t="str">
        <x:v>Procesos internos</x:v>
      </x:c>
      <x:c r="J469" s="20" t="str">
        <x:v>P3. Integrar Marketing + Procuración</x:v>
      </x:c>
      <x:c r="K469" s="20" t="n">
        <x:v>760</x:v>
      </x:c>
      <x:c r="L469" s="20" t="n">
        <x:v>896.6666666666666</x:v>
      </x:c>
      <x:c r="M469" s="52" t="n">
        <x:v>0.15241635687732338</x:v>
      </x:c>
      <x:c r="N469" s="20" t="str">
        <x:v>Strong improvement</x:v>
      </x:c>
      <x:c r="O469" s="20" t="str">
        <x:v>Prototype retrieval heuristic; association is not proof of causality.</x:v>
      </x:c>
      <x:c r="P469" s="20" t="str">
        <x:v>YES</x:v>
      </x:c>
    </x:row>
    <x:row r="470">
      <x:c r="A470" s="20" t="str">
        <x:v>FND-015</x:v>
      </x:c>
      <x:c r="B470" s="20" t="str">
        <x:v>Nuevos donantes recurrentes EOS — México</x:v>
      </x:c>
      <x:c r="C470" s="20" t="n">
        <x:v>5</x:v>
      </x:c>
      <x:c r="D470" s="20" t="str">
        <x:v>REC-P03</x:v>
      </x:c>
      <x:c r="E470" s="20" t="str">
        <x:v>Conversión de campaña a nuevo donante</x:v>
      </x:c>
      <x:c r="F470" s="20" t="str">
        <x:v>Strategic-map adjacent objective</x:v>
      </x:c>
      <x:c r="G470" s="20" t="n">
        <x:v>42</x:v>
      </x:c>
      <x:c r="H470" s="20" t="str">
        <x:v>Marketing + Procuración de Fondos</x:v>
      </x:c>
      <x:c r="I470" s="20" t="str">
        <x:v>Procesos internos</x:v>
      </x:c>
      <x:c r="J470" s="20" t="str">
        <x:v>P3. Integrar Marketing + Procuración</x:v>
      </x:c>
      <x:c r="K470" s="20" t="n">
        <x:v>100</x:v>
      </x:c>
      <x:c r="L470" s="20" t="n">
        <x:v>2015.0147157960507</x:v>
      </x:c>
      <x:c r="M470" s="52" t="n">
        <x:v>-0.9503725708720226</x:v>
      </x:c>
      <x:c r="N470" s="20" t="str">
        <x:v>Deteriorating</x:v>
      </x:c>
      <x:c r="O470" s="20" t="str">
        <x:v>Prototype retrieval heuristic; association is not proof of causality.</x:v>
      </x:c>
      <x:c r="P470" s="20" t="str">
        <x:v>YES</x:v>
      </x:c>
    </x:row>
    <x:row r="471">
      <x:c r="A471" s="20" t="str">
        <x:v>FND-015</x:v>
      </x:c>
      <x:c r="B471" s="20" t="str">
        <x:v>Nuevos donantes recurrentes EOS — México</x:v>
      </x:c>
      <x:c r="C471" s="20" t="n">
        <x:v>6</x:v>
      </x:c>
      <x:c r="D471" s="20" t="str">
        <x:v>FND-009</x:v>
      </x:c>
      <x:c r="E471" s="20" t="str">
        <x:v>Nuevos donantes recurrentes — Colombia</x:v>
      </x:c>
      <x:c r="F471" s="20" t="str">
        <x:v>Same strategic objective; Same department; Same BSC perspective</x:v>
      </x:c>
      <x:c r="G471" s="20" t="n">
        <x:v>87</x:v>
      </x:c>
      <x:c r="H471" s="20" t="str">
        <x:v>Procuración de Fondos</x:v>
      </x:c>
      <x:c r="I471" s="20" t="str">
        <x:v>Sostenibilidad financiera</x:v>
      </x:c>
      <x:c r="J471" s="20" t="str">
        <x:v>F2. Incrementar y retener donantes recurrentes</x:v>
      </x:c>
      <x:c r="K471" s="20" t="n">
        <x:v>5</x:v>
      </x:c>
      <x:c r="L471" s="20" t="n">
        <x:v>3.3333333333333335</x:v>
      </x:c>
      <x:c r="M471" s="52" t="n">
        <x:v>0.49999999999999994</x:v>
      </x:c>
      <x:c r="N471" s="20" t="str">
        <x:v>Strong improvement</x:v>
      </x:c>
      <x:c r="O471" s="20" t="str">
        <x:v>Prototype retrieval heuristic; association is not proof of causality.</x:v>
      </x:c>
      <x:c r="P471" s="20" t="str">
        <x:v>YES</x:v>
      </x:c>
    </x:row>
    <x:row r="472">
      <x:c r="A472" s="20" t="str">
        <x:v>FND-015</x:v>
      </x:c>
      <x:c r="B472" s="20" t="str">
        <x:v>Nuevos donantes recurrentes EOS — México</x:v>
      </x:c>
      <x:c r="C472" s="20" t="n">
        <x:v>7</x:v>
      </x:c>
      <x:c r="D472" s="20" t="str">
        <x:v>FND-011</x:v>
      </x:c>
      <x:c r="E472" s="20" t="str">
        <x:v>Conversión de voluntarios staff a donantes recurrentes</x:v>
      </x:c>
      <x:c r="F472" s="20" t="str">
        <x:v>Same strategic objective; Same department; Same BSC perspective</x:v>
      </x:c>
      <x:c r="G472" s="20" t="n">
        <x:v>87</x:v>
      </x:c>
      <x:c r="H472" s="20" t="str">
        <x:v>Procuración de Fondos</x:v>
      </x:c>
      <x:c r="I472" s="20" t="str">
        <x:v>Sostenibilidad financiera</x:v>
      </x:c>
      <x:c r="J472" s="20" t="str">
        <x:v>F2. Incrementar y retener donantes recurrentes</x:v>
      </x:c>
      <x:c r="K472" s="20" t="n">
        <x:v>4</x:v>
      </x:c>
      <x:c r="L472" s="20" t="n">
        <x:v>3.232770826368222</x:v>
      </x:c>
      <x:c r="M472" s="52" t="n">
        <x:v>0.23732866164648694</x:v>
      </x:c>
      <x:c r="N472" s="20" t="str">
        <x:v>Strong improvement</x:v>
      </x:c>
      <x:c r="O472" s="20" t="str">
        <x:v>Prototype retrieval heuristic; association is not proof of causality.</x:v>
      </x:c>
      <x:c r="P472" s="20" t="str">
        <x:v>YES</x:v>
      </x:c>
    </x:row>
    <x:row r="473">
      <x:c r="A473" s="20" t="str">
        <x:v>FND-015</x:v>
      </x:c>
      <x:c r="B473" s="20" t="str">
        <x:v>Nuevos donantes recurrentes EOS — México</x:v>
      </x:c>
      <x:c r="C473" s="20" t="n">
        <x:v>8</x:v>
      </x:c>
      <x:c r="D473" s="20" t="str">
        <x:v>FND-013</x:v>
      </x:c>
      <x:c r="E473" s="20" t="str">
        <x:v>Nuevos donantes recurrentes EOS — Perú</x:v>
      </x:c>
      <x:c r="F473" s="20" t="str">
        <x:v>Same strategic objective; Same department; Same BSC perspective</x:v>
      </x:c>
      <x:c r="G473" s="20" t="n">
        <x:v>87</x:v>
      </x:c>
      <x:c r="H473" s="20" t="str">
        <x:v>Procuración de Fondos</x:v>
      </x:c>
      <x:c r="I473" s="20" t="str">
        <x:v>Sostenibilidad financiera</x:v>
      </x:c>
      <x:c r="J473" s="20" t="str">
        <x:v>F2. Incrementar y retener donantes recurrentes</x:v>
      </x:c>
      <x:c r="K473" s="20" t="n">
        <x:v>2</x:v>
      </x:c>
      <x:c r="L473" s="20" t="n">
        <x:v>1.3333333333333333</x:v>
      </x:c>
      <x:c r="M473" s="52" t="n">
        <x:v>0.5000000000000001</x:v>
      </x:c>
      <x:c r="N473" s="20" t="str">
        <x:v>Strong improvement</x:v>
      </x:c>
      <x:c r="O473" s="20" t="str">
        <x:v>Prototype retrieval heuristic; association is not proof of causality.</x:v>
      </x:c>
      <x:c r="P473" s="20" t="str">
        <x:v>YES</x:v>
      </x:c>
    </x:row>
    <x:row r="474">
      <x:c r="A474" s="20" t="str">
        <x:v>FND-016</x:v>
      </x:c>
      <x:c r="B474" s="20" t="str">
        <x:v>Nuevas alianzas estratégicas activas por país</x:v>
      </x:c>
      <x:c r="C474" s="20" t="n">
        <x:v>1</x:v>
      </x:c>
      <x:c r="D474" s="20" t="str">
        <x:v>REC-P07</x:v>
      </x:c>
      <x:c r="E474" s="20" t="str">
        <x:v>Conversión de alianzas estratégicas a recursos o capacidad programática</x:v>
      </x:c>
      <x:c r="F474" s="20" t="str">
        <x:v>Same strategic objective; Same department; Same BSC perspective</x:v>
      </x:c>
      <x:c r="G474" s="20" t="n">
        <x:v>85</x:v>
      </x:c>
      <x:c r="H474" s="20" t="str">
        <x:v>Procuración de Fondos</x:v>
      </x:c>
      <x:c r="I474" s="20" t="str">
        <x:v>Procesos internos</x:v>
      </x:c>
      <x:c r="J474" s="20" t="str">
        <x:v>P6. Construir ecosistema de alianzas</x:v>
      </x:c>
      <x:c r="K474" s="20" t="n">
        <x:v>72</x:v>
      </x:c>
      <x:c r="L474" s="20" t="n">
        <x:v>61.16347381864623</x:v>
      </x:c>
      <x:c r="M474" s="52" t="n">
        <x:v>0.17717316406005307</x:v>
      </x:c>
      <x:c r="N474" s="20" t="str">
        <x:v>Strong improvement</x:v>
      </x:c>
      <x:c r="O474" s="20" t="str">
        <x:v>Prototype retrieval heuristic; association is not proof of causality.</x:v>
      </x:c>
      <x:c r="P474" s="20" t="str">
        <x:v>YES</x:v>
      </x:c>
    </x:row>
    <x:row r="475">
      <x:c r="A475" s="20" t="str">
        <x:v>FND-016</x:v>
      </x:c>
      <x:c r="B475" s="20" t="str">
        <x:v>Nuevas alianzas estratégicas activas por país</x:v>
      </x:c>
      <x:c r="C475" s="20" t="n">
        <x:v>2</x:v>
      </x:c>
      <x:c r="D475" s="20" t="str">
        <x:v>OPS-016</x:v>
      </x:c>
      <x:c r="E475" s="20" t="str">
        <x:v>Proyectos OSC financiados conforme a reglas de operación</x:v>
      </x:c>
      <x:c r="F475" s="20" t="str">
        <x:v>Same strategic objective; Same BSC perspective</x:v>
      </x:c>
      <x:c r="G475" s="20" t="n">
        <x:v>62</x:v>
      </x:c>
      <x:c r="H475" s="20" t="str">
        <x:v>Operaciones</x:v>
      </x:c>
      <x:c r="I475" s="20" t="str">
        <x:v>Procesos internos</x:v>
      </x:c>
      <x:c r="J475" s="20" t="str">
        <x:v>P6. Construir ecosistema de alianzas</x:v>
      </x:c>
      <x:c r="K475" s="20" t="n">
        <x:v>4</x:v>
      </x:c>
      <x:c r="L475" s="20" t="n">
        <x:v>2.6666666666666665</x:v>
      </x:c>
      <x:c r="M475" s="52" t="n">
        <x:v>0.5000000000000001</x:v>
      </x:c>
      <x:c r="N475" s="20" t="str">
        <x:v>Strong improvement</x:v>
      </x:c>
      <x:c r="O475" s="20" t="str">
        <x:v>Prototype retrieval heuristic; association is not proof of causality.</x:v>
      </x:c>
      <x:c r="P475" s="20" t="str">
        <x:v>YES</x:v>
      </x:c>
    </x:row>
    <x:row r="476">
      <x:c r="A476" s="20" t="str">
        <x:v>FND-016</x:v>
      </x:c>
      <x:c r="B476" s="20" t="str">
        <x:v>Nuevas alianzas estratégicas activas por país</x:v>
      </x:c>
      <x:c r="C476" s="20" t="n">
        <x:v>3</x:v>
      </x:c>
      <x:c r="D476" s="20" t="str">
        <x:v>OPS-020</x:v>
      </x:c>
      <x:c r="E476" s="20" t="str">
        <x:v>Donativos en especie asignados a organizaciones elegibles</x:v>
      </x:c>
      <x:c r="F476" s="20" t="str">
        <x:v>Same strategic objective; Same BSC perspective</x:v>
      </x:c>
      <x:c r="G476" s="20" t="n">
        <x:v>62</x:v>
      </x:c>
      <x:c r="H476" s="20" t="str">
        <x:v>Operaciones</x:v>
      </x:c>
      <x:c r="I476" s="20" t="str">
        <x:v>Procesos internos</x:v>
      </x:c>
      <x:c r="J476" s="20" t="str">
        <x:v>P6. Construir ecosistema de alianzas</x:v>
      </x:c>
      <x:c r="K476" s="20" t="n">
        <x:v>100</x:v>
      </x:c>
      <x:c r="L476" s="20" t="n">
        <x:v>88.9514687100894</x:v>
      </x:c>
      <x:c r="M476" s="52" t="n">
        <x:v>0.12420853135005526</x:v>
      </x:c>
      <x:c r="N476" s="20" t="str">
        <x:v>Strong improvement</x:v>
      </x:c>
      <x:c r="O476" s="20" t="str">
        <x:v>Prototype retrieval heuristic; association is not proof of causality.</x:v>
      </x:c>
      <x:c r="P476" s="20" t="str">
        <x:v>YES</x:v>
      </x:c>
    </x:row>
    <x:row r="477">
      <x:c r="A477" s="20" t="str">
        <x:v>FND-016</x:v>
      </x:c>
      <x:c r="B477" s="20" t="str">
        <x:v>Nuevas alianzas estratégicas activas por país</x:v>
      </x:c>
      <x:c r="C477" s="20" t="n">
        <x:v>4</x:v>
      </x:c>
      <x:c r="D477" s="20" t="str">
        <x:v>FND-010</x:v>
      </x:c>
      <x:c r="E477" s="20" t="str">
        <x:v>Participación de staff en voluntariado corporativo</x:v>
      </x:c>
      <x:c r="F477" s="20" t="str">
        <x:v>Strategic-map adjacent objective; Same department</x:v>
      </x:c>
      <x:c r="G477" s="20" t="n">
        <x:v>67</x:v>
      </x:c>
      <x:c r="H477" s="20" t="str">
        <x:v>Procuración de Fondos</x:v>
      </x:c>
      <x:c r="I477" s="20" t="str">
        <x:v>Beneficiarios y grupos de interés</x:v>
      </x:c>
      <x:c r="J477" s="20" t="str">
        <x:v>C4. Fortalecer relación con donantes, aliados y comunidades</x:v>
      </x:c>
      <x:c r="K477" s="20" t="n">
        <x:v>26</x:v>
      </x:c>
      <x:c r="L477" s="20" t="n">
        <x:v>19.333333333333332</x:v>
      </x:c>
      <x:c r="M477" s="52" t="n">
        <x:v>0.34482758620689663</x:v>
      </x:c>
      <x:c r="N477" s="20" t="str">
        <x:v>Strong improvement</x:v>
      </x:c>
      <x:c r="O477" s="20" t="str">
        <x:v>Prototype retrieval heuristic; association is not proof of causality.</x:v>
      </x:c>
      <x:c r="P477" s="20" t="str">
        <x:v>YES</x:v>
      </x:c>
    </x:row>
    <x:row r="478">
      <x:c r="A478" s="20" t="str">
        <x:v>FND-016</x:v>
      </x:c>
      <x:c r="B478" s="20" t="str">
        <x:v>Nuevas alianzas estratégicas activas por país</x:v>
      </x:c>
      <x:c r="C478" s="20" t="n">
        <x:v>5</x:v>
      </x:c>
      <x:c r="D478" s="20" t="str">
        <x:v>FND-012</x:v>
      </x:c>
      <x:c r="E478" s="20" t="str">
        <x:v>Participación de empresarios EOS en voluntariado</x:v>
      </x:c>
      <x:c r="F478" s="20" t="str">
        <x:v>Strategic-map adjacent objective; Same department</x:v>
      </x:c>
      <x:c r="G478" s="20" t="n">
        <x:v>67</x:v>
      </x:c>
      <x:c r="H478" s="20" t="str">
        <x:v>Procuración de Fondos</x:v>
      </x:c>
      <x:c r="I478" s="20" t="str">
        <x:v>Beneficiarios y grupos de interés</x:v>
      </x:c>
      <x:c r="J478" s="20" t="str">
        <x:v>C4. Fortalecer relación con donantes, aliados y comunidades</x:v>
      </x:c>
      <x:c r="K478" s="20" t="n">
        <x:v>15</x:v>
      </x:c>
      <x:c r="L478" s="20" t="n">
        <x:v>12</x:v>
      </x:c>
      <x:c r="M478" s="52" t="n">
        <x:v>0.25</x:v>
      </x:c>
      <x:c r="N478" s="20" t="str">
        <x:v>Strong improvement</x:v>
      </x:c>
      <x:c r="O478" s="20" t="str">
        <x:v>Prototype retrieval heuristic; association is not proof of causality.</x:v>
      </x:c>
      <x:c r="P478" s="20" t="str">
        <x:v>YES</x:v>
      </x:c>
    </x:row>
    <x:row r="479">
      <x:c r="A479" s="20" t="str">
        <x:v>FND-016</x:v>
      </x:c>
      <x:c r="B479" s="20" t="str">
        <x:v>Nuevas alianzas estratégicas activas por país</x:v>
      </x:c>
      <x:c r="C479" s="20" t="n">
        <x:v>6</x:v>
      </x:c>
      <x:c r="D479" s="20" t="str">
        <x:v>FND-001</x:v>
      </x:c>
      <x:c r="E479" s="20" t="str">
        <x:v>Fondos recaudados — Tu Donativo x2 (Chivas)</x:v>
      </x:c>
      <x:c r="F479" s="20" t="str">
        <x:v>Strategic-map adjacent objective; Same department</x:v>
      </x:c>
      <x:c r="G479" s="20" t="n">
        <x:v>65</x:v>
      </x:c>
      <x:c r="H479" s="20" t="str">
        <x:v>Procuración de Fondos</x:v>
      </x:c>
      <x:c r="I479" s="20" t="str">
        <x:v>Sostenibilidad financiera</x:v>
      </x:c>
      <x:c r="J479" s="20" t="str">
        <x:v>F1. Diversificar y aumentar fuentes</x:v>
      </x:c>
      <x:c r="K479" s="20" t="n">
        <x:v>40800</x:v>
      </x:c>
      <x:c r="L479" s="20" t="n">
        <x:v>31333.333333333332</x:v>
      </x:c>
      <x:c r="M479" s="52" t="n">
        <x:v>0.30212765957446813</x:v>
      </x:c>
      <x:c r="N479" s="20" t="str">
        <x:v>Strong improvement</x:v>
      </x:c>
      <x:c r="O479" s="20" t="str">
        <x:v>Prototype retrieval heuristic; association is not proof of causality.</x:v>
      </x:c>
      <x:c r="P479" s="20" t="str">
        <x:v>YES</x:v>
      </x:c>
    </x:row>
    <x:row r="480">
      <x:c r="A480" s="20" t="str">
        <x:v>FND-016</x:v>
      </x:c>
      <x:c r="B480" s="20" t="str">
        <x:v>Nuevas alianzas estratégicas activas por país</x:v>
      </x:c>
      <x:c r="C480" s="20" t="n">
        <x:v>7</x:v>
      </x:c>
      <x:c r="D480" s="20" t="str">
        <x:v>FND-002</x:v>
      </x:c>
      <x:c r="E480" s="20" t="str">
        <x:v>Fondos recaudados — ¿Cuánto vale una sonrisa? México</x:v>
      </x:c>
      <x:c r="F480" s="20" t="str">
        <x:v>Strategic-map adjacent objective; Same department</x:v>
      </x:c>
      <x:c r="G480" s="20" t="n">
        <x:v>65</x:v>
      </x:c>
      <x:c r="H480" s="20" t="str">
        <x:v>Procuración de Fondos</x:v>
      </x:c>
      <x:c r="I480" s="20" t="str">
        <x:v>Sostenibilidad financiera</x:v>
      </x:c>
      <x:c r="J480" s="20" t="str">
        <x:v>F1. Diversificar y aumentar fuentes</x:v>
      </x:c>
      <x:c r="K480" s="20" t="n">
        <x:v>100</x:v>
      </x:c>
      <x:c r="L480" s="20" t="n">
        <x:v>359989</x:v>
      </x:c>
      <x:c r="M480" s="52" t="n">
        <x:v>-0.9997222137343086</x:v>
      </x:c>
      <x:c r="N480" s="20" t="str">
        <x:v>Deteriorating</x:v>
      </x:c>
      <x:c r="O480" s="20" t="str">
        <x:v>Prototype retrieval heuristic; association is not proof of causality.</x:v>
      </x:c>
      <x:c r="P480" s="20" t="str">
        <x:v>YES</x:v>
      </x:c>
    </x:row>
    <x:row r="481">
      <x:c r="A481" s="20" t="str">
        <x:v>FND-016</x:v>
      </x:c>
      <x:c r="B481" s="20" t="str">
        <x:v>Nuevas alianzas estratégicas activas por país</x:v>
      </x:c>
      <x:c r="C481" s="20" t="n">
        <x:v>8</x:v>
      </x:c>
      <x:c r="D481" s="20" t="str">
        <x:v>ADM-001</x:v>
      </x:c>
      <x:c r="E481" s="20" t="str">
        <x:v>Facturación de donativos emitida dentro del SLA</x:v>
      </x:c>
      <x:c r="F481" s="20" t="str">
        <x:v>Same BSC perspective</x:v>
      </x:c>
      <x:c r="G481" s="20" t="n">
        <x:v>12</x:v>
      </x:c>
      <x:c r="H481" s="20" t="str">
        <x:v>Administración</x:v>
      </x:c>
      <x:c r="I481" s="20" t="str">
        <x:v>Procesos internos</x:v>
      </x:c>
      <x:c r="J481" s="20" t="str">
        <x:v>P4. Simplificar y digitalizar procesos</x:v>
      </x:c>
      <x:c r="K481" s="20" t="n">
        <x:v>100</x:v>
      </x:c>
      <x:c r="L481" s="20" t="n">
        <x:v>89.08024931406226</x:v>
      </x:c>
      <x:c r="M481" s="52" t="n">
        <x:v>0.12258329730801444</x:v>
      </x:c>
      <x:c r="N481" s="20" t="str">
        <x:v>Strong improvement</x:v>
      </x:c>
      <x:c r="O481" s="20" t="str">
        <x:v>Prototype retrieval heuristic; association is not proof of causality.</x:v>
      </x:c>
      <x:c r="P481" s="20" t="str">
        <x:v>YES</x:v>
      </x:c>
    </x:row>
    <x:row r="482">
      <x:c r="A482" s="20" t="str">
        <x:v>FND-017</x:v>
      </x:c>
      <x:c r="B482" s="20" t="str">
        <x:v>Fondos recaudados — Subasta Omnilife</x:v>
      </x:c>
      <x:c r="C482" s="20" t="n">
        <x:v>1</x:v>
      </x:c>
      <x:c r="D482" s="20" t="str">
        <x:v>FND-001</x:v>
      </x:c>
      <x:c r="E482" s="20" t="str">
        <x:v>Fondos recaudados — Tu Donativo x2 (Chivas)</x:v>
      </x:c>
      <x:c r="F482" s="20" t="str">
        <x:v>Same strategic objective; Same department; Same BSC perspective</x:v>
      </x:c>
      <x:c r="G482" s="20" t="n">
        <x:v>87</x:v>
      </x:c>
      <x:c r="H482" s="20" t="str">
        <x:v>Procuración de Fondos</x:v>
      </x:c>
      <x:c r="I482" s="20" t="str">
        <x:v>Sostenibilidad financiera</x:v>
      </x:c>
      <x:c r="J482" s="20" t="str">
        <x:v>F1. Diversificar y aumentar fuentes</x:v>
      </x:c>
      <x:c r="K482" s="20" t="n">
        <x:v>40800</x:v>
      </x:c>
      <x:c r="L482" s="20" t="n">
        <x:v>31333.333333333332</x:v>
      </x:c>
      <x:c r="M482" s="52" t="n">
        <x:v>0.30212765957446813</x:v>
      </x:c>
      <x:c r="N482" s="20" t="str">
        <x:v>Strong improvement</x:v>
      </x:c>
      <x:c r="O482" s="20" t="str">
        <x:v>Prototype retrieval heuristic; association is not proof of causality.</x:v>
      </x:c>
      <x:c r="P482" s="20" t="str">
        <x:v>YES</x:v>
      </x:c>
    </x:row>
    <x:row r="483">
      <x:c r="A483" s="20" t="str">
        <x:v>FND-017</x:v>
      </x:c>
      <x:c r="B483" s="20" t="str">
        <x:v>Fondos recaudados — Subasta Omnilife</x:v>
      </x:c>
      <x:c r="C483" s="20" t="n">
        <x:v>2</x:v>
      </x:c>
      <x:c r="D483" s="20" t="str">
        <x:v>FND-002</x:v>
      </x:c>
      <x:c r="E483" s="20" t="str">
        <x:v>Fondos recaudados — ¿Cuánto vale una sonrisa? México</x:v>
      </x:c>
      <x:c r="F483" s="20" t="str">
        <x:v>Same strategic objective; Same department; Same BSC perspective</x:v>
      </x:c>
      <x:c r="G483" s="20" t="n">
        <x:v>87</x:v>
      </x:c>
      <x:c r="H483" s="20" t="str">
        <x:v>Procuración de Fondos</x:v>
      </x:c>
      <x:c r="I483" s="20" t="str">
        <x:v>Sostenibilidad financiera</x:v>
      </x:c>
      <x:c r="J483" s="20" t="str">
        <x:v>F1. Diversificar y aumentar fuentes</x:v>
      </x:c>
      <x:c r="K483" s="20" t="n">
        <x:v>100</x:v>
      </x:c>
      <x:c r="L483" s="20" t="n">
        <x:v>359989</x:v>
      </x:c>
      <x:c r="M483" s="52" t="n">
        <x:v>-0.9997222137343086</x:v>
      </x:c>
      <x:c r="N483" s="20" t="str">
        <x:v>Deteriorating</x:v>
      </x:c>
      <x:c r="O483" s="20" t="str">
        <x:v>Prototype retrieval heuristic; association is not proof of causality.</x:v>
      </x:c>
      <x:c r="P483" s="20" t="str">
        <x:v>YES</x:v>
      </x:c>
    </x:row>
    <x:row r="484">
      <x:c r="A484" s="20" t="str">
        <x:v>FND-017</x:v>
      </x:c>
      <x:c r="B484" s="20" t="str">
        <x:v>Fondos recaudados — Subasta Omnilife</x:v>
      </x:c>
      <x:c r="C484" s="20" t="n">
        <x:v>3</x:v>
      </x:c>
      <x:c r="D484" s="20" t="str">
        <x:v>FND-003</x:v>
      </x:c>
      <x:c r="E484" s="20" t="str">
        <x:v>Fondos recaudados — ¿Cuánto vale una sonrisa? USA</x:v>
      </x:c>
      <x:c r="F484" s="20" t="str">
        <x:v>Same strategic objective; Same department; Same BSC perspective</x:v>
      </x:c>
      <x:c r="G484" s="20" t="n">
        <x:v>87</x:v>
      </x:c>
      <x:c r="H484" s="20" t="str">
        <x:v>Procuración de Fondos</x:v>
      </x:c>
      <x:c r="I484" s="20" t="str">
        <x:v>Sostenibilidad financiera</x:v>
      </x:c>
      <x:c r="J484" s="20" t="str">
        <x:v>F1. Diversificar y aumentar fuentes</x:v>
      </x:c>
      <x:c r="K484" s="20" t="n">
        <x:v>100</x:v>
      </x:c>
      <x:c r="L484" s="20" t="n">
        <x:v>29989</x:v>
      </x:c>
      <x:c r="M484" s="52" t="n">
        <x:v>-0.9966654439961319</x:v>
      </x:c>
      <x:c r="N484" s="20" t="str">
        <x:v>Deteriorating</x:v>
      </x:c>
      <x:c r="O484" s="20" t="str">
        <x:v>Prototype retrieval heuristic; association is not proof of causality.</x:v>
      </x:c>
      <x:c r="P484" s="20" t="str">
        <x:v>YES</x:v>
      </x:c>
    </x:row>
    <x:row r="485">
      <x:c r="A485" s="20" t="str">
        <x:v>FND-017</x:v>
      </x:c>
      <x:c r="B485" s="20" t="str">
        <x:v>Fondos recaudados — Subasta Omnilife</x:v>
      </x:c>
      <x:c r="C485" s="20" t="n">
        <x:v>4</x:v>
      </x:c>
      <x:c r="D485" s="20" t="str">
        <x:v>REC-P07</x:v>
      </x:c>
      <x:c r="E485" s="20" t="str">
        <x:v>Conversión de alianzas estratégicas a recursos o capacidad programática</x:v>
      </x:c>
      <x:c r="F485" s="20" t="str">
        <x:v>Strategic-map adjacent objective; Same department</x:v>
      </x:c>
      <x:c r="G485" s="20" t="n">
        <x:v>67</x:v>
      </x:c>
      <x:c r="H485" s="20" t="str">
        <x:v>Procuración de Fondos</x:v>
      </x:c>
      <x:c r="I485" s="20" t="str">
        <x:v>Procesos internos</x:v>
      </x:c>
      <x:c r="J485" s="20" t="str">
        <x:v>P6. Construir ecosistema de alianzas</x:v>
      </x:c>
      <x:c r="K485" s="20" t="n">
        <x:v>72</x:v>
      </x:c>
      <x:c r="L485" s="20" t="n">
        <x:v>61.16347381864623</x:v>
      </x:c>
      <x:c r="M485" s="52" t="n">
        <x:v>0.17717316406005307</x:v>
      </x:c>
      <x:c r="N485" s="20" t="str">
        <x:v>Strong improvement</x:v>
      </x:c>
      <x:c r="O485" s="20" t="str">
        <x:v>Prototype retrieval heuristic; association is not proof of causality.</x:v>
      </x:c>
      <x:c r="P485" s="20" t="str">
        <x:v>YES</x:v>
      </x:c>
    </x:row>
    <x:row r="486">
      <x:c r="A486" s="20" t="str">
        <x:v>FND-017</x:v>
      </x:c>
      <x:c r="B486" s="20" t="str">
        <x:v>Fondos recaudados — Subasta Omnilife</x:v>
      </x:c>
      <x:c r="C486" s="20" t="n">
        <x:v>5</x:v>
      </x:c>
      <x:c r="D486" s="20" t="str">
        <x:v>FND-016</x:v>
      </x:c>
      <x:c r="E486" s="20" t="str">
        <x:v>Nuevas alianzas estratégicas activas por país</x:v>
      </x:c>
      <x:c r="F486" s="20" t="str">
        <x:v>Strategic-map adjacent objective; Same department</x:v>
      </x:c>
      <x:c r="G486" s="20" t="n">
        <x:v>65</x:v>
      </x:c>
      <x:c r="H486" s="20" t="str">
        <x:v>Procuración de Fondos</x:v>
      </x:c>
      <x:c r="I486" s="20" t="str">
        <x:v>Procesos internos</x:v>
      </x:c>
      <x:c r="J486" s="20" t="str">
        <x:v>P6. Construir ecosistema de alianzas</x:v>
      </x:c>
      <x:c r="K486" s="20" t="n">
        <x:v>4</x:v>
      </x:c>
      <x:c r="L486" s="20" t="n">
        <x:v>2.6666666666666665</x:v>
      </x:c>
      <x:c r="M486" s="52" t="n">
        <x:v>0.5000000000000001</x:v>
      </x:c>
      <x:c r="N486" s="20" t="str">
        <x:v>Strong improvement</x:v>
      </x:c>
      <x:c r="O486" s="20" t="str">
        <x:v>Prototype retrieval heuristic; association is not proof of causality.</x:v>
      </x:c>
      <x:c r="P486" s="20" t="str">
        <x:v>YES</x:v>
      </x:c>
    </x:row>
    <x:row r="487">
      <x:c r="A487" s="20" t="str">
        <x:v>FND-017</x:v>
      </x:c>
      <x:c r="B487" s="20" t="str">
        <x:v>Fondos recaudados — Subasta Omnilife</x:v>
      </x:c>
      <x:c r="C487" s="20" t="n">
        <x:v>6</x:v>
      </x:c>
      <x:c r="D487" s="20" t="str">
        <x:v>FND-004</x:v>
      </x:c>
      <x:c r="E487" s="20" t="str">
        <x:v>Fondos recaudados — ¿Cuánto vale una sonrisa? Perú</x:v>
      </x:c>
      <x:c r="F487" s="20" t="str">
        <x:v>Same strategic objective; Same department; Same BSC perspective</x:v>
      </x:c>
      <x:c r="G487" s="20" t="n">
        <x:v>87</x:v>
      </x:c>
      <x:c r="H487" s="20" t="str">
        <x:v>Procuración de Fondos</x:v>
      </x:c>
      <x:c r="I487" s="20" t="str">
        <x:v>Sostenibilidad financiera</x:v>
      </x:c>
      <x:c r="J487" s="20" t="str">
        <x:v>F1. Diversificar y aumentar fuentes</x:v>
      </x:c>
      <x:c r="K487" s="20" t="n">
        <x:v>100</x:v>
      </x:c>
      <x:c r="L487" s="20" t="n">
        <x:v>2989</x:v>
      </x:c>
      <x:c r="M487" s="52" t="n">
        <x:v>-0.9665439946470391</x:v>
      </x:c>
      <x:c r="N487" s="20" t="str">
        <x:v>Deteriorating</x:v>
      </x:c>
      <x:c r="O487" s="20" t="str">
        <x:v>Prototype retrieval heuristic; association is not proof of causality.</x:v>
      </x:c>
      <x:c r="P487" s="20" t="str">
        <x:v>YES</x:v>
      </x:c>
    </x:row>
    <x:row r="488">
      <x:c r="A488" s="20" t="str">
        <x:v>FND-017</x:v>
      </x:c>
      <x:c r="B488" s="20" t="str">
        <x:v>Fondos recaudados — Subasta Omnilife</x:v>
      </x:c>
      <x:c r="C488" s="20" t="n">
        <x:v>7</x:v>
      </x:c>
      <x:c r="D488" s="20" t="str">
        <x:v>FND-005</x:v>
      </x:c>
      <x:c r="E488" s="20" t="str">
        <x:v>Sell-through de artículos Mes de Fundación</x:v>
      </x:c>
      <x:c r="F488" s="20" t="str">
        <x:v>Same strategic objective; Same department; Same BSC perspective</x:v>
      </x:c>
      <x:c r="G488" s="20" t="n">
        <x:v>87</x:v>
      </x:c>
      <x:c r="H488" s="20" t="str">
        <x:v>Procuración de Fondos</x:v>
      </x:c>
      <x:c r="I488" s="20" t="str">
        <x:v>Sostenibilidad financiera</x:v>
      </x:c>
      <x:c r="J488" s="20" t="str">
        <x:v>F1. Diversificar y aumentar fuentes</x:v>
      </x:c>
      <x:c r="K488" s="20" t="n">
        <x:v>100</x:v>
      </x:c>
      <x:c r="L488" s="20" t="n">
        <x:v>88.9514687100894</x:v>
      </x:c>
      <x:c r="M488" s="52" t="n">
        <x:v>0.12420853135005526</x:v>
      </x:c>
      <x:c r="N488" s="20" t="str">
        <x:v>Strong improvement</x:v>
      </x:c>
      <x:c r="O488" s="20" t="str">
        <x:v>Prototype retrieval heuristic; association is not proof of causality.</x:v>
      </x:c>
      <x:c r="P488" s="20" t="str">
        <x:v>YES</x:v>
      </x:c>
    </x:row>
    <x:row r="489">
      <x:c r="A489" s="20" t="str">
        <x:v>FND-017</x:v>
      </x:c>
      <x:c r="B489" s="20" t="str">
        <x:v>Fondos recaudados — Subasta Omnilife</x:v>
      </x:c>
      <x:c r="C489" s="20" t="n">
        <x:v>8</x:v>
      </x:c>
      <x:c r="D489" s="20" t="str">
        <x:v>REC-F01</x:v>
      </x:c>
      <x:c r="E489" s="20" t="str">
        <x:v>Cumplimiento de meta total de procuración</x:v>
      </x:c>
      <x:c r="F489" s="20" t="str">
        <x:v>Same strategic objective; Same department; Same BSC perspective</x:v>
      </x:c>
      <x:c r="G489" s="20" t="n">
        <x:v>87</x:v>
      </x:c>
      <x:c r="H489" s="20" t="str">
        <x:v>Procuración de Fondos</x:v>
      </x:c>
      <x:c r="I489" s="20" t="str">
        <x:v>Sostenibilidad financiera</x:v>
      </x:c>
      <x:c r="J489" s="20" t="str">
        <x:v>F1. Diversificar y aumentar fuentes</x:v>
      </x:c>
      <x:c r="K489" s="20" t="n">
        <x:v>100</x:v>
      </x:c>
      <x:c r="L489" s="20" t="n">
        <x:v>88.9514687100894</x:v>
      </x:c>
      <x:c r="M489" s="52" t="n">
        <x:v>0.12420853135005526</x:v>
      </x:c>
      <x:c r="N489" s="20" t="str">
        <x:v>Strong improvement</x:v>
      </x:c>
      <x:c r="O489" s="20" t="str">
        <x:v>Prototype retrieval heuristic; association is not proof of causality.</x:v>
      </x:c>
      <x:c r="P489" s="20" t="str">
        <x:v>YES</x:v>
      </x:c>
    </x:row>
    <x:row r="490">
      <x:c r="A490" s="20" t="str">
        <x:v>MKT-001</x:v>
      </x:c>
      <x:c r="B490" s="20" t="str">
        <x:v>Cumplimiento del manual/protocolo de comunicación global</x:v>
      </x:c>
      <x:c r="C490" s="20" t="n">
        <x:v>1</x:v>
      </x:c>
      <x:c r="D490" s="20" t="str">
        <x:v>MKT-004</x:v>
      </x:c>
      <x:c r="E490" s="20" t="str">
        <x:v>Compromisos de mejora de comunicación cerrados en plazo</x:v>
      </x:c>
      <x:c r="F490" s="20" t="str">
        <x:v>Same strategic objective; Same department; Same BSC perspective</x:v>
      </x:c>
      <x:c r="G490" s="20" t="n">
        <x:v>87</x:v>
      </x:c>
      <x:c r="H490" s="20" t="str">
        <x:v>Marketing y Comunicación</x:v>
      </x:c>
      <x:c r="I490" s="20" t="str">
        <x:v>Capacidades y tecnología</x:v>
      </x:c>
      <x:c r="J490" s="20" t="str">
        <x:v>L4. Fortalecer colaboración interdepartamental</x:v>
      </x:c>
      <x:c r="K490" s="20" t="n">
        <x:v>92</x:v>
      </x:c>
      <x:c r="L490" s="20" t="n">
        <x:v>80.97783311812088</x:v>
      </x:c>
      <x:c r="M490" s="52" t="n">
        <x:v>0.13611338384173954</x:v>
      </x:c>
      <x:c r="N490" s="20" t="str">
        <x:v>Strong improvement</x:v>
      </x:c>
      <x:c r="O490" s="20" t="str">
        <x:v>Prototype retrieval heuristic; association is not proof of causality.</x:v>
      </x:c>
      <x:c r="P490" s="20" t="str">
        <x:v>YES</x:v>
      </x:c>
    </x:row>
    <x:row r="491">
      <x:c r="A491" s="20" t="str">
        <x:v>MKT-001</x:v>
      </x:c>
      <x:c r="B491" s="20" t="str">
        <x:v>Cumplimiento del manual/protocolo de comunicación global</x:v>
      </x:c>
      <x:c r="C491" s="20" t="n">
        <x:v>2</x:v>
      </x:c>
      <x:c r="D491" s="20" t="str">
        <x:v>ADM-004</x:v>
      </x:c>
      <x:c r="E491" s="20" t="str">
        <x:v>Presupuestos anuales aprobados dentro del calendario</x:v>
      </x:c>
      <x:c r="F491" s="20" t="str">
        <x:v>Same strategic objective; Same BSC perspective</x:v>
      </x:c>
      <x:c r="G491" s="20" t="n">
        <x:v>62</x:v>
      </x:c>
      <x:c r="H491" s="20" t="str">
        <x:v>Administración</x:v>
      </x:c>
      <x:c r="I491" s="20" t="str">
        <x:v>Capacidades y tecnología</x:v>
      </x:c>
      <x:c r="J491" s="20" t="str">
        <x:v>L4. Fortalecer colaboración interdepartamental</x:v>
      </x:c>
      <x:c r="K491" s="20" t="n">
        <x:v>100</x:v>
      </x:c>
      <x:c r="L491" s="20" t="n">
        <x:v>88.9514687100894</x:v>
      </x:c>
      <x:c r="M491" s="52" t="n">
        <x:v>0.12420853135005526</x:v>
      </x:c>
      <x:c r="N491" s="20" t="str">
        <x:v>Strong improvement</x:v>
      </x:c>
      <x:c r="O491" s="20" t="str">
        <x:v>Prototype retrieval heuristic; association is not proof of causality.</x:v>
      </x:c>
      <x:c r="P491" s="20" t="str">
        <x:v>YES</x:v>
      </x:c>
    </x:row>
    <x:row r="492">
      <x:c r="A492" s="20" t="str">
        <x:v>MKT-001</x:v>
      </x:c>
      <x:c r="B492" s="20" t="str">
        <x:v>Cumplimiento del manual/protocolo de comunicación global</x:v>
      </x:c>
      <x:c r="C492" s="20" t="n">
        <x:v>3</x:v>
      </x:c>
      <x:c r="D492" s="20" t="str">
        <x:v>ADM-012</x:v>
      </x:c>
      <x:c r="E492" s="20" t="str">
        <x:v>Nuevos convenios universitarios activados</x:v>
      </x:c>
      <x:c r="F492" s="20" t="str">
        <x:v>Same strategic objective; Same BSC perspective</x:v>
      </x:c>
      <x:c r="G492" s="20" t="n">
        <x:v>62</x:v>
      </x:c>
      <x:c r="H492" s="20" t="str">
        <x:v>Administración</x:v>
      </x:c>
      <x:c r="I492" s="20" t="str">
        <x:v>Capacidades y tecnología</x:v>
      </x:c>
      <x:c r="J492" s="20" t="str">
        <x:v>L4. Fortalecer colaboración interdepartamental</x:v>
      </x:c>
      <x:c r="K492" s="20" t="n">
        <x:v>2</x:v>
      </x:c>
      <x:c r="L492" s="20" t="n">
        <x:v>1.3333333333333333</x:v>
      </x:c>
      <x:c r="M492" s="52" t="n">
        <x:v>0.5000000000000001</x:v>
      </x:c>
      <x:c r="N492" s="20" t="str">
        <x:v>Strong improvement</x:v>
      </x:c>
      <x:c r="O492" s="20" t="str">
        <x:v>Prototype retrieval heuristic; association is not proof of causality.</x:v>
      </x:c>
      <x:c r="P492" s="20" t="str">
        <x:v>YES</x:v>
      </x:c>
    </x:row>
    <x:row r="493">
      <x:c r="A493" s="20" t="str">
        <x:v>MKT-001</x:v>
      </x:c>
      <x:c r="B493" s="20" t="str">
        <x:v>Cumplimiento del manual/protocolo de comunicación global</x:v>
      </x:c>
      <x:c r="C493" s="20" t="n">
        <x:v>4</x:v>
      </x:c>
      <x:c r="D493" s="20" t="str">
        <x:v>MKT-008</x:v>
      </x:c>
      <x:c r="E493" s="20" t="str">
        <x:v>Cumplimiento de ejecución multicanal del lanzamiento</x:v>
      </x:c>
      <x:c r="F493" s="20" t="str">
        <x:v>Strategic-map adjacent objective; Same department</x:v>
      </x:c>
      <x:c r="G493" s="20" t="n">
        <x:v>67</x:v>
      </x:c>
      <x:c r="H493" s="20" t="str">
        <x:v>Marketing y Comunicación</x:v>
      </x:c>
      <x:c r="I493" s="20" t="str">
        <x:v>Procesos internos</x:v>
      </x:c>
      <x:c r="J493" s="20" t="str">
        <x:v>P3. Integrar Marketing + Procuración</x:v>
      </x:c>
      <x:c r="K493" s="20" t="n">
        <x:v>100</x:v>
      </x:c>
      <x:c r="L493" s="20" t="n">
        <x:v>88.9514687100894</x:v>
      </x:c>
      <x:c r="M493" s="52" t="n">
        <x:v>0.12420853135005526</x:v>
      </x:c>
      <x:c r="N493" s="20" t="str">
        <x:v>Strong improvement</x:v>
      </x:c>
      <x:c r="O493" s="20" t="str">
        <x:v>Prototype retrieval heuristic; association is not proof of causality.</x:v>
      </x:c>
      <x:c r="P493" s="20" t="str">
        <x:v>YES</x:v>
      </x:c>
    </x:row>
    <x:row r="494">
      <x:c r="A494" s="20" t="str">
        <x:v>MKT-001</x:v>
      </x:c>
      <x:c r="B494" s="20" t="str">
        <x:v>Cumplimiento del manual/protocolo de comunicación global</x:v>
      </x:c>
      <x:c r="C494" s="20" t="n">
        <x:v>5</x:v>
      </x:c>
      <x:c r="D494" s="20" t="str">
        <x:v>MKT-011</x:v>
      </x:c>
      <x:c r="E494" s="20" t="str">
        <x:v>Actividades principales con cobertura completa de comunicación e impacto</x:v>
      </x:c>
      <x:c r="F494" s="20" t="str">
        <x:v>Strategic-map adjacent objective; Same department</x:v>
      </x:c>
      <x:c r="G494" s="20" t="n">
        <x:v>67</x:v>
      </x:c>
      <x:c r="H494" s="20" t="str">
        <x:v>Marketing y Comunicación</x:v>
      </x:c>
      <x:c r="I494" s="20" t="str">
        <x:v>Procesos internos</x:v>
      </x:c>
      <x:c r="J494" s="20" t="str">
        <x:v>P3. Integrar Marketing + Procuración</x:v>
      </x:c>
      <x:c r="K494" s="20" t="n">
        <x:v>100</x:v>
      </x:c>
      <x:c r="L494" s="20" t="n">
        <x:v>89.21401340466089</x:v>
      </x:c>
      <x:c r="M494" s="52" t="n">
        <x:v>0.12090013870820443</x:v>
      </x:c>
      <x:c r="N494" s="20" t="str">
        <x:v>Strong improvement</x:v>
      </x:c>
      <x:c r="O494" s="20" t="str">
        <x:v>Prototype retrieval heuristic; association is not proof of causality.</x:v>
      </x:c>
      <x:c r="P494" s="20" t="str">
        <x:v>YES</x:v>
      </x:c>
    </x:row>
    <x:row r="495">
      <x:c r="A495" s="20" t="str">
        <x:v>MKT-001</x:v>
      </x:c>
      <x:c r="B495" s="20" t="str">
        <x:v>Cumplimiento del manual/protocolo de comunicación global</x:v>
      </x:c>
      <x:c r="C495" s="20" t="n">
        <x:v>6</x:v>
      </x:c>
      <x:c r="D495" s="20" t="str">
        <x:v>MKT-013</x:v>
      </x:c>
      <x:c r="E495" s="20" t="str">
        <x:v>Campañas de procuración con análisis conjunto MKT–PF</x:v>
      </x:c>
      <x:c r="F495" s="20" t="str">
        <x:v>Strategic-map adjacent objective; Same department</x:v>
      </x:c>
      <x:c r="G495" s="20" t="n">
        <x:v>67</x:v>
      </x:c>
      <x:c r="H495" s="20" t="str">
        <x:v>Marketing y Comunicación</x:v>
      </x:c>
      <x:c r="I495" s="20" t="str">
        <x:v>Procesos internos</x:v>
      </x:c>
      <x:c r="J495" s="20" t="str">
        <x:v>P3. Integrar Marketing + Procuración</x:v>
      </x:c>
      <x:c r="K495" s="20" t="n">
        <x:v>100</x:v>
      </x:c>
      <x:c r="L495" s="20" t="n">
        <x:v>88.71031746031747</x:v>
      </x:c>
      <x:c r="M495" s="52" t="n">
        <x:v>0.12726459405054785</x:v>
      </x:c>
      <x:c r="N495" s="20" t="str">
        <x:v>Strong improvement</x:v>
      </x:c>
      <x:c r="O495" s="20" t="str">
        <x:v>Prototype retrieval heuristic; association is not proof of causality.</x:v>
      </x:c>
      <x:c r="P495" s="20" t="str">
        <x:v>YES</x:v>
      </x:c>
    </x:row>
    <x:row r="496">
      <x:c r="A496" s="20" t="str">
        <x:v>MKT-001</x:v>
      </x:c>
      <x:c r="B496" s="20" t="str">
        <x:v>Cumplimiento del manual/protocolo de comunicación global</x:v>
      </x:c>
      <x:c r="C496" s="20" t="n">
        <x:v>7</x:v>
      </x:c>
      <x:c r="D496" s="20" t="str">
        <x:v>MKT-014</x:v>
      </x:c>
      <x:c r="E496" s="20" t="str">
        <x:v>Fondos atribuibles a campañas conjuntas Omnilife–Chivas</x:v>
      </x:c>
      <x:c r="F496" s="20" t="str">
        <x:v>Strategic-map adjacent objective; Same department</x:v>
      </x:c>
      <x:c r="G496" s="20" t="n">
        <x:v>67</x:v>
      </x:c>
      <x:c r="H496" s="20" t="str">
        <x:v>Marketing y Comunicación</x:v>
      </x:c>
      <x:c r="I496" s="20" t="str">
        <x:v>Procesos internos</x:v>
      </x:c>
      <x:c r="J496" s="20" t="str">
        <x:v>P3. Integrar Marketing + Procuración</x:v>
      </x:c>
      <x:c r="K496" s="20" t="n">
        <x:v>2066.52</x:v>
      </x:c>
      <x:c r="L496" s="20" t="n">
        <x:v>1587.0333333333335</x:v>
      </x:c>
      <x:c r="M496" s="52" t="n">
        <x:v>0.3021276595744679</x:v>
      </x:c>
      <x:c r="N496" s="20" t="str">
        <x:v>Strong improvement</x:v>
      </x:c>
      <x:c r="O496" s="20" t="str">
        <x:v>Prototype retrieval heuristic; association is not proof of causality.</x:v>
      </x:c>
      <x:c r="P496" s="20" t="str">
        <x:v>YES</x:v>
      </x:c>
    </x:row>
    <x:row r="497">
      <x:c r="A497" s="20" t="str">
        <x:v>MKT-001</x:v>
      </x:c>
      <x:c r="B497" s="20" t="str">
        <x:v>Cumplimiento del manual/protocolo de comunicación global</x:v>
      </x:c>
      <x:c r="C497" s="20" t="n">
        <x:v>8</x:v>
      </x:c>
      <x:c r="D497" s="20" t="str">
        <x:v>ADM-013</x:v>
      </x:c>
      <x:c r="E497" s="20" t="str">
        <x:v>Convenios universitarios renovados antes de vencimiento</x:v>
      </x:c>
      <x:c r="F497" s="20" t="str">
        <x:v>Same strategic objective; Same BSC perspective</x:v>
      </x:c>
      <x:c r="G497" s="20" t="n">
        <x:v>62</x:v>
      </x:c>
      <x:c r="H497" s="20" t="str">
        <x:v>Administración</x:v>
      </x:c>
      <x:c r="I497" s="20" t="str">
        <x:v>Capacidades y tecnología</x:v>
      </x:c>
      <x:c r="J497" s="20" t="str">
        <x:v>L4. Fortalecer colaboración interdepartamental</x:v>
      </x:c>
      <x:c r="K497" s="20" t="n">
        <x:v>100</x:v>
      </x:c>
      <x:c r="L497" s="20" t="n">
        <x:v>89.19551966335592</x:v>
      </x:c>
      <x:c r="M497" s="52" t="n">
        <x:v>0.12113254541733295</x:v>
      </x:c>
      <x:c r="N497" s="20" t="str">
        <x:v>Strong improvement</x:v>
      </x:c>
      <x:c r="O497" s="20" t="str">
        <x:v>Prototype retrieval heuristic; association is not proof of causality.</x:v>
      </x:c>
      <x:c r="P497" s="20" t="str">
        <x:v>YES</x:v>
      </x:c>
    </x:row>
    <x:row r="498">
      <x:c r="A498" s="20" t="str">
        <x:v>MKT-002</x:v>
      </x:c>
      <x:c r="B498" s="20" t="str">
        <x:v>Acciones de mejora derivadas de analítica implementadas en plazo</x:v>
      </x:c>
      <x:c r="C498" s="20" t="n">
        <x:v>1</x:v>
      </x:c>
      <x:c r="D498" s="20" t="str">
        <x:v>OPS-009</x:v>
      </x:c>
      <x:c r="E498" s="20" t="str">
        <x:v>Cobertura de seguimiento nutricional con registros completos</x:v>
      </x:c>
      <x:c r="F498" s="20" t="str">
        <x:v>Same strategic objective; Same BSC perspective</x:v>
      </x:c>
      <x:c r="G498" s="20" t="n">
        <x:v>62</x:v>
      </x:c>
      <x:c r="H498" s="20" t="str">
        <x:v>Operaciones</x:v>
      </x:c>
      <x:c r="I498" s="20" t="str">
        <x:v>Procesos internos</x:v>
      </x:c>
      <x:c r="J498" s="20" t="str">
        <x:v>P2. Fortalecer medición de impacto</x:v>
      </x:c>
      <x:c r="K498" s="20" t="n">
        <x:v>96</x:v>
      </x:c>
      <x:c r="L498" s="20" t="n">
        <x:v>84.01745423584504</x:v>
      </x:c>
      <x:c r="M498" s="52" t="n">
        <x:v>0.14261971959444059</x:v>
      </x:c>
      <x:c r="N498" s="20" t="str">
        <x:v>Strong improvement</x:v>
      </x:c>
      <x:c r="O498" s="20" t="str">
        <x:v>Prototype retrieval heuristic; association is not proof of causality.</x:v>
      </x:c>
      <x:c r="P498" s="20" t="str">
        <x:v>YES</x:v>
      </x:c>
    </x:row>
    <x:row r="499">
      <x:c r="A499" s="20" t="str">
        <x:v>MKT-002</x:v>
      </x:c>
      <x:c r="B499" s="20" t="str">
        <x:v>Acciones de mejora derivadas de analítica implementadas en plazo</x:v>
      </x:c>
      <x:c r="C499" s="20" t="n">
        <x:v>2</x:v>
      </x:c>
      <x:c r="D499" s="20" t="str">
        <x:v>OPS-019</x:v>
      </x:c>
      <x:c r="E499" s="20" t="str">
        <x:v>Proyectos OSC con seguimiento y reporte de resultados aprobado</x:v>
      </x:c>
      <x:c r="F499" s="20" t="str">
        <x:v>Same strategic objective; Same BSC perspective</x:v>
      </x:c>
      <x:c r="G499" s="20" t="n">
        <x:v>62</x:v>
      </x:c>
      <x:c r="H499" s="20" t="str">
        <x:v>Operaciones</x:v>
      </x:c>
      <x:c r="I499" s="20" t="str">
        <x:v>Procesos internos</x:v>
      </x:c>
      <x:c r="J499" s="20" t="str">
        <x:v>P2. Fortalecer medición de impacto</x:v>
      </x:c>
      <x:c r="K499" s="20" t="n">
        <x:v>100</x:v>
      </x:c>
      <x:c r="L499" s="20" t="n">
        <x:v>88.9514687100894</x:v>
      </x:c>
      <x:c r="M499" s="52" t="n">
        <x:v>0.12420853135005526</x:v>
      </x:c>
      <x:c r="N499" s="20" t="str">
        <x:v>Strong improvement</x:v>
      </x:c>
      <x:c r="O499" s="20" t="str">
        <x:v>Prototype retrieval heuristic; association is not proof of causality.</x:v>
      </x:c>
      <x:c r="P499" s="20" t="str">
        <x:v>YES</x:v>
      </x:c>
    </x:row>
    <x:row r="500">
      <x:c r="A500" s="20" t="str">
        <x:v>MKT-002</x:v>
      </x:c>
      <x:c r="B500" s="20" t="str">
        <x:v>Acciones de mejora derivadas de analítica implementadas en plazo</x:v>
      </x:c>
      <x:c r="C500" s="20" t="n">
        <x:v>3</x:v>
      </x:c>
      <x:c r="D500" s="20" t="str">
        <x:v>REC-P02</x:v>
      </x:c>
      <x:c r="E500" s="20" t="str">
        <x:v>Cobertura de medición de impacto</x:v>
      </x:c>
      <x:c r="F500" s="20" t="str">
        <x:v>Same strategic objective; Same BSC perspective</x:v>
      </x:c>
      <x:c r="G500" s="20" t="n">
        <x:v>60</x:v>
      </x:c>
      <x:c r="H500" s="20" t="str">
        <x:v>Operaciones</x:v>
      </x:c>
      <x:c r="I500" s="20" t="str">
        <x:v>Procesos internos</x:v>
      </x:c>
      <x:c r="J500" s="20" t="str">
        <x:v>P2. Fortalecer medición de impacto</x:v>
      </x:c>
      <x:c r="K500" s="20" t="n">
        <x:v>100</x:v>
      </x:c>
      <x:c r="L500" s="20" t="n">
        <x:v>88.9514687100894</x:v>
      </x:c>
      <x:c r="M500" s="52" t="n">
        <x:v>0.12420853135005526</x:v>
      </x:c>
      <x:c r="N500" s="20" t="str">
        <x:v>Strong improvement</x:v>
      </x:c>
      <x:c r="O500" s="20" t="str">
        <x:v>Prototype retrieval heuristic; association is not proof of causality.</x:v>
      </x:c>
      <x:c r="P500" s="20" t="str">
        <x:v>YES</x:v>
      </x:c>
    </x:row>
    <x:row r="501">
      <x:c r="A501" s="20" t="str">
        <x:v>MKT-002</x:v>
      </x:c>
      <x:c r="B501" s="20" t="str">
        <x:v>Acciones de mejora derivadas de analítica implementadas en plazo</x:v>
      </x:c>
      <x:c r="C501" s="20" t="n">
        <x:v>4</x:v>
      </x:c>
      <x:c r="D501" s="20" t="str">
        <x:v>MKT-003</x:v>
      </x:c>
      <x:c r="E501" s="20" t="str">
        <x:v>Cumplimiento de metas de KPIs digitales prioritarios</x:v>
      </x:c>
      <x:c r="F501" s="20" t="str">
        <x:v>Strategic-map adjacent objective; Same department</x:v>
      </x:c>
      <x:c r="G501" s="20" t="n">
        <x:v>67</x:v>
      </x:c>
      <x:c r="H501" s="20" t="str">
        <x:v>Marketing y Comunicación</x:v>
      </x:c>
      <x:c r="I501" s="20" t="str">
        <x:v>Beneficiarios y grupos de interés</x:v>
      </x:c>
      <x:c r="J501" s="20" t="str">
        <x:v>C3. Fortalecer confianza y credibilidad institucional</x:v>
      </x:c>
      <x:c r="K501" s="20" t="n">
        <x:v>100</x:v>
      </x:c>
      <x:c r="L501" s="20" t="n">
        <x:v>88.9514687100894</x:v>
      </x:c>
      <x:c r="M501" s="52" t="n">
        <x:v>0.12420853135005526</x:v>
      </x:c>
      <x:c r="N501" s="20" t="str">
        <x:v>Strong improvement</x:v>
      </x:c>
      <x:c r="O501" s="20" t="str">
        <x:v>Prototype retrieval heuristic; association is not proof of causality.</x:v>
      </x:c>
      <x:c r="P501" s="20" t="str">
        <x:v>YES</x:v>
      </x:c>
    </x:row>
    <x:row r="502">
      <x:c r="A502" s="20" t="str">
        <x:v>MKT-002</x:v>
      </x:c>
      <x:c r="B502" s="20" t="str">
        <x:v>Acciones de mejora derivadas de analítica implementadas en plazo</x:v>
      </x:c>
      <x:c r="C502" s="20" t="n">
        <x:v>5</x:v>
      </x:c>
      <x:c r="D502" s="20" t="str">
        <x:v>MKT-009</x:v>
      </x:c>
      <x:c r="E502" s="20" t="str">
        <x:v>Cumplimiento del calendario internacional de contenidos</x:v>
      </x:c>
      <x:c r="F502" s="20" t="str">
        <x:v>Strategic-map adjacent objective; Same department</x:v>
      </x:c>
      <x:c r="G502" s="20" t="n">
        <x:v>67</x:v>
      </x:c>
      <x:c r="H502" s="20" t="str">
        <x:v>Marketing y Comunicación</x:v>
      </x:c>
      <x:c r="I502" s="20" t="str">
        <x:v>Beneficiarios y grupos de interés</x:v>
      </x:c>
      <x:c r="J502" s="20" t="str">
        <x:v>C3. Fortalecer confianza y credibilidad institucional</x:v>
      </x:c>
      <x:c r="K502" s="20" t="n">
        <x:v>100</x:v>
      </x:c>
      <x:c r="L502" s="20" t="n">
        <x:v>89.21401340466089</x:v>
      </x:c>
      <x:c r="M502" s="52" t="n">
        <x:v>0.12090013870820443</x:v>
      </x:c>
      <x:c r="N502" s="20" t="str">
        <x:v>Strong improvement</x:v>
      </x:c>
      <x:c r="O502" s="20" t="str">
        <x:v>Prototype retrieval heuristic; association is not proof of causality.</x:v>
      </x:c>
      <x:c r="P502" s="20" t="str">
        <x:v>YES</x:v>
      </x:c>
    </x:row>
    <x:row r="503">
      <x:c r="A503" s="20" t="str">
        <x:v>MKT-002</x:v>
      </x:c>
      <x:c r="B503" s="20" t="str">
        <x:v>Acciones de mejora derivadas de analítica implementadas en plazo</x:v>
      </x:c>
      <x:c r="C503" s="20" t="n">
        <x:v>6</x:v>
      </x:c>
      <x:c r="D503" s="20" t="str">
        <x:v>MKT-010</x:v>
      </x:c>
      <x:c r="E503" s="20" t="str">
        <x:v>Países con presencia digital continua conforme al estándar</x:v>
      </x:c>
      <x:c r="F503" s="20" t="str">
        <x:v>Strategic-map adjacent objective; Same department</x:v>
      </x:c>
      <x:c r="G503" s="20" t="n">
        <x:v>67</x:v>
      </x:c>
      <x:c r="H503" s="20" t="str">
        <x:v>Marketing y Comunicación</x:v>
      </x:c>
      <x:c r="I503" s="20" t="str">
        <x:v>Beneficiarios y grupos de interés</x:v>
      </x:c>
      <x:c r="J503" s="20" t="str">
        <x:v>C3. Fortalecer confianza y credibilidad institucional</x:v>
      </x:c>
      <x:c r="K503" s="20" t="n">
        <x:v>100</x:v>
      </x:c>
      <x:c r="L503" s="20" t="n">
        <x:v>91.66666666666667</x:v>
      </x:c>
      <x:c r="M503" s="52" t="n">
        <x:v>0.09090909090909086</x:v>
      </x:c>
      <x:c r="N503" s="20" t="str">
        <x:v>Improving</x:v>
      </x:c>
      <x:c r="O503" s="20" t="str">
        <x:v>Prototype retrieval heuristic; association is not proof of causality.</x:v>
      </x:c>
      <x:c r="P503" s="20" t="str">
        <x:v>YES</x:v>
      </x:c>
    </x:row>
    <x:row r="504">
      <x:c r="A504" s="20" t="str">
        <x:v>MKT-002</x:v>
      </x:c>
      <x:c r="B504" s="20" t="str">
        <x:v>Acciones de mejora derivadas de analítica implementadas en plazo</x:v>
      </x:c>
      <x:c r="C504" s="20" t="n">
        <x:v>7</x:v>
      </x:c>
      <x:c r="D504" s="20" t="str">
        <x:v>MKT-012</x:v>
      </x:c>
      <x:c r="E504" s="20" t="str">
        <x:v>Cumplimiento del calendario de comunicaciones conjuntas Omnilife–Chivas</x:v>
      </x:c>
      <x:c r="F504" s="20" t="str">
        <x:v>Strategic-map adjacent objective; Same department</x:v>
      </x:c>
      <x:c r="G504" s="20" t="n">
        <x:v>67</x:v>
      </x:c>
      <x:c r="H504" s="20" t="str">
        <x:v>Marketing y Comunicación</x:v>
      </x:c>
      <x:c r="I504" s="20" t="str">
        <x:v>Beneficiarios y grupos de interés</x:v>
      </x:c>
      <x:c r="J504" s="20" t="str">
        <x:v>C3. Fortalecer confianza y credibilidad institucional</x:v>
      </x:c>
      <x:c r="K504" s="20" t="n">
        <x:v>100</x:v>
      </x:c>
      <x:c r="L504" s="20" t="n">
        <x:v>89.21401340466089</x:v>
      </x:c>
      <x:c r="M504" s="52" t="n">
        <x:v>0.12090013870820443</x:v>
      </x:c>
      <x:c r="N504" s="20" t="str">
        <x:v>Strong improvement</x:v>
      </x:c>
      <x:c r="O504" s="20" t="str">
        <x:v>Prototype retrieval heuristic; association is not proof of causality.</x:v>
      </x:c>
      <x:c r="P504" s="20" t="str">
        <x:v>YES</x:v>
      </x:c>
    </x:row>
    <x:row r="505">
      <x:c r="A505" s="20" t="str">
        <x:v>MKT-002</x:v>
      </x:c>
      <x:c r="B505" s="20" t="str">
        <x:v>Acciones de mejora derivadas de analítica implementadas en plazo</x:v>
      </x:c>
      <x:c r="C505" s="20" t="n">
        <x:v>8</x:v>
      </x:c>
      <x:c r="D505" s="20" t="str">
        <x:v>MKT-008</x:v>
      </x:c>
      <x:c r="E505" s="20" t="str">
        <x:v>Cumplimiento de ejecución multicanal del lanzamiento</x:v>
      </x:c>
      <x:c r="F505" s="20" t="str">
        <x:v>Same department; Same BSC perspective</x:v>
      </x:c>
      <x:c r="G505" s="20" t="n">
        <x:v>37</x:v>
      </x:c>
      <x:c r="H505" s="20" t="str">
        <x:v>Marketing y Comunicación</x:v>
      </x:c>
      <x:c r="I505" s="20" t="str">
        <x:v>Procesos internos</x:v>
      </x:c>
      <x:c r="J505" s="20" t="str">
        <x:v>P3. Integrar Marketing + Procuración</x:v>
      </x:c>
      <x:c r="K505" s="20" t="n">
        <x:v>100</x:v>
      </x:c>
      <x:c r="L505" s="20" t="n">
        <x:v>88.9514687100894</x:v>
      </x:c>
      <x:c r="M505" s="52" t="n">
        <x:v>0.12420853135005526</x:v>
      </x:c>
      <x:c r="N505" s="20" t="str">
        <x:v>Strong improvement</x:v>
      </x:c>
      <x:c r="O505" s="20" t="str">
        <x:v>Prototype retrieval heuristic; association is not proof of causality.</x:v>
      </x:c>
      <x:c r="P505" s="20" t="str">
        <x:v>YES</x:v>
      </x:c>
    </x:row>
    <x:row r="506">
      <x:c r="A506" s="20" t="str">
        <x:v>MKT-003</x:v>
      </x:c>
      <x:c r="B506" s="20" t="str">
        <x:v>Cumplimiento de metas de KPIs digitales prioritarios</x:v>
      </x:c>
      <x:c r="C506" s="20" t="n">
        <x:v>1</x:v>
      </x:c>
      <x:c r="D506" s="20" t="str">
        <x:v>MKT-009</x:v>
      </x:c>
      <x:c r="E506" s="20" t="str">
        <x:v>Cumplimiento del calendario internacional de contenidos</x:v>
      </x:c>
      <x:c r="F506" s="20" t="str">
        <x:v>Same strategic objective; Same department; Same BSC perspective</x:v>
      </x:c>
      <x:c r="G506" s="20" t="n">
        <x:v>87</x:v>
      </x:c>
      <x:c r="H506" s="20" t="str">
        <x:v>Marketing y Comunicación</x:v>
      </x:c>
      <x:c r="I506" s="20" t="str">
        <x:v>Beneficiarios y grupos de interés</x:v>
      </x:c>
      <x:c r="J506" s="20" t="str">
        <x:v>C3. Fortalecer confianza y credibilidad institucional</x:v>
      </x:c>
      <x:c r="K506" s="20" t="n">
        <x:v>100</x:v>
      </x:c>
      <x:c r="L506" s="20" t="n">
        <x:v>89.21401340466089</x:v>
      </x:c>
      <x:c r="M506" s="52" t="n">
        <x:v>0.12090013870820443</x:v>
      </x:c>
      <x:c r="N506" s="20" t="str">
        <x:v>Strong improvement</x:v>
      </x:c>
      <x:c r="O506" s="20" t="str">
        <x:v>Prototype retrieval heuristic; association is not proof of causality.</x:v>
      </x:c>
      <x:c r="P506" s="20" t="str">
        <x:v>YES</x:v>
      </x:c>
    </x:row>
    <x:row r="507">
      <x:c r="A507" s="20" t="str">
        <x:v>MKT-003</x:v>
      </x:c>
      <x:c r="B507" s="20" t="str">
        <x:v>Cumplimiento de metas de KPIs digitales prioritarios</x:v>
      </x:c>
      <x:c r="C507" s="20" t="n">
        <x:v>2</x:v>
      </x:c>
      <x:c r="D507" s="20" t="str">
        <x:v>MKT-010</x:v>
      </x:c>
      <x:c r="E507" s="20" t="str">
        <x:v>Países con presencia digital continua conforme al estándar</x:v>
      </x:c>
      <x:c r="F507" s="20" t="str">
        <x:v>Same strategic objective; Same department; Same BSC perspective</x:v>
      </x:c>
      <x:c r="G507" s="20" t="n">
        <x:v>87</x:v>
      </x:c>
      <x:c r="H507" s="20" t="str">
        <x:v>Marketing y Comunicación</x:v>
      </x:c>
      <x:c r="I507" s="20" t="str">
        <x:v>Beneficiarios y grupos de interés</x:v>
      </x:c>
      <x:c r="J507" s="20" t="str">
        <x:v>C3. Fortalecer confianza y credibilidad institucional</x:v>
      </x:c>
      <x:c r="K507" s="20" t="n">
        <x:v>100</x:v>
      </x:c>
      <x:c r="L507" s="20" t="n">
        <x:v>91.66666666666667</x:v>
      </x:c>
      <x:c r="M507" s="52" t="n">
        <x:v>0.09090909090909086</x:v>
      </x:c>
      <x:c r="N507" s="20" t="str">
        <x:v>Improving</x:v>
      </x:c>
      <x:c r="O507" s="20" t="str">
        <x:v>Prototype retrieval heuristic; association is not proof of causality.</x:v>
      </x:c>
      <x:c r="P507" s="20" t="str">
        <x:v>YES</x:v>
      </x:c>
    </x:row>
    <x:row r="508">
      <x:c r="A508" s="20" t="str">
        <x:v>MKT-003</x:v>
      </x:c>
      <x:c r="B508" s="20" t="str">
        <x:v>Cumplimiento de metas de KPIs digitales prioritarios</x:v>
      </x:c>
      <x:c r="C508" s="20" t="n">
        <x:v>3</x:v>
      </x:c>
      <x:c r="D508" s="20" t="str">
        <x:v>MKT-012</x:v>
      </x:c>
      <x:c r="E508" s="20" t="str">
        <x:v>Cumplimiento del calendario de comunicaciones conjuntas Omnilife–Chivas</x:v>
      </x:c>
      <x:c r="F508" s="20" t="str">
        <x:v>Same strategic objective; Same department; Same BSC perspective</x:v>
      </x:c>
      <x:c r="G508" s="20" t="n">
        <x:v>87</x:v>
      </x:c>
      <x:c r="H508" s="20" t="str">
        <x:v>Marketing y Comunicación</x:v>
      </x:c>
      <x:c r="I508" s="20" t="str">
        <x:v>Beneficiarios y grupos de interés</x:v>
      </x:c>
      <x:c r="J508" s="20" t="str">
        <x:v>C3. Fortalecer confianza y credibilidad institucional</x:v>
      </x:c>
      <x:c r="K508" s="20" t="n">
        <x:v>100</x:v>
      </x:c>
      <x:c r="L508" s="20" t="n">
        <x:v>89.21401340466089</x:v>
      </x:c>
      <x:c r="M508" s="52" t="n">
        <x:v>0.12090013870820443</x:v>
      </x:c>
      <x:c r="N508" s="20" t="str">
        <x:v>Strong improvement</x:v>
      </x:c>
      <x:c r="O508" s="20" t="str">
        <x:v>Prototype retrieval heuristic; association is not proof of causality.</x:v>
      </x:c>
      <x:c r="P508" s="20" t="str">
        <x:v>YES</x:v>
      </x:c>
    </x:row>
    <x:row r="509">
      <x:c r="A509" s="20" t="str">
        <x:v>MKT-003</x:v>
      </x:c>
      <x:c r="B509" s="20" t="str">
        <x:v>Cumplimiento de metas de KPIs digitales prioritarios</x:v>
      </x:c>
      <x:c r="C509" s="20" t="n">
        <x:v>4</x:v>
      </x:c>
      <x:c r="D509" s="20" t="str">
        <x:v>MKT-002</x:v>
      </x:c>
      <x:c r="E509" s="20" t="str">
        <x:v>Acciones de mejora derivadas de analítica implementadas en plazo</x:v>
      </x:c>
      <x:c r="F509" s="20" t="str">
        <x:v>Strategic-map adjacent objective; Same department</x:v>
      </x:c>
      <x:c r="G509" s="20" t="n">
        <x:v>67</x:v>
      </x:c>
      <x:c r="H509" s="20" t="str">
        <x:v>Marketing y Comunicación</x:v>
      </x:c>
      <x:c r="I509" s="20" t="str">
        <x:v>Procesos internos</x:v>
      </x:c>
      <x:c r="J509" s="20" t="str">
        <x:v>P2. Fortalecer medición de impacto</x:v>
      </x:c>
      <x:c r="K509" s="20" t="n">
        <x:v>82.14285714285714</x:v>
      </x:c>
      <x:c r="L509" s="20" t="n">
        <x:v>71.67277167277167</x:v>
      </x:c>
      <x:c r="M509" s="52" t="n">
        <x:v>0.1460817717206132</x:v>
      </x:c>
      <x:c r="N509" s="20" t="str">
        <x:v>Strong improvement</x:v>
      </x:c>
      <x:c r="O509" s="20" t="str">
        <x:v>Prototype retrieval heuristic; association is not proof of causality.</x:v>
      </x:c>
      <x:c r="P509" s="20" t="str">
        <x:v>YES</x:v>
      </x:c>
    </x:row>
    <x:row r="510">
      <x:c r="A510" s="20" t="str">
        <x:v>MKT-003</x:v>
      </x:c>
      <x:c r="B510" s="20" t="str">
        <x:v>Cumplimiento de metas de KPIs digitales prioritarios</x:v>
      </x:c>
      <x:c r="C510" s="20" t="n">
        <x:v>5</x:v>
      </x:c>
      <x:c r="D510" s="20" t="str">
        <x:v>ADM-001</x:v>
      </x:c>
      <x:c r="E510" s="20" t="str">
        <x:v>Facturación de donativos emitida dentro del SLA</x:v>
      </x:c>
      <x:c r="F510" s="20" t="str">
        <x:v>Strategic-map adjacent objective</x:v>
      </x:c>
      <x:c r="G510" s="20" t="n">
        <x:v>42</x:v>
      </x:c>
      <x:c r="H510" s="20" t="str">
        <x:v>Administración</x:v>
      </x:c>
      <x:c r="I510" s="20" t="str">
        <x:v>Procesos internos</x:v>
      </x:c>
      <x:c r="J510" s="20" t="str">
        <x:v>P4. Simplificar y digitalizar procesos</x:v>
      </x:c>
      <x:c r="K510" s="20" t="n">
        <x:v>100</x:v>
      </x:c>
      <x:c r="L510" s="20" t="n">
        <x:v>89.08024931406226</x:v>
      </x:c>
      <x:c r="M510" s="52" t="n">
        <x:v>0.12258329730801444</x:v>
      </x:c>
      <x:c r="N510" s="20" t="str">
        <x:v>Strong improvement</x:v>
      </x:c>
      <x:c r="O510" s="20" t="str">
        <x:v>Prototype retrieval heuristic; association is not proof of causality.</x:v>
      </x:c>
      <x:c r="P510" s="20" t="str">
        <x:v>YES</x:v>
      </x:c>
    </x:row>
    <x:row r="511">
      <x:c r="A511" s="20" t="str">
        <x:v>MKT-003</x:v>
      </x:c>
      <x:c r="B511" s="20" t="str">
        <x:v>Cumplimiento de metas de KPIs digitales prioritarios</x:v>
      </x:c>
      <x:c r="C511" s="20" t="n">
        <x:v>6</x:v>
      </x:c>
      <x:c r="D511" s="20" t="str">
        <x:v>REC-M03</x:v>
      </x:c>
      <x:c r="E511" s="20" t="str">
        <x:v>Contenido de impacto con evidencia verificable</x:v>
      </x:c>
      <x:c r="F511" s="20" t="str">
        <x:v>Same strategic objective; Same department; Same BSC perspective</x:v>
      </x:c>
      <x:c r="G511" s="20" t="n">
        <x:v>85</x:v>
      </x:c>
      <x:c r="H511" s="20" t="str">
        <x:v>Marketing y Comunicación</x:v>
      </x:c>
      <x:c r="I511" s="20" t="str">
        <x:v>Beneficiarios y grupos de interés</x:v>
      </x:c>
      <x:c r="J511" s="20" t="str">
        <x:v>C3. Fortalecer confianza y credibilidad institucional</x:v>
      </x:c>
      <x:c r="K511" s="20" t="n">
        <x:v>100</x:v>
      </x:c>
      <x:c r="L511" s="20" t="n">
        <x:v>89.21401340466089</x:v>
      </x:c>
      <x:c r="M511" s="52" t="n">
        <x:v>0.12090013870820443</x:v>
      </x:c>
      <x:c r="N511" s="20" t="str">
        <x:v>Strong improvement</x:v>
      </x:c>
      <x:c r="O511" s="20" t="str">
        <x:v>Prototype retrieval heuristic; association is not proof of causality.</x:v>
      </x:c>
      <x:c r="P511" s="20" t="str">
        <x:v>YES</x:v>
      </x:c>
    </x:row>
    <x:row r="512">
      <x:c r="A512" s="20" t="str">
        <x:v>MKT-003</x:v>
      </x:c>
      <x:c r="B512" s="20" t="str">
        <x:v>Cumplimiento de metas de KPIs digitales prioritarios</x:v>
      </x:c>
      <x:c r="C512" s="20" t="n">
        <x:v>7</x:v>
      </x:c>
      <x:c r="D512" s="20" t="str">
        <x:v>MKT-007</x:v>
      </x:c>
      <x:c r="E512" s="20" t="str">
        <x:v>Embajadores Omnilife activos en campaña de nutrición</x:v>
      </x:c>
      <x:c r="F512" s="20" t="str">
        <x:v>Same department; Same BSC perspective</x:v>
      </x:c>
      <x:c r="G512" s="20" t="n">
        <x:v>37</x:v>
      </x:c>
      <x:c r="H512" s="20" t="str">
        <x:v>Marketing y Comunicación</x:v>
      </x:c>
      <x:c r="I512" s="20" t="str">
        <x:v>Beneficiarios y grupos de interés</x:v>
      </x:c>
      <x:c r="J512" s="20" t="str">
        <x:v>C4. Fortalecer relación con donantes, aliados y comunidades</x:v>
      </x:c>
      <x:c r="K512" s="20" t="n">
        <x:v>100</x:v>
      </x:c>
      <x:c r="L512" s="20" t="n">
        <x:v>88.71031746031747</x:v>
      </x:c>
      <x:c r="M512" s="52" t="n">
        <x:v>0.12726459405054785</x:v>
      </x:c>
      <x:c r="N512" s="20" t="str">
        <x:v>Strong improvement</x:v>
      </x:c>
      <x:c r="O512" s="20" t="str">
        <x:v>Prototype retrieval heuristic; association is not proof of causality.</x:v>
      </x:c>
      <x:c r="P512" s="20" t="str">
        <x:v>YES</x:v>
      </x:c>
    </x:row>
    <x:row r="513">
      <x:c r="A513" s="20" t="str">
        <x:v>MKT-003</x:v>
      </x:c>
      <x:c r="B513" s="20" t="str">
        <x:v>Cumplimiento de metas de KPIs digitales prioritarios</x:v>
      </x:c>
      <x:c r="C513" s="20" t="n">
        <x:v>8</x:v>
      </x:c>
      <x:c r="D513" s="20" t="str">
        <x:v>ADM-006</x:v>
      </x:c>
      <x:c r="E513" s="20" t="str">
        <x:v>Informes regulatorios presentados en tiempo y forma</x:v>
      </x:c>
      <x:c r="F513" s="20" t="str">
        <x:v>Same strategic objective; Same BSC perspective</x:v>
      </x:c>
      <x:c r="G513" s="20" t="n">
        <x:v>62</x:v>
      </x:c>
      <x:c r="H513" s="20" t="str">
        <x:v>Administración</x:v>
      </x:c>
      <x:c r="I513" s="20" t="str">
        <x:v>Beneficiarios y grupos de interés</x:v>
      </x:c>
      <x:c r="J513" s="20" t="str">
        <x:v>C3. Fortalecer confianza y credibilidad institucional</x:v>
      </x:c>
      <x:c r="K513" s="20" t="n">
        <x:v>100</x:v>
      </x:c>
      <x:c r="L513" s="20" t="n">
        <x:v>88.9514687100894</x:v>
      </x:c>
      <x:c r="M513" s="52" t="n">
        <x:v>0.12420853135005526</x:v>
      </x:c>
      <x:c r="N513" s="20" t="str">
        <x:v>Strong improvement</x:v>
      </x:c>
      <x:c r="O513" s="20" t="str">
        <x:v>Prototype retrieval heuristic; association is not proof of causality.</x:v>
      </x:c>
      <x:c r="P513" s="20" t="str">
        <x:v>YES</x:v>
      </x:c>
    </x:row>
    <x:row r="514">
      <x:c r="A514" s="20" t="str">
        <x:v>MKT-004</x:v>
      </x:c>
      <x:c r="B514" s="20" t="str">
        <x:v>Compromisos de mejora de comunicación cerrados en plazo</x:v>
      </x:c>
      <x:c r="C514" s="20" t="n">
        <x:v>1</x:v>
      </x:c>
      <x:c r="D514" s="20" t="str">
        <x:v>MKT-001</x:v>
      </x:c>
      <x:c r="E514" s="20" t="str">
        <x:v>Cumplimiento del manual/protocolo de comunicación global</x:v>
      </x:c>
      <x:c r="F514" s="20" t="str">
        <x:v>Same strategic objective; Same department; Same BSC perspective</x:v>
      </x:c>
      <x:c r="G514" s="20" t="n">
        <x:v>87</x:v>
      </x:c>
      <x:c r="H514" s="20" t="str">
        <x:v>Marketing y Comunicación</x:v>
      </x:c>
      <x:c r="I514" s="20" t="str">
        <x:v>Capacidades y tecnología</x:v>
      </x:c>
      <x:c r="J514" s="20" t="str">
        <x:v>L4. Fortalecer colaboración interdepartamental</x:v>
      </x:c>
      <x:c r="K514" s="20" t="n">
        <x:v>96</x:v>
      </x:c>
      <x:c r="L514" s="20" t="n">
        <x:v>84.07381786878189</x:v>
      </x:c>
      <x:c r="M514" s="52" t="n">
        <x:v>0.14185369992156044</x:v>
      </x:c>
      <x:c r="N514" s="20" t="str">
        <x:v>Strong improvement</x:v>
      </x:c>
      <x:c r="O514" s="20" t="str">
        <x:v>Prototype retrieval heuristic; association is not proof of causality.</x:v>
      </x:c>
      <x:c r="P514" s="20" t="str">
        <x:v>YES</x:v>
      </x:c>
    </x:row>
    <x:row r="515">
      <x:c r="A515" s="20" t="str">
        <x:v>MKT-004</x:v>
      </x:c>
      <x:c r="B515" s="20" t="str">
        <x:v>Compromisos de mejora de comunicación cerrados en plazo</x:v>
      </x:c>
      <x:c r="C515" s="20" t="n">
        <x:v>2</x:v>
      </x:c>
      <x:c r="D515" s="20" t="str">
        <x:v>ADM-004</x:v>
      </x:c>
      <x:c r="E515" s="20" t="str">
        <x:v>Presupuestos anuales aprobados dentro del calendario</x:v>
      </x:c>
      <x:c r="F515" s="20" t="str">
        <x:v>Same strategic objective; Same BSC perspective</x:v>
      </x:c>
      <x:c r="G515" s="20" t="n">
        <x:v>62</x:v>
      </x:c>
      <x:c r="H515" s="20" t="str">
        <x:v>Administración</x:v>
      </x:c>
      <x:c r="I515" s="20" t="str">
        <x:v>Capacidades y tecnología</x:v>
      </x:c>
      <x:c r="J515" s="20" t="str">
        <x:v>L4. Fortalecer colaboración interdepartamental</x:v>
      </x:c>
      <x:c r="K515" s="20" t="n">
        <x:v>100</x:v>
      </x:c>
      <x:c r="L515" s="20" t="n">
        <x:v>88.9514687100894</x:v>
      </x:c>
      <x:c r="M515" s="52" t="n">
        <x:v>0.12420853135005526</x:v>
      </x:c>
      <x:c r="N515" s="20" t="str">
        <x:v>Strong improvement</x:v>
      </x:c>
      <x:c r="O515" s="20" t="str">
        <x:v>Prototype retrieval heuristic; association is not proof of causality.</x:v>
      </x:c>
      <x:c r="P515" s="20" t="str">
        <x:v>YES</x:v>
      </x:c>
    </x:row>
    <x:row r="516">
      <x:c r="A516" s="20" t="str">
        <x:v>MKT-004</x:v>
      </x:c>
      <x:c r="B516" s="20" t="str">
        <x:v>Compromisos de mejora de comunicación cerrados en plazo</x:v>
      </x:c>
      <x:c r="C516" s="20" t="n">
        <x:v>3</x:v>
      </x:c>
      <x:c r="D516" s="20" t="str">
        <x:v>ADM-012</x:v>
      </x:c>
      <x:c r="E516" s="20" t="str">
        <x:v>Nuevos convenios universitarios activados</x:v>
      </x:c>
      <x:c r="F516" s="20" t="str">
        <x:v>Same strategic objective; Same BSC perspective</x:v>
      </x:c>
      <x:c r="G516" s="20" t="n">
        <x:v>62</x:v>
      </x:c>
      <x:c r="H516" s="20" t="str">
        <x:v>Administración</x:v>
      </x:c>
      <x:c r="I516" s="20" t="str">
        <x:v>Capacidades y tecnología</x:v>
      </x:c>
      <x:c r="J516" s="20" t="str">
        <x:v>L4. Fortalecer colaboración interdepartamental</x:v>
      </x:c>
      <x:c r="K516" s="20" t="n">
        <x:v>2</x:v>
      </x:c>
      <x:c r="L516" s="20" t="n">
        <x:v>1.3333333333333333</x:v>
      </x:c>
      <x:c r="M516" s="52" t="n">
        <x:v>0.5000000000000001</x:v>
      </x:c>
      <x:c r="N516" s="20" t="str">
        <x:v>Strong improvement</x:v>
      </x:c>
      <x:c r="O516" s="20" t="str">
        <x:v>Prototype retrieval heuristic; association is not proof of causality.</x:v>
      </x:c>
      <x:c r="P516" s="20" t="str">
        <x:v>YES</x:v>
      </x:c>
    </x:row>
    <x:row r="517">
      <x:c r="A517" s="20" t="str">
        <x:v>MKT-004</x:v>
      </x:c>
      <x:c r="B517" s="20" t="str">
        <x:v>Compromisos de mejora de comunicación cerrados en plazo</x:v>
      </x:c>
      <x:c r="C517" s="20" t="n">
        <x:v>4</x:v>
      </x:c>
      <x:c r="D517" s="20" t="str">
        <x:v>MKT-008</x:v>
      </x:c>
      <x:c r="E517" s="20" t="str">
        <x:v>Cumplimiento de ejecución multicanal del lanzamiento</x:v>
      </x:c>
      <x:c r="F517" s="20" t="str">
        <x:v>Strategic-map adjacent objective; Same department</x:v>
      </x:c>
      <x:c r="G517" s="20" t="n">
        <x:v>67</x:v>
      </x:c>
      <x:c r="H517" s="20" t="str">
        <x:v>Marketing y Comunicación</x:v>
      </x:c>
      <x:c r="I517" s="20" t="str">
        <x:v>Procesos internos</x:v>
      </x:c>
      <x:c r="J517" s="20" t="str">
        <x:v>P3. Integrar Marketing + Procuración</x:v>
      </x:c>
      <x:c r="K517" s="20" t="n">
        <x:v>100</x:v>
      </x:c>
      <x:c r="L517" s="20" t="n">
        <x:v>88.9514687100894</x:v>
      </x:c>
      <x:c r="M517" s="52" t="n">
        <x:v>0.12420853135005526</x:v>
      </x:c>
      <x:c r="N517" s="20" t="str">
        <x:v>Strong improvement</x:v>
      </x:c>
      <x:c r="O517" s="20" t="str">
        <x:v>Prototype retrieval heuristic; association is not proof of causality.</x:v>
      </x:c>
      <x:c r="P517" s="20" t="str">
        <x:v>YES</x:v>
      </x:c>
    </x:row>
    <x:row r="518">
      <x:c r="A518" s="20" t="str">
        <x:v>MKT-004</x:v>
      </x:c>
      <x:c r="B518" s="20" t="str">
        <x:v>Compromisos de mejora de comunicación cerrados en plazo</x:v>
      </x:c>
      <x:c r="C518" s="20" t="n">
        <x:v>5</x:v>
      </x:c>
      <x:c r="D518" s="20" t="str">
        <x:v>MKT-011</x:v>
      </x:c>
      <x:c r="E518" s="20" t="str">
        <x:v>Actividades principales con cobertura completa de comunicación e impacto</x:v>
      </x:c>
      <x:c r="F518" s="20" t="str">
        <x:v>Strategic-map adjacent objective; Same department</x:v>
      </x:c>
      <x:c r="G518" s="20" t="n">
        <x:v>67</x:v>
      </x:c>
      <x:c r="H518" s="20" t="str">
        <x:v>Marketing y Comunicación</x:v>
      </x:c>
      <x:c r="I518" s="20" t="str">
        <x:v>Procesos internos</x:v>
      </x:c>
      <x:c r="J518" s="20" t="str">
        <x:v>P3. Integrar Marketing + Procuración</x:v>
      </x:c>
      <x:c r="K518" s="20" t="n">
        <x:v>100</x:v>
      </x:c>
      <x:c r="L518" s="20" t="n">
        <x:v>89.21401340466089</x:v>
      </x:c>
      <x:c r="M518" s="52" t="n">
        <x:v>0.12090013870820443</x:v>
      </x:c>
      <x:c r="N518" s="20" t="str">
        <x:v>Strong improvement</x:v>
      </x:c>
      <x:c r="O518" s="20" t="str">
        <x:v>Prototype retrieval heuristic; association is not proof of causality.</x:v>
      </x:c>
      <x:c r="P518" s="20" t="str">
        <x:v>YES</x:v>
      </x:c>
    </x:row>
    <x:row r="519">
      <x:c r="A519" s="20" t="str">
        <x:v>MKT-004</x:v>
      </x:c>
      <x:c r="B519" s="20" t="str">
        <x:v>Compromisos de mejora de comunicación cerrados en plazo</x:v>
      </x:c>
      <x:c r="C519" s="20" t="n">
        <x:v>6</x:v>
      </x:c>
      <x:c r="D519" s="20" t="str">
        <x:v>MKT-013</x:v>
      </x:c>
      <x:c r="E519" s="20" t="str">
        <x:v>Campañas de procuración con análisis conjunto MKT–PF</x:v>
      </x:c>
      <x:c r="F519" s="20" t="str">
        <x:v>Strategic-map adjacent objective; Same department</x:v>
      </x:c>
      <x:c r="G519" s="20" t="n">
        <x:v>67</x:v>
      </x:c>
      <x:c r="H519" s="20" t="str">
        <x:v>Marketing y Comunicación</x:v>
      </x:c>
      <x:c r="I519" s="20" t="str">
        <x:v>Procesos internos</x:v>
      </x:c>
      <x:c r="J519" s="20" t="str">
        <x:v>P3. Integrar Marketing + Procuración</x:v>
      </x:c>
      <x:c r="K519" s="20" t="n">
        <x:v>100</x:v>
      </x:c>
      <x:c r="L519" s="20" t="n">
        <x:v>88.71031746031747</x:v>
      </x:c>
      <x:c r="M519" s="52" t="n">
        <x:v>0.12726459405054785</x:v>
      </x:c>
      <x:c r="N519" s="20" t="str">
        <x:v>Strong improvement</x:v>
      </x:c>
      <x:c r="O519" s="20" t="str">
        <x:v>Prototype retrieval heuristic; association is not proof of causality.</x:v>
      </x:c>
      <x:c r="P519" s="20" t="str">
        <x:v>YES</x:v>
      </x:c>
    </x:row>
    <x:row r="520">
      <x:c r="A520" s="20" t="str">
        <x:v>MKT-004</x:v>
      </x:c>
      <x:c r="B520" s="20" t="str">
        <x:v>Compromisos de mejora de comunicación cerrados en plazo</x:v>
      </x:c>
      <x:c r="C520" s="20" t="n">
        <x:v>7</x:v>
      </x:c>
      <x:c r="D520" s="20" t="str">
        <x:v>MKT-014</x:v>
      </x:c>
      <x:c r="E520" s="20" t="str">
        <x:v>Fondos atribuibles a campañas conjuntas Omnilife–Chivas</x:v>
      </x:c>
      <x:c r="F520" s="20" t="str">
        <x:v>Strategic-map adjacent objective; Same department</x:v>
      </x:c>
      <x:c r="G520" s="20" t="n">
        <x:v>67</x:v>
      </x:c>
      <x:c r="H520" s="20" t="str">
        <x:v>Marketing y Comunicación</x:v>
      </x:c>
      <x:c r="I520" s="20" t="str">
        <x:v>Procesos internos</x:v>
      </x:c>
      <x:c r="J520" s="20" t="str">
        <x:v>P3. Integrar Marketing + Procuración</x:v>
      </x:c>
      <x:c r="K520" s="20" t="n">
        <x:v>2066.52</x:v>
      </x:c>
      <x:c r="L520" s="20" t="n">
        <x:v>1587.0333333333335</x:v>
      </x:c>
      <x:c r="M520" s="52" t="n">
        <x:v>0.3021276595744679</x:v>
      </x:c>
      <x:c r="N520" s="20" t="str">
        <x:v>Strong improvement</x:v>
      </x:c>
      <x:c r="O520" s="20" t="str">
        <x:v>Prototype retrieval heuristic; association is not proof of causality.</x:v>
      </x:c>
      <x:c r="P520" s="20" t="str">
        <x:v>YES</x:v>
      </x:c>
    </x:row>
    <x:row r="521">
      <x:c r="A521" s="20" t="str">
        <x:v>MKT-004</x:v>
      </x:c>
      <x:c r="B521" s="20" t="str">
        <x:v>Compromisos de mejora de comunicación cerrados en plazo</x:v>
      </x:c>
      <x:c r="C521" s="20" t="n">
        <x:v>8</x:v>
      </x:c>
      <x:c r="D521" s="20" t="str">
        <x:v>ADM-013</x:v>
      </x:c>
      <x:c r="E521" s="20" t="str">
        <x:v>Convenios universitarios renovados antes de vencimiento</x:v>
      </x:c>
      <x:c r="F521" s="20" t="str">
        <x:v>Same strategic objective; Same BSC perspective</x:v>
      </x:c>
      <x:c r="G521" s="20" t="n">
        <x:v>62</x:v>
      </x:c>
      <x:c r="H521" s="20" t="str">
        <x:v>Administración</x:v>
      </x:c>
      <x:c r="I521" s="20" t="str">
        <x:v>Capacidades y tecnología</x:v>
      </x:c>
      <x:c r="J521" s="20" t="str">
        <x:v>L4. Fortalecer colaboración interdepartamental</x:v>
      </x:c>
      <x:c r="K521" s="20" t="n">
        <x:v>100</x:v>
      </x:c>
      <x:c r="L521" s="20" t="n">
        <x:v>89.19551966335592</x:v>
      </x:c>
      <x:c r="M521" s="52" t="n">
        <x:v>0.12113254541733295</x:v>
      </x:c>
      <x:c r="N521" s="20" t="str">
        <x:v>Strong improvement</x:v>
      </x:c>
      <x:c r="O521" s="20" t="str">
        <x:v>Prototype retrieval heuristic; association is not proof of causality.</x:v>
      </x:c>
      <x:c r="P521" s="20" t="str">
        <x:v>YES</x:v>
      </x:c>
    </x:row>
    <x:row r="522">
      <x:c r="A522" s="20" t="str">
        <x:v>MKT-007</x:v>
      </x:c>
      <x:c r="B522" s="20" t="str">
        <x:v>Embajadores Omnilife activos en campaña de nutrición</x:v>
      </x:c>
      <x:c r="C522" s="20" t="n">
        <x:v>1</x:v>
      </x:c>
      <x:c r="D522" s="20" t="str">
        <x:v>FND-010</x:v>
      </x:c>
      <x:c r="E522" s="20" t="str">
        <x:v>Participación de staff en voluntariado corporativo</x:v>
      </x:c>
      <x:c r="F522" s="20" t="str">
        <x:v>Same strategic objective; Same BSC perspective</x:v>
      </x:c>
      <x:c r="G522" s="20" t="n">
        <x:v>62</x:v>
      </x:c>
      <x:c r="H522" s="20" t="str">
        <x:v>Procuración de Fondos</x:v>
      </x:c>
      <x:c r="I522" s="20" t="str">
        <x:v>Beneficiarios y grupos de interés</x:v>
      </x:c>
      <x:c r="J522" s="20" t="str">
        <x:v>C4. Fortalecer relación con donantes, aliados y comunidades</x:v>
      </x:c>
      <x:c r="K522" s="20" t="n">
        <x:v>26</x:v>
      </x:c>
      <x:c r="L522" s="20" t="n">
        <x:v>19.333333333333332</x:v>
      </x:c>
      <x:c r="M522" s="52" t="n">
        <x:v>0.34482758620689663</x:v>
      </x:c>
      <x:c r="N522" s="20" t="str">
        <x:v>Strong improvement</x:v>
      </x:c>
      <x:c r="O522" s="20" t="str">
        <x:v>Prototype retrieval heuristic; association is not proof of causality.</x:v>
      </x:c>
      <x:c r="P522" s="20" t="str">
        <x:v>YES</x:v>
      </x:c>
    </x:row>
    <x:row r="523">
      <x:c r="A523" s="20" t="str">
        <x:v>MKT-007</x:v>
      </x:c>
      <x:c r="B523" s="20" t="str">
        <x:v>Embajadores Omnilife activos en campaña de nutrición</x:v>
      </x:c>
      <x:c r="C523" s="20" t="n">
        <x:v>2</x:v>
      </x:c>
      <x:c r="D523" s="20" t="str">
        <x:v>FND-012</x:v>
      </x:c>
      <x:c r="E523" s="20" t="str">
        <x:v>Participación de empresarios EOS en voluntariado</x:v>
      </x:c>
      <x:c r="F523" s="20" t="str">
        <x:v>Same strategic objective; Same BSC perspective</x:v>
      </x:c>
      <x:c r="G523" s="20" t="n">
        <x:v>62</x:v>
      </x:c>
      <x:c r="H523" s="20" t="str">
        <x:v>Procuración de Fondos</x:v>
      </x:c>
      <x:c r="I523" s="20" t="str">
        <x:v>Beneficiarios y grupos de interés</x:v>
      </x:c>
      <x:c r="J523" s="20" t="str">
        <x:v>C4. Fortalecer relación con donantes, aliados y comunidades</x:v>
      </x:c>
      <x:c r="K523" s="20" t="n">
        <x:v>15</x:v>
      </x:c>
      <x:c r="L523" s="20" t="n">
        <x:v>12</x:v>
      </x:c>
      <x:c r="M523" s="52" t="n">
        <x:v>0.25</x:v>
      </x:c>
      <x:c r="N523" s="20" t="str">
        <x:v>Strong improvement</x:v>
      </x:c>
      <x:c r="O523" s="20" t="str">
        <x:v>Prototype retrieval heuristic; association is not proof of causality.</x:v>
      </x:c>
      <x:c r="P523" s="20" t="str">
        <x:v>YES</x:v>
      </x:c>
    </x:row>
    <x:row r="524">
      <x:c r="A524" s="20" t="str">
        <x:v>MKT-007</x:v>
      </x:c>
      <x:c r="B524" s="20" t="str">
        <x:v>Embajadores Omnilife activos en campaña de nutrición</x:v>
      </x:c>
      <x:c r="C524" s="20" t="n">
        <x:v>3</x:v>
      </x:c>
      <x:c r="D524" s="20" t="str">
        <x:v>REC-C04</x:v>
      </x:c>
      <x:c r="E524" s="20" t="str">
        <x:v>Retención de aliados estratégicos activos</x:v>
      </x:c>
      <x:c r="F524" s="20" t="str">
        <x:v>Same strategic objective; Same BSC perspective</x:v>
      </x:c>
      <x:c r="G524" s="20" t="n">
        <x:v>60</x:v>
      </x:c>
      <x:c r="H524" s="20" t="str">
        <x:v>Procuración de Fondos</x:v>
      </x:c>
      <x:c r="I524" s="20" t="str">
        <x:v>Beneficiarios y grupos de interés</x:v>
      </x:c>
      <x:c r="J524" s="20" t="str">
        <x:v>C4. Fortalecer relación con donantes, aliados y comunidades</x:v>
      </x:c>
      <x:c r="K524" s="20" t="n">
        <x:v>88</x:v>
      </x:c>
      <x:c r="L524" s="20" t="n">
        <x:v>74.36951894423159</x:v>
      </x:c>
      <x:c r="M524" s="52" t="n">
        <x:v>0.18328047900901007</x:v>
      </x:c>
      <x:c r="N524" s="20" t="str">
        <x:v>Strong improvement</x:v>
      </x:c>
      <x:c r="O524" s="20" t="str">
        <x:v>Prototype retrieval heuristic; association is not proof of causality.</x:v>
      </x:c>
      <x:c r="P524" s="20" t="str">
        <x:v>YES</x:v>
      </x:c>
    </x:row>
    <x:row r="525">
      <x:c r="A525" s="20" t="str">
        <x:v>MKT-007</x:v>
      </x:c>
      <x:c r="B525" s="20" t="str">
        <x:v>Embajadores Omnilife activos en campaña de nutrición</x:v>
      </x:c>
      <x:c r="C525" s="20" t="n">
        <x:v>4</x:v>
      </x:c>
      <x:c r="D525" s="20" t="str">
        <x:v>MKT-008</x:v>
      </x:c>
      <x:c r="E525" s="20" t="str">
        <x:v>Cumplimiento de ejecución multicanal del lanzamiento</x:v>
      </x:c>
      <x:c r="F525" s="20" t="str">
        <x:v>Strategic-map adjacent objective; Same department</x:v>
      </x:c>
      <x:c r="G525" s="20" t="n">
        <x:v>67</x:v>
      </x:c>
      <x:c r="H525" s="20" t="str">
        <x:v>Marketing y Comunicación</x:v>
      </x:c>
      <x:c r="I525" s="20" t="str">
        <x:v>Procesos internos</x:v>
      </x:c>
      <x:c r="J525" s="20" t="str">
        <x:v>P3. Integrar Marketing + Procuración</x:v>
      </x:c>
      <x:c r="K525" s="20" t="n">
        <x:v>100</x:v>
      </x:c>
      <x:c r="L525" s="20" t="n">
        <x:v>88.9514687100894</x:v>
      </x:c>
      <x:c r="M525" s="52" t="n">
        <x:v>0.12420853135005526</x:v>
      </x:c>
      <x:c r="N525" s="20" t="str">
        <x:v>Strong improvement</x:v>
      </x:c>
      <x:c r="O525" s="20" t="str">
        <x:v>Prototype retrieval heuristic; association is not proof of causality.</x:v>
      </x:c>
      <x:c r="P525" s="20" t="str">
        <x:v>YES</x:v>
      </x:c>
    </x:row>
    <x:row r="526">
      <x:c r="A526" s="20" t="str">
        <x:v>MKT-007</x:v>
      </x:c>
      <x:c r="B526" s="20" t="str">
        <x:v>Embajadores Omnilife activos en campaña de nutrición</x:v>
      </x:c>
      <x:c r="C526" s="20" t="n">
        <x:v>5</x:v>
      </x:c>
      <x:c r="D526" s="20" t="str">
        <x:v>MKT-011</x:v>
      </x:c>
      <x:c r="E526" s="20" t="str">
        <x:v>Actividades principales con cobertura completa de comunicación e impacto</x:v>
      </x:c>
      <x:c r="F526" s="20" t="str">
        <x:v>Strategic-map adjacent objective; Same department</x:v>
      </x:c>
      <x:c r="G526" s="20" t="n">
        <x:v>67</x:v>
      </x:c>
      <x:c r="H526" s="20" t="str">
        <x:v>Marketing y Comunicación</x:v>
      </x:c>
      <x:c r="I526" s="20" t="str">
        <x:v>Procesos internos</x:v>
      </x:c>
      <x:c r="J526" s="20" t="str">
        <x:v>P3. Integrar Marketing + Procuración</x:v>
      </x:c>
      <x:c r="K526" s="20" t="n">
        <x:v>100</x:v>
      </x:c>
      <x:c r="L526" s="20" t="n">
        <x:v>89.21401340466089</x:v>
      </x:c>
      <x:c r="M526" s="52" t="n">
        <x:v>0.12090013870820443</x:v>
      </x:c>
      <x:c r="N526" s="20" t="str">
        <x:v>Strong improvement</x:v>
      </x:c>
      <x:c r="O526" s="20" t="str">
        <x:v>Prototype retrieval heuristic; association is not proof of causality.</x:v>
      </x:c>
      <x:c r="P526" s="20" t="str">
        <x:v>YES</x:v>
      </x:c>
    </x:row>
    <x:row r="527">
      <x:c r="A527" s="20" t="str">
        <x:v>MKT-007</x:v>
      </x:c>
      <x:c r="B527" s="20" t="str">
        <x:v>Embajadores Omnilife activos en campaña de nutrición</x:v>
      </x:c>
      <x:c r="C527" s="20" t="n">
        <x:v>6</x:v>
      </x:c>
      <x:c r="D527" s="20" t="str">
        <x:v>MKT-013</x:v>
      </x:c>
      <x:c r="E527" s="20" t="str">
        <x:v>Campañas de procuración con análisis conjunto MKT–PF</x:v>
      </x:c>
      <x:c r="F527" s="20" t="str">
        <x:v>Strategic-map adjacent objective; Same department</x:v>
      </x:c>
      <x:c r="G527" s="20" t="n">
        <x:v>67</x:v>
      </x:c>
      <x:c r="H527" s="20" t="str">
        <x:v>Marketing y Comunicación</x:v>
      </x:c>
      <x:c r="I527" s="20" t="str">
        <x:v>Procesos internos</x:v>
      </x:c>
      <x:c r="J527" s="20" t="str">
        <x:v>P3. Integrar Marketing + Procuración</x:v>
      </x:c>
      <x:c r="K527" s="20" t="n">
        <x:v>100</x:v>
      </x:c>
      <x:c r="L527" s="20" t="n">
        <x:v>88.71031746031747</x:v>
      </x:c>
      <x:c r="M527" s="52" t="n">
        <x:v>0.12726459405054785</x:v>
      </x:c>
      <x:c r="N527" s="20" t="str">
        <x:v>Strong improvement</x:v>
      </x:c>
      <x:c r="O527" s="20" t="str">
        <x:v>Prototype retrieval heuristic; association is not proof of causality.</x:v>
      </x:c>
      <x:c r="P527" s="20" t="str">
        <x:v>YES</x:v>
      </x:c>
    </x:row>
    <x:row r="528">
      <x:c r="A528" s="20" t="str">
        <x:v>MKT-007</x:v>
      </x:c>
      <x:c r="B528" s="20" t="str">
        <x:v>Embajadores Omnilife activos en campaña de nutrición</x:v>
      </x:c>
      <x:c r="C528" s="20" t="n">
        <x:v>7</x:v>
      </x:c>
      <x:c r="D528" s="20" t="str">
        <x:v>MKT-014</x:v>
      </x:c>
      <x:c r="E528" s="20" t="str">
        <x:v>Fondos atribuibles a campañas conjuntas Omnilife–Chivas</x:v>
      </x:c>
      <x:c r="F528" s="20" t="str">
        <x:v>Strategic-map adjacent objective; Same department</x:v>
      </x:c>
      <x:c r="G528" s="20" t="n">
        <x:v>67</x:v>
      </x:c>
      <x:c r="H528" s="20" t="str">
        <x:v>Marketing y Comunicación</x:v>
      </x:c>
      <x:c r="I528" s="20" t="str">
        <x:v>Procesos internos</x:v>
      </x:c>
      <x:c r="J528" s="20" t="str">
        <x:v>P3. Integrar Marketing + Procuración</x:v>
      </x:c>
      <x:c r="K528" s="20" t="n">
        <x:v>2066.52</x:v>
      </x:c>
      <x:c r="L528" s="20" t="n">
        <x:v>1587.0333333333335</x:v>
      </x:c>
      <x:c r="M528" s="52" t="n">
        <x:v>0.3021276595744679</x:v>
      </x:c>
      <x:c r="N528" s="20" t="str">
        <x:v>Strong improvement</x:v>
      </x:c>
      <x:c r="O528" s="20" t="str">
        <x:v>Prototype retrieval heuristic; association is not proof of causality.</x:v>
      </x:c>
      <x:c r="P528" s="20" t="str">
        <x:v>YES</x:v>
      </x:c>
    </x:row>
    <x:row r="529">
      <x:c r="A529" s="20" t="str">
        <x:v>MKT-007</x:v>
      </x:c>
      <x:c r="B529" s="20" t="str">
        <x:v>Embajadores Omnilife activos en campaña de nutrición</x:v>
      </x:c>
      <x:c r="C529" s="20" t="n">
        <x:v>8</x:v>
      </x:c>
      <x:c r="D529" s="20" t="str">
        <x:v>MKT-003</x:v>
      </x:c>
      <x:c r="E529" s="20" t="str">
        <x:v>Cumplimiento de metas de KPIs digitales prioritarios</x:v>
      </x:c>
      <x:c r="F529" s="20" t="str">
        <x:v>Same department; Same BSC perspective</x:v>
      </x:c>
      <x:c r="G529" s="20" t="n">
        <x:v>37</x:v>
      </x:c>
      <x:c r="H529" s="20" t="str">
        <x:v>Marketing y Comunicación</x:v>
      </x:c>
      <x:c r="I529" s="20" t="str">
        <x:v>Beneficiarios y grupos de interés</x:v>
      </x:c>
      <x:c r="J529" s="20" t="str">
        <x:v>C3. Fortalecer confianza y credibilidad institucional</x:v>
      </x:c>
      <x:c r="K529" s="20" t="n">
        <x:v>100</x:v>
      </x:c>
      <x:c r="L529" s="20" t="n">
        <x:v>88.9514687100894</x:v>
      </x:c>
      <x:c r="M529" s="52" t="n">
        <x:v>0.12420853135005526</x:v>
      </x:c>
      <x:c r="N529" s="20" t="str">
        <x:v>Strong improvement</x:v>
      </x:c>
      <x:c r="O529" s="20" t="str">
        <x:v>Prototype retrieval heuristic; association is not proof of causality.</x:v>
      </x:c>
      <x:c r="P529" s="20" t="str">
        <x:v>YES</x:v>
      </x:c>
    </x:row>
    <x:row r="530">
      <x:c r="A530" s="20" t="str">
        <x:v>MKT-008</x:v>
      </x:c>
      <x:c r="B530" s="20" t="str">
        <x:v>Cumplimiento de ejecución multicanal del lanzamiento</x:v>
      </x:c>
      <x:c r="C530" s="20" t="n">
        <x:v>1</x:v>
      </x:c>
      <x:c r="D530" s="20" t="str">
        <x:v>MKT-011</x:v>
      </x:c>
      <x:c r="E530" s="20" t="str">
        <x:v>Actividades principales con cobertura completa de comunicación e impacto</x:v>
      </x:c>
      <x:c r="F530" s="20" t="str">
        <x:v>Same strategic objective; Same department; Same BSC perspective</x:v>
      </x:c>
      <x:c r="G530" s="20" t="n">
        <x:v>87</x:v>
      </x:c>
      <x:c r="H530" s="20" t="str">
        <x:v>Marketing y Comunicación</x:v>
      </x:c>
      <x:c r="I530" s="20" t="str">
        <x:v>Procesos internos</x:v>
      </x:c>
      <x:c r="J530" s="20" t="str">
        <x:v>P3. Integrar Marketing + Procuración</x:v>
      </x:c>
      <x:c r="K530" s="20" t="n">
        <x:v>100</x:v>
      </x:c>
      <x:c r="L530" s="20" t="n">
        <x:v>89.21401340466089</x:v>
      </x:c>
      <x:c r="M530" s="52" t="n">
        <x:v>0.12090013870820443</x:v>
      </x:c>
      <x:c r="N530" s="20" t="str">
        <x:v>Strong improvement</x:v>
      </x:c>
      <x:c r="O530" s="20" t="str">
        <x:v>Prototype retrieval heuristic; association is not proof of causality.</x:v>
      </x:c>
      <x:c r="P530" s="20" t="str">
        <x:v>YES</x:v>
      </x:c>
    </x:row>
    <x:row r="531">
      <x:c r="A531" s="20" t="str">
        <x:v>MKT-008</x:v>
      </x:c>
      <x:c r="B531" s="20" t="str">
        <x:v>Cumplimiento de ejecución multicanal del lanzamiento</x:v>
      </x:c>
      <x:c r="C531" s="20" t="n">
        <x:v>2</x:v>
      </x:c>
      <x:c r="D531" s="20" t="str">
        <x:v>MKT-013</x:v>
      </x:c>
      <x:c r="E531" s="20" t="str">
        <x:v>Campañas de procuración con análisis conjunto MKT–PF</x:v>
      </x:c>
      <x:c r="F531" s="20" t="str">
        <x:v>Same strategic objective; Same department; Same BSC perspective</x:v>
      </x:c>
      <x:c r="G531" s="20" t="n">
        <x:v>87</x:v>
      </x:c>
      <x:c r="H531" s="20" t="str">
        <x:v>Marketing y Comunicación</x:v>
      </x:c>
      <x:c r="I531" s="20" t="str">
        <x:v>Procesos internos</x:v>
      </x:c>
      <x:c r="J531" s="20" t="str">
        <x:v>P3. Integrar Marketing + Procuración</x:v>
      </x:c>
      <x:c r="K531" s="20" t="n">
        <x:v>100</x:v>
      </x:c>
      <x:c r="L531" s="20" t="n">
        <x:v>88.71031746031747</x:v>
      </x:c>
      <x:c r="M531" s="52" t="n">
        <x:v>0.12726459405054785</x:v>
      </x:c>
      <x:c r="N531" s="20" t="str">
        <x:v>Strong improvement</x:v>
      </x:c>
      <x:c r="O531" s="20" t="str">
        <x:v>Prototype retrieval heuristic; association is not proof of causality.</x:v>
      </x:c>
      <x:c r="P531" s="20" t="str">
        <x:v>YES</x:v>
      </x:c>
    </x:row>
    <x:row r="532">
      <x:c r="A532" s="20" t="str">
        <x:v>MKT-008</x:v>
      </x:c>
      <x:c r="B532" s="20" t="str">
        <x:v>Cumplimiento de ejecución multicanal del lanzamiento</x:v>
      </x:c>
      <x:c r="C532" s="20" t="n">
        <x:v>3</x:v>
      </x:c>
      <x:c r="D532" s="20" t="str">
        <x:v>MKT-014</x:v>
      </x:c>
      <x:c r="E532" s="20" t="str">
        <x:v>Fondos atribuibles a campañas conjuntas Omnilife–Chivas</x:v>
      </x:c>
      <x:c r="F532" s="20" t="str">
        <x:v>Same strategic objective; Same department; Same BSC perspective</x:v>
      </x:c>
      <x:c r="G532" s="20" t="n">
        <x:v>87</x:v>
      </x:c>
      <x:c r="H532" s="20" t="str">
        <x:v>Marketing y Comunicación</x:v>
      </x:c>
      <x:c r="I532" s="20" t="str">
        <x:v>Procesos internos</x:v>
      </x:c>
      <x:c r="J532" s="20" t="str">
        <x:v>P3. Integrar Marketing + Procuración</x:v>
      </x:c>
      <x:c r="K532" s="20" t="n">
        <x:v>2066.52</x:v>
      </x:c>
      <x:c r="L532" s="20" t="n">
        <x:v>1587.0333333333335</x:v>
      </x:c>
      <x:c r="M532" s="52" t="n">
        <x:v>0.3021276595744679</x:v>
      </x:c>
      <x:c r="N532" s="20" t="str">
        <x:v>Strong improvement</x:v>
      </x:c>
      <x:c r="O532" s="20" t="str">
        <x:v>Prototype retrieval heuristic; association is not proof of causality.</x:v>
      </x:c>
      <x:c r="P532" s="20" t="str">
        <x:v>YES</x:v>
      </x:c>
    </x:row>
    <x:row r="533">
      <x:c r="A533" s="20" t="str">
        <x:v>MKT-008</x:v>
      </x:c>
      <x:c r="B533" s="20" t="str">
        <x:v>Cumplimiento de ejecución multicanal del lanzamiento</x:v>
      </x:c>
      <x:c r="C533" s="20" t="n">
        <x:v>4</x:v>
      </x:c>
      <x:c r="D533" s="20" t="str">
        <x:v>MKT-001</x:v>
      </x:c>
      <x:c r="E533" s="20" t="str">
        <x:v>Cumplimiento del manual/protocolo de comunicación global</x:v>
      </x:c>
      <x:c r="F533" s="20" t="str">
        <x:v>Strategic-map adjacent objective; Same department</x:v>
      </x:c>
      <x:c r="G533" s="20" t="n">
        <x:v>67</x:v>
      </x:c>
      <x:c r="H533" s="20" t="str">
        <x:v>Marketing y Comunicación</x:v>
      </x:c>
      <x:c r="I533" s="20" t="str">
        <x:v>Capacidades y tecnología</x:v>
      </x:c>
      <x:c r="J533" s="20" t="str">
        <x:v>L4. Fortalecer colaboración interdepartamental</x:v>
      </x:c>
      <x:c r="K533" s="20" t="n">
        <x:v>96</x:v>
      </x:c>
      <x:c r="L533" s="20" t="n">
        <x:v>84.07381786878189</x:v>
      </x:c>
      <x:c r="M533" s="52" t="n">
        <x:v>0.14185369992156044</x:v>
      </x:c>
      <x:c r="N533" s="20" t="str">
        <x:v>Strong improvement</x:v>
      </x:c>
      <x:c r="O533" s="20" t="str">
        <x:v>Prototype retrieval heuristic; association is not proof of causality.</x:v>
      </x:c>
      <x:c r="P533" s="20" t="str">
        <x:v>YES</x:v>
      </x:c>
    </x:row>
    <x:row r="534">
      <x:c r="A534" s="20" t="str">
        <x:v>MKT-008</x:v>
      </x:c>
      <x:c r="B534" s="20" t="str">
        <x:v>Cumplimiento de ejecución multicanal del lanzamiento</x:v>
      </x:c>
      <x:c r="C534" s="20" t="n">
        <x:v>5</x:v>
      </x:c>
      <x:c r="D534" s="20" t="str">
        <x:v>MKT-004</x:v>
      </x:c>
      <x:c r="E534" s="20" t="str">
        <x:v>Compromisos de mejora de comunicación cerrados en plazo</x:v>
      </x:c>
      <x:c r="F534" s="20" t="str">
        <x:v>Strategic-map adjacent objective; Same department</x:v>
      </x:c>
      <x:c r="G534" s="20" t="n">
        <x:v>67</x:v>
      </x:c>
      <x:c r="H534" s="20" t="str">
        <x:v>Marketing y Comunicación</x:v>
      </x:c>
      <x:c r="I534" s="20" t="str">
        <x:v>Capacidades y tecnología</x:v>
      </x:c>
      <x:c r="J534" s="20" t="str">
        <x:v>L4. Fortalecer colaboración interdepartamental</x:v>
      </x:c>
      <x:c r="K534" s="20" t="n">
        <x:v>92</x:v>
      </x:c>
      <x:c r="L534" s="20" t="n">
        <x:v>80.97783311812088</x:v>
      </x:c>
      <x:c r="M534" s="52" t="n">
        <x:v>0.13611338384173954</x:v>
      </x:c>
      <x:c r="N534" s="20" t="str">
        <x:v>Strong improvement</x:v>
      </x:c>
      <x:c r="O534" s="20" t="str">
        <x:v>Prototype retrieval heuristic; association is not proof of causality.</x:v>
      </x:c>
      <x:c r="P534" s="20" t="str">
        <x:v>YES</x:v>
      </x:c>
    </x:row>
    <x:row r="535">
      <x:c r="A535" s="20" t="str">
        <x:v>MKT-008</x:v>
      </x:c>
      <x:c r="B535" s="20" t="str">
        <x:v>Cumplimiento de ejecución multicanal del lanzamiento</x:v>
      </x:c>
      <x:c r="C535" s="20" t="n">
        <x:v>6</x:v>
      </x:c>
      <x:c r="D535" s="20" t="str">
        <x:v>REC-M02</x:v>
      </x:c>
      <x:c r="E535" s="20" t="str">
        <x:v>Costo de adquisición de nuevo donante</x:v>
      </x:c>
      <x:c r="F535" s="20" t="str">
        <x:v>Same strategic objective; Same department; Same BSC perspective</x:v>
      </x:c>
      <x:c r="G535" s="20" t="n">
        <x:v>85</x:v>
      </x:c>
      <x:c r="H535" s="20" t="str">
        <x:v>Marketing y Comunicación</x:v>
      </x:c>
      <x:c r="I535" s="20" t="str">
        <x:v>Procesos internos</x:v>
      </x:c>
      <x:c r="J535" s="20" t="str">
        <x:v>P3. Integrar Marketing + Procuración</x:v>
      </x:c>
      <x:c r="K535" s="20" t="n">
        <x:v>760</x:v>
      </x:c>
      <x:c r="L535" s="20" t="n">
        <x:v>896.6666666666666</x:v>
      </x:c>
      <x:c r="M535" s="52" t="n">
        <x:v>0.15241635687732338</x:v>
      </x:c>
      <x:c r="N535" s="20" t="str">
        <x:v>Strong improvement</x:v>
      </x:c>
      <x:c r="O535" s="20" t="str">
        <x:v>Prototype retrieval heuristic; association is not proof of causality.</x:v>
      </x:c>
      <x:c r="P535" s="20" t="str">
        <x:v>YES</x:v>
      </x:c>
    </x:row>
    <x:row r="536">
      <x:c r="A536" s="20" t="str">
        <x:v>MKT-008</x:v>
      </x:c>
      <x:c r="B536" s="20" t="str">
        <x:v>Cumplimiento de ejecución multicanal del lanzamiento</x:v>
      </x:c>
      <x:c r="C536" s="20" t="n">
        <x:v>7</x:v>
      </x:c>
      <x:c r="D536" s="20" t="str">
        <x:v>MKT-007</x:v>
      </x:c>
      <x:c r="E536" s="20" t="str">
        <x:v>Embajadores Omnilife activos en campaña de nutrición</x:v>
      </x:c>
      <x:c r="F536" s="20" t="str">
        <x:v>Strategic-map adjacent objective; Same department</x:v>
      </x:c>
      <x:c r="G536" s="20" t="n">
        <x:v>67</x:v>
      </x:c>
      <x:c r="H536" s="20" t="str">
        <x:v>Marketing y Comunicación</x:v>
      </x:c>
      <x:c r="I536" s="20" t="str">
        <x:v>Beneficiarios y grupos de interés</x:v>
      </x:c>
      <x:c r="J536" s="20" t="str">
        <x:v>C4. Fortalecer relación con donantes, aliados y comunidades</x:v>
      </x:c>
      <x:c r="K536" s="20" t="n">
        <x:v>100</x:v>
      </x:c>
      <x:c r="L536" s="20" t="n">
        <x:v>88.71031746031747</x:v>
      </x:c>
      <x:c r="M536" s="52" t="n">
        <x:v>0.12726459405054785</x:v>
      </x:c>
      <x:c r="N536" s="20" t="str">
        <x:v>Strong improvement</x:v>
      </x:c>
      <x:c r="O536" s="20" t="str">
        <x:v>Prototype retrieval heuristic; association is not proof of causality.</x:v>
      </x:c>
      <x:c r="P536" s="20" t="str">
        <x:v>YES</x:v>
      </x:c>
    </x:row>
    <x:row r="537">
      <x:c r="A537" s="20" t="str">
        <x:v>MKT-008</x:v>
      </x:c>
      <x:c r="B537" s="20" t="str">
        <x:v>Cumplimiento de ejecución multicanal del lanzamiento</x:v>
      </x:c>
      <x:c r="C537" s="20" t="n">
        <x:v>8</x:v>
      </x:c>
      <x:c r="D537" s="20" t="str">
        <x:v>REC-P03</x:v>
      </x:c>
      <x:c r="E537" s="20" t="str">
        <x:v>Conversión de campaña a nuevo donante</x:v>
      </x:c>
      <x:c r="F537" s="20" t="str">
        <x:v>Same strategic objective; Same BSC perspective</x:v>
      </x:c>
      <x:c r="G537" s="20" t="n">
        <x:v>60</x:v>
      </x:c>
      <x:c r="H537" s="20" t="str">
        <x:v>Marketing + Procuración de Fondos</x:v>
      </x:c>
      <x:c r="I537" s="20" t="str">
        <x:v>Procesos internos</x:v>
      </x:c>
      <x:c r="J537" s="20" t="str">
        <x:v>P3. Integrar Marketing + Procuración</x:v>
      </x:c>
      <x:c r="K537" s="20" t="n">
        <x:v>100</x:v>
      </x:c>
      <x:c r="L537" s="20" t="n">
        <x:v>2015.0147157960507</x:v>
      </x:c>
      <x:c r="M537" s="52" t="n">
        <x:v>-0.9503725708720226</x:v>
      </x:c>
      <x:c r="N537" s="20" t="str">
        <x:v>Deteriorating</x:v>
      </x:c>
      <x:c r="O537" s="20" t="str">
        <x:v>Prototype retrieval heuristic; association is not proof of causality.</x:v>
      </x:c>
      <x:c r="P537" s="20" t="str">
        <x:v>YES</x:v>
      </x:c>
    </x:row>
    <x:row r="538">
      <x:c r="A538" s="20" t="str">
        <x:v>MKT-009</x:v>
      </x:c>
      <x:c r="B538" s="20" t="str">
        <x:v>Cumplimiento del calendario internacional de contenidos</x:v>
      </x:c>
      <x:c r="C538" s="20" t="n">
        <x:v>1</x:v>
      </x:c>
      <x:c r="D538" s="20" t="str">
        <x:v>MKT-003</x:v>
      </x:c>
      <x:c r="E538" s="20" t="str">
        <x:v>Cumplimiento de metas de KPIs digitales prioritarios</x:v>
      </x:c>
      <x:c r="F538" s="20" t="str">
        <x:v>Same strategic objective; Same department; Same BSC perspective</x:v>
      </x:c>
      <x:c r="G538" s="20" t="n">
        <x:v>87</x:v>
      </x:c>
      <x:c r="H538" s="20" t="str">
        <x:v>Marketing y Comunicación</x:v>
      </x:c>
      <x:c r="I538" s="20" t="str">
        <x:v>Beneficiarios y grupos de interés</x:v>
      </x:c>
      <x:c r="J538" s="20" t="str">
        <x:v>C3. Fortalecer confianza y credibilidad institucional</x:v>
      </x:c>
      <x:c r="K538" s="20" t="n">
        <x:v>100</x:v>
      </x:c>
      <x:c r="L538" s="20" t="n">
        <x:v>88.9514687100894</x:v>
      </x:c>
      <x:c r="M538" s="52" t="n">
        <x:v>0.12420853135005526</x:v>
      </x:c>
      <x:c r="N538" s="20" t="str">
        <x:v>Strong improvement</x:v>
      </x:c>
      <x:c r="O538" s="20" t="str">
        <x:v>Prototype retrieval heuristic; association is not proof of causality.</x:v>
      </x:c>
      <x:c r="P538" s="20" t="str">
        <x:v>YES</x:v>
      </x:c>
    </x:row>
    <x:row r="539">
      <x:c r="A539" s="20" t="str">
        <x:v>MKT-009</x:v>
      </x:c>
      <x:c r="B539" s="20" t="str">
        <x:v>Cumplimiento del calendario internacional de contenidos</x:v>
      </x:c>
      <x:c r="C539" s="20" t="n">
        <x:v>2</x:v>
      </x:c>
      <x:c r="D539" s="20" t="str">
        <x:v>MKT-010</x:v>
      </x:c>
      <x:c r="E539" s="20" t="str">
        <x:v>Países con presencia digital continua conforme al estándar</x:v>
      </x:c>
      <x:c r="F539" s="20" t="str">
        <x:v>Same strategic objective; Same department; Same BSC perspective</x:v>
      </x:c>
      <x:c r="G539" s="20" t="n">
        <x:v>87</x:v>
      </x:c>
      <x:c r="H539" s="20" t="str">
        <x:v>Marketing y Comunicación</x:v>
      </x:c>
      <x:c r="I539" s="20" t="str">
        <x:v>Beneficiarios y grupos de interés</x:v>
      </x:c>
      <x:c r="J539" s="20" t="str">
        <x:v>C3. Fortalecer confianza y credibilidad institucional</x:v>
      </x:c>
      <x:c r="K539" s="20" t="n">
        <x:v>100</x:v>
      </x:c>
      <x:c r="L539" s="20" t="n">
        <x:v>91.66666666666667</x:v>
      </x:c>
      <x:c r="M539" s="52" t="n">
        <x:v>0.09090909090909086</x:v>
      </x:c>
      <x:c r="N539" s="20" t="str">
        <x:v>Improving</x:v>
      </x:c>
      <x:c r="O539" s="20" t="str">
        <x:v>Prototype retrieval heuristic; association is not proof of causality.</x:v>
      </x:c>
      <x:c r="P539" s="20" t="str">
        <x:v>YES</x:v>
      </x:c>
    </x:row>
    <x:row r="540">
      <x:c r="A540" s="20" t="str">
        <x:v>MKT-009</x:v>
      </x:c>
      <x:c r="B540" s="20" t="str">
        <x:v>Cumplimiento del calendario internacional de contenidos</x:v>
      </x:c>
      <x:c r="C540" s="20" t="n">
        <x:v>3</x:v>
      </x:c>
      <x:c r="D540" s="20" t="str">
        <x:v>MKT-012</x:v>
      </x:c>
      <x:c r="E540" s="20" t="str">
        <x:v>Cumplimiento del calendario de comunicaciones conjuntas Omnilife–Chivas</x:v>
      </x:c>
      <x:c r="F540" s="20" t="str">
        <x:v>Same strategic objective; Same department; Same BSC perspective</x:v>
      </x:c>
      <x:c r="G540" s="20" t="n">
        <x:v>87</x:v>
      </x:c>
      <x:c r="H540" s="20" t="str">
        <x:v>Marketing y Comunicación</x:v>
      </x:c>
      <x:c r="I540" s="20" t="str">
        <x:v>Beneficiarios y grupos de interés</x:v>
      </x:c>
      <x:c r="J540" s="20" t="str">
        <x:v>C3. Fortalecer confianza y credibilidad institucional</x:v>
      </x:c>
      <x:c r="K540" s="20" t="n">
        <x:v>100</x:v>
      </x:c>
      <x:c r="L540" s="20" t="n">
        <x:v>89.21401340466089</x:v>
      </x:c>
      <x:c r="M540" s="52" t="n">
        <x:v>0.12090013870820443</x:v>
      </x:c>
      <x:c r="N540" s="20" t="str">
        <x:v>Strong improvement</x:v>
      </x:c>
      <x:c r="O540" s="20" t="str">
        <x:v>Prototype retrieval heuristic; association is not proof of causality.</x:v>
      </x:c>
      <x:c r="P540" s="20" t="str">
        <x:v>YES</x:v>
      </x:c>
    </x:row>
    <x:row r="541">
      <x:c r="A541" s="20" t="str">
        <x:v>MKT-009</x:v>
      </x:c>
      <x:c r="B541" s="20" t="str">
        <x:v>Cumplimiento del calendario internacional de contenidos</x:v>
      </x:c>
      <x:c r="C541" s="20" t="n">
        <x:v>4</x:v>
      </x:c>
      <x:c r="D541" s="20" t="str">
        <x:v>MKT-002</x:v>
      </x:c>
      <x:c r="E541" s="20" t="str">
        <x:v>Acciones de mejora derivadas de analítica implementadas en plazo</x:v>
      </x:c>
      <x:c r="F541" s="20" t="str">
        <x:v>Strategic-map adjacent objective; Same department</x:v>
      </x:c>
      <x:c r="G541" s="20" t="n">
        <x:v>67</x:v>
      </x:c>
      <x:c r="H541" s="20" t="str">
        <x:v>Marketing y Comunicación</x:v>
      </x:c>
      <x:c r="I541" s="20" t="str">
        <x:v>Procesos internos</x:v>
      </x:c>
      <x:c r="J541" s="20" t="str">
        <x:v>P2. Fortalecer medición de impacto</x:v>
      </x:c>
      <x:c r="K541" s="20" t="n">
        <x:v>82.14285714285714</x:v>
      </x:c>
      <x:c r="L541" s="20" t="n">
        <x:v>71.67277167277167</x:v>
      </x:c>
      <x:c r="M541" s="52" t="n">
        <x:v>0.1460817717206132</x:v>
      </x:c>
      <x:c r="N541" s="20" t="str">
        <x:v>Strong improvement</x:v>
      </x:c>
      <x:c r="O541" s="20" t="str">
        <x:v>Prototype retrieval heuristic; association is not proof of causality.</x:v>
      </x:c>
      <x:c r="P541" s="20" t="str">
        <x:v>YES</x:v>
      </x:c>
    </x:row>
    <x:row r="542">
      <x:c r="A542" s="20" t="str">
        <x:v>MKT-009</x:v>
      </x:c>
      <x:c r="B542" s="20" t="str">
        <x:v>Cumplimiento del calendario internacional de contenidos</x:v>
      </x:c>
      <x:c r="C542" s="20" t="n">
        <x:v>5</x:v>
      </x:c>
      <x:c r="D542" s="20" t="str">
        <x:v>ADM-001</x:v>
      </x:c>
      <x:c r="E542" s="20" t="str">
        <x:v>Facturación de donativos emitida dentro del SLA</x:v>
      </x:c>
      <x:c r="F542" s="20" t="str">
        <x:v>Strategic-map adjacent objective</x:v>
      </x:c>
      <x:c r="G542" s="20" t="n">
        <x:v>42</x:v>
      </x:c>
      <x:c r="H542" s="20" t="str">
        <x:v>Administración</x:v>
      </x:c>
      <x:c r="I542" s="20" t="str">
        <x:v>Procesos internos</x:v>
      </x:c>
      <x:c r="J542" s="20" t="str">
        <x:v>P4. Simplificar y digitalizar procesos</x:v>
      </x:c>
      <x:c r="K542" s="20" t="n">
        <x:v>100</x:v>
      </x:c>
      <x:c r="L542" s="20" t="n">
        <x:v>89.08024931406226</x:v>
      </x:c>
      <x:c r="M542" s="52" t="n">
        <x:v>0.12258329730801444</x:v>
      </x:c>
      <x:c r="N542" s="20" t="str">
        <x:v>Strong improvement</x:v>
      </x:c>
      <x:c r="O542" s="20" t="str">
        <x:v>Prototype retrieval heuristic; association is not proof of causality.</x:v>
      </x:c>
      <x:c r="P542" s="20" t="str">
        <x:v>YES</x:v>
      </x:c>
    </x:row>
    <x:row r="543">
      <x:c r="A543" s="20" t="str">
        <x:v>MKT-009</x:v>
      </x:c>
      <x:c r="B543" s="20" t="str">
        <x:v>Cumplimiento del calendario internacional de contenidos</x:v>
      </x:c>
      <x:c r="C543" s="20" t="n">
        <x:v>6</x:v>
      </x:c>
      <x:c r="D543" s="20" t="str">
        <x:v>REC-M03</x:v>
      </x:c>
      <x:c r="E543" s="20" t="str">
        <x:v>Contenido de impacto con evidencia verificable</x:v>
      </x:c>
      <x:c r="F543" s="20" t="str">
        <x:v>Same strategic objective; Same department; Same BSC perspective</x:v>
      </x:c>
      <x:c r="G543" s="20" t="n">
        <x:v>85</x:v>
      </x:c>
      <x:c r="H543" s="20" t="str">
        <x:v>Marketing y Comunicación</x:v>
      </x:c>
      <x:c r="I543" s="20" t="str">
        <x:v>Beneficiarios y grupos de interés</x:v>
      </x:c>
      <x:c r="J543" s="20" t="str">
        <x:v>C3. Fortalecer confianza y credibilidad institucional</x:v>
      </x:c>
      <x:c r="K543" s="20" t="n">
        <x:v>100</x:v>
      </x:c>
      <x:c r="L543" s="20" t="n">
        <x:v>89.21401340466089</x:v>
      </x:c>
      <x:c r="M543" s="52" t="n">
        <x:v>0.12090013870820443</x:v>
      </x:c>
      <x:c r="N543" s="20" t="str">
        <x:v>Strong improvement</x:v>
      </x:c>
      <x:c r="O543" s="20" t="str">
        <x:v>Prototype retrieval heuristic; association is not proof of causality.</x:v>
      </x:c>
      <x:c r="P543" s="20" t="str">
        <x:v>YES</x:v>
      </x:c>
    </x:row>
    <x:row r="544">
      <x:c r="A544" s="20" t="str">
        <x:v>MKT-009</x:v>
      </x:c>
      <x:c r="B544" s="20" t="str">
        <x:v>Cumplimiento del calendario internacional de contenidos</x:v>
      </x:c>
      <x:c r="C544" s="20" t="n">
        <x:v>7</x:v>
      </x:c>
      <x:c r="D544" s="20" t="str">
        <x:v>MKT-007</x:v>
      </x:c>
      <x:c r="E544" s="20" t="str">
        <x:v>Embajadores Omnilife activos en campaña de nutrición</x:v>
      </x:c>
      <x:c r="F544" s="20" t="str">
        <x:v>Same department; Same BSC perspective</x:v>
      </x:c>
      <x:c r="G544" s="20" t="n">
        <x:v>37</x:v>
      </x:c>
      <x:c r="H544" s="20" t="str">
        <x:v>Marketing y Comunicación</x:v>
      </x:c>
      <x:c r="I544" s="20" t="str">
        <x:v>Beneficiarios y grupos de interés</x:v>
      </x:c>
      <x:c r="J544" s="20" t="str">
        <x:v>C4. Fortalecer relación con donantes, aliados y comunidades</x:v>
      </x:c>
      <x:c r="K544" s="20" t="n">
        <x:v>100</x:v>
      </x:c>
      <x:c r="L544" s="20" t="n">
        <x:v>88.71031746031747</x:v>
      </x:c>
      <x:c r="M544" s="52" t="n">
        <x:v>0.12726459405054785</x:v>
      </x:c>
      <x:c r="N544" s="20" t="str">
        <x:v>Strong improvement</x:v>
      </x:c>
      <x:c r="O544" s="20" t="str">
        <x:v>Prototype retrieval heuristic; association is not proof of causality.</x:v>
      </x:c>
      <x:c r="P544" s="20" t="str">
        <x:v>YES</x:v>
      </x:c>
    </x:row>
    <x:row r="545">
      <x:c r="A545" s="20" t="str">
        <x:v>MKT-009</x:v>
      </x:c>
      <x:c r="B545" s="20" t="str">
        <x:v>Cumplimiento del calendario internacional de contenidos</x:v>
      </x:c>
      <x:c r="C545" s="20" t="n">
        <x:v>8</x:v>
      </x:c>
      <x:c r="D545" s="20" t="str">
        <x:v>ADM-006</x:v>
      </x:c>
      <x:c r="E545" s="20" t="str">
        <x:v>Informes regulatorios presentados en tiempo y forma</x:v>
      </x:c>
      <x:c r="F545" s="20" t="str">
        <x:v>Same strategic objective; Same BSC perspective</x:v>
      </x:c>
      <x:c r="G545" s="20" t="n">
        <x:v>62</x:v>
      </x:c>
      <x:c r="H545" s="20" t="str">
        <x:v>Administración</x:v>
      </x:c>
      <x:c r="I545" s="20" t="str">
        <x:v>Beneficiarios y grupos de interés</x:v>
      </x:c>
      <x:c r="J545" s="20" t="str">
        <x:v>C3. Fortalecer confianza y credibilidad institucional</x:v>
      </x:c>
      <x:c r="K545" s="20" t="n">
        <x:v>100</x:v>
      </x:c>
      <x:c r="L545" s="20" t="n">
        <x:v>88.9514687100894</x:v>
      </x:c>
      <x:c r="M545" s="52" t="n">
        <x:v>0.12420853135005526</x:v>
      </x:c>
      <x:c r="N545" s="20" t="str">
        <x:v>Strong improvement</x:v>
      </x:c>
      <x:c r="O545" s="20" t="str">
        <x:v>Prototype retrieval heuristic; association is not proof of causality.</x:v>
      </x:c>
      <x:c r="P545" s="20" t="str">
        <x:v>YES</x:v>
      </x:c>
    </x:row>
    <x:row r="546">
      <x:c r="A546" s="20" t="str">
        <x:v>MKT-010</x:v>
      </x:c>
      <x:c r="B546" s="20" t="str">
        <x:v>Países con presencia digital continua conforme al estándar</x:v>
      </x:c>
      <x:c r="C546" s="20" t="n">
        <x:v>1</x:v>
      </x:c>
      <x:c r="D546" s="20" t="str">
        <x:v>MKT-003</x:v>
      </x:c>
      <x:c r="E546" s="20" t="str">
        <x:v>Cumplimiento de metas de KPIs digitales prioritarios</x:v>
      </x:c>
      <x:c r="F546" s="20" t="str">
        <x:v>Same strategic objective; Same department; Same BSC perspective</x:v>
      </x:c>
      <x:c r="G546" s="20" t="n">
        <x:v>87</x:v>
      </x:c>
      <x:c r="H546" s="20" t="str">
        <x:v>Marketing y Comunicación</x:v>
      </x:c>
      <x:c r="I546" s="20" t="str">
        <x:v>Beneficiarios y grupos de interés</x:v>
      </x:c>
      <x:c r="J546" s="20" t="str">
        <x:v>C3. Fortalecer confianza y credibilidad institucional</x:v>
      </x:c>
      <x:c r="K546" s="20" t="n">
        <x:v>100</x:v>
      </x:c>
      <x:c r="L546" s="20" t="n">
        <x:v>88.9514687100894</x:v>
      </x:c>
      <x:c r="M546" s="52" t="n">
        <x:v>0.12420853135005526</x:v>
      </x:c>
      <x:c r="N546" s="20" t="str">
        <x:v>Strong improvement</x:v>
      </x:c>
      <x:c r="O546" s="20" t="str">
        <x:v>Prototype retrieval heuristic; association is not proof of causality.</x:v>
      </x:c>
      <x:c r="P546" s="20" t="str">
        <x:v>YES</x:v>
      </x:c>
    </x:row>
    <x:row r="547">
      <x:c r="A547" s="20" t="str">
        <x:v>MKT-010</x:v>
      </x:c>
      <x:c r="B547" s="20" t="str">
        <x:v>Países con presencia digital continua conforme al estándar</x:v>
      </x:c>
      <x:c r="C547" s="20" t="n">
        <x:v>2</x:v>
      </x:c>
      <x:c r="D547" s="20" t="str">
        <x:v>MKT-009</x:v>
      </x:c>
      <x:c r="E547" s="20" t="str">
        <x:v>Cumplimiento del calendario internacional de contenidos</x:v>
      </x:c>
      <x:c r="F547" s="20" t="str">
        <x:v>Same strategic objective; Same department; Same BSC perspective</x:v>
      </x:c>
      <x:c r="G547" s="20" t="n">
        <x:v>87</x:v>
      </x:c>
      <x:c r="H547" s="20" t="str">
        <x:v>Marketing y Comunicación</x:v>
      </x:c>
      <x:c r="I547" s="20" t="str">
        <x:v>Beneficiarios y grupos de interés</x:v>
      </x:c>
      <x:c r="J547" s="20" t="str">
        <x:v>C3. Fortalecer confianza y credibilidad institucional</x:v>
      </x:c>
      <x:c r="K547" s="20" t="n">
        <x:v>100</x:v>
      </x:c>
      <x:c r="L547" s="20" t="n">
        <x:v>89.21401340466089</x:v>
      </x:c>
      <x:c r="M547" s="52" t="n">
        <x:v>0.12090013870820443</x:v>
      </x:c>
      <x:c r="N547" s="20" t="str">
        <x:v>Strong improvement</x:v>
      </x:c>
      <x:c r="O547" s="20" t="str">
        <x:v>Prototype retrieval heuristic; association is not proof of causality.</x:v>
      </x:c>
      <x:c r="P547" s="20" t="str">
        <x:v>YES</x:v>
      </x:c>
    </x:row>
    <x:row r="548">
      <x:c r="A548" s="20" t="str">
        <x:v>MKT-010</x:v>
      </x:c>
      <x:c r="B548" s="20" t="str">
        <x:v>Países con presencia digital continua conforme al estándar</x:v>
      </x:c>
      <x:c r="C548" s="20" t="n">
        <x:v>3</x:v>
      </x:c>
      <x:c r="D548" s="20" t="str">
        <x:v>MKT-012</x:v>
      </x:c>
      <x:c r="E548" s="20" t="str">
        <x:v>Cumplimiento del calendario de comunicaciones conjuntas Omnilife–Chivas</x:v>
      </x:c>
      <x:c r="F548" s="20" t="str">
        <x:v>Same strategic objective; Same department; Same BSC perspective</x:v>
      </x:c>
      <x:c r="G548" s="20" t="n">
        <x:v>87</x:v>
      </x:c>
      <x:c r="H548" s="20" t="str">
        <x:v>Marketing y Comunicación</x:v>
      </x:c>
      <x:c r="I548" s="20" t="str">
        <x:v>Beneficiarios y grupos de interés</x:v>
      </x:c>
      <x:c r="J548" s="20" t="str">
        <x:v>C3. Fortalecer confianza y credibilidad institucional</x:v>
      </x:c>
      <x:c r="K548" s="20" t="n">
        <x:v>100</x:v>
      </x:c>
      <x:c r="L548" s="20" t="n">
        <x:v>89.21401340466089</x:v>
      </x:c>
      <x:c r="M548" s="52" t="n">
        <x:v>0.12090013870820443</x:v>
      </x:c>
      <x:c r="N548" s="20" t="str">
        <x:v>Strong improvement</x:v>
      </x:c>
      <x:c r="O548" s="20" t="str">
        <x:v>Prototype retrieval heuristic; association is not proof of causality.</x:v>
      </x:c>
      <x:c r="P548" s="20" t="str">
        <x:v>YES</x:v>
      </x:c>
    </x:row>
    <x:row r="549">
      <x:c r="A549" s="20" t="str">
        <x:v>MKT-010</x:v>
      </x:c>
      <x:c r="B549" s="20" t="str">
        <x:v>Países con presencia digital continua conforme al estándar</x:v>
      </x:c>
      <x:c r="C549" s="20" t="n">
        <x:v>4</x:v>
      </x:c>
      <x:c r="D549" s="20" t="str">
        <x:v>MKT-002</x:v>
      </x:c>
      <x:c r="E549" s="20" t="str">
        <x:v>Acciones de mejora derivadas de analítica implementadas en plazo</x:v>
      </x:c>
      <x:c r="F549" s="20" t="str">
        <x:v>Strategic-map adjacent objective; Same department</x:v>
      </x:c>
      <x:c r="G549" s="20" t="n">
        <x:v>67</x:v>
      </x:c>
      <x:c r="H549" s="20" t="str">
        <x:v>Marketing y Comunicación</x:v>
      </x:c>
      <x:c r="I549" s="20" t="str">
        <x:v>Procesos internos</x:v>
      </x:c>
      <x:c r="J549" s="20" t="str">
        <x:v>P2. Fortalecer medición de impacto</x:v>
      </x:c>
      <x:c r="K549" s="20" t="n">
        <x:v>82.14285714285714</x:v>
      </x:c>
      <x:c r="L549" s="20" t="n">
        <x:v>71.67277167277167</x:v>
      </x:c>
      <x:c r="M549" s="52" t="n">
        <x:v>0.1460817717206132</x:v>
      </x:c>
      <x:c r="N549" s="20" t="str">
        <x:v>Strong improvement</x:v>
      </x:c>
      <x:c r="O549" s="20" t="str">
        <x:v>Prototype retrieval heuristic; association is not proof of causality.</x:v>
      </x:c>
      <x:c r="P549" s="20" t="str">
        <x:v>YES</x:v>
      </x:c>
    </x:row>
    <x:row r="550">
      <x:c r="A550" s="20" t="str">
        <x:v>MKT-010</x:v>
      </x:c>
      <x:c r="B550" s="20" t="str">
        <x:v>Países con presencia digital continua conforme al estándar</x:v>
      </x:c>
      <x:c r="C550" s="20" t="n">
        <x:v>5</x:v>
      </x:c>
      <x:c r="D550" s="20" t="str">
        <x:v>ADM-001</x:v>
      </x:c>
      <x:c r="E550" s="20" t="str">
        <x:v>Facturación de donativos emitida dentro del SLA</x:v>
      </x:c>
      <x:c r="F550" s="20" t="str">
        <x:v>Strategic-map adjacent objective</x:v>
      </x:c>
      <x:c r="G550" s="20" t="n">
        <x:v>42</x:v>
      </x:c>
      <x:c r="H550" s="20" t="str">
        <x:v>Administración</x:v>
      </x:c>
      <x:c r="I550" s="20" t="str">
        <x:v>Procesos internos</x:v>
      </x:c>
      <x:c r="J550" s="20" t="str">
        <x:v>P4. Simplificar y digitalizar procesos</x:v>
      </x:c>
      <x:c r="K550" s="20" t="n">
        <x:v>100</x:v>
      </x:c>
      <x:c r="L550" s="20" t="n">
        <x:v>89.08024931406226</x:v>
      </x:c>
      <x:c r="M550" s="52" t="n">
        <x:v>0.12258329730801444</x:v>
      </x:c>
      <x:c r="N550" s="20" t="str">
        <x:v>Strong improvement</x:v>
      </x:c>
      <x:c r="O550" s="20" t="str">
        <x:v>Prototype retrieval heuristic; association is not proof of causality.</x:v>
      </x:c>
      <x:c r="P550" s="20" t="str">
        <x:v>YES</x:v>
      </x:c>
    </x:row>
    <x:row r="551">
      <x:c r="A551" s="20" t="str">
        <x:v>MKT-010</x:v>
      </x:c>
      <x:c r="B551" s="20" t="str">
        <x:v>Países con presencia digital continua conforme al estándar</x:v>
      </x:c>
      <x:c r="C551" s="20" t="n">
        <x:v>6</x:v>
      </x:c>
      <x:c r="D551" s="20" t="str">
        <x:v>REC-M03</x:v>
      </x:c>
      <x:c r="E551" s="20" t="str">
        <x:v>Contenido de impacto con evidencia verificable</x:v>
      </x:c>
      <x:c r="F551" s="20" t="str">
        <x:v>Same strategic objective; Same department; Same BSC perspective</x:v>
      </x:c>
      <x:c r="G551" s="20" t="n">
        <x:v>85</x:v>
      </x:c>
      <x:c r="H551" s="20" t="str">
        <x:v>Marketing y Comunicación</x:v>
      </x:c>
      <x:c r="I551" s="20" t="str">
        <x:v>Beneficiarios y grupos de interés</x:v>
      </x:c>
      <x:c r="J551" s="20" t="str">
        <x:v>C3. Fortalecer confianza y credibilidad institucional</x:v>
      </x:c>
      <x:c r="K551" s="20" t="n">
        <x:v>100</x:v>
      </x:c>
      <x:c r="L551" s="20" t="n">
        <x:v>89.21401340466089</x:v>
      </x:c>
      <x:c r="M551" s="52" t="n">
        <x:v>0.12090013870820443</x:v>
      </x:c>
      <x:c r="N551" s="20" t="str">
        <x:v>Strong improvement</x:v>
      </x:c>
      <x:c r="O551" s="20" t="str">
        <x:v>Prototype retrieval heuristic; association is not proof of causality.</x:v>
      </x:c>
      <x:c r="P551" s="20" t="str">
        <x:v>YES</x:v>
      </x:c>
    </x:row>
    <x:row r="552">
      <x:c r="A552" s="20" t="str">
        <x:v>MKT-010</x:v>
      </x:c>
      <x:c r="B552" s="20" t="str">
        <x:v>Países con presencia digital continua conforme al estándar</x:v>
      </x:c>
      <x:c r="C552" s="20" t="n">
        <x:v>7</x:v>
      </x:c>
      <x:c r="D552" s="20" t="str">
        <x:v>MKT-007</x:v>
      </x:c>
      <x:c r="E552" s="20" t="str">
        <x:v>Embajadores Omnilife activos en campaña de nutrición</x:v>
      </x:c>
      <x:c r="F552" s="20" t="str">
        <x:v>Same department; Same BSC perspective</x:v>
      </x:c>
      <x:c r="G552" s="20" t="n">
        <x:v>37</x:v>
      </x:c>
      <x:c r="H552" s="20" t="str">
        <x:v>Marketing y Comunicación</x:v>
      </x:c>
      <x:c r="I552" s="20" t="str">
        <x:v>Beneficiarios y grupos de interés</x:v>
      </x:c>
      <x:c r="J552" s="20" t="str">
        <x:v>C4. Fortalecer relación con donantes, aliados y comunidades</x:v>
      </x:c>
      <x:c r="K552" s="20" t="n">
        <x:v>100</x:v>
      </x:c>
      <x:c r="L552" s="20" t="n">
        <x:v>88.71031746031747</x:v>
      </x:c>
      <x:c r="M552" s="52" t="n">
        <x:v>0.12726459405054785</x:v>
      </x:c>
      <x:c r="N552" s="20" t="str">
        <x:v>Strong improvement</x:v>
      </x:c>
      <x:c r="O552" s="20" t="str">
        <x:v>Prototype retrieval heuristic; association is not proof of causality.</x:v>
      </x:c>
      <x:c r="P552" s="20" t="str">
        <x:v>YES</x:v>
      </x:c>
    </x:row>
    <x:row r="553">
      <x:c r="A553" s="20" t="str">
        <x:v>MKT-010</x:v>
      </x:c>
      <x:c r="B553" s="20" t="str">
        <x:v>Países con presencia digital continua conforme al estándar</x:v>
      </x:c>
      <x:c r="C553" s="20" t="n">
        <x:v>8</x:v>
      </x:c>
      <x:c r="D553" s="20" t="str">
        <x:v>ADM-006</x:v>
      </x:c>
      <x:c r="E553" s="20" t="str">
        <x:v>Informes regulatorios presentados en tiempo y forma</x:v>
      </x:c>
      <x:c r="F553" s="20" t="str">
        <x:v>Same strategic objective; Same BSC perspective</x:v>
      </x:c>
      <x:c r="G553" s="20" t="n">
        <x:v>62</x:v>
      </x:c>
      <x:c r="H553" s="20" t="str">
        <x:v>Administración</x:v>
      </x:c>
      <x:c r="I553" s="20" t="str">
        <x:v>Beneficiarios y grupos de interés</x:v>
      </x:c>
      <x:c r="J553" s="20" t="str">
        <x:v>C3. Fortalecer confianza y credibilidad institucional</x:v>
      </x:c>
      <x:c r="K553" s="20" t="n">
        <x:v>100</x:v>
      </x:c>
      <x:c r="L553" s="20" t="n">
        <x:v>88.9514687100894</x:v>
      </x:c>
      <x:c r="M553" s="52" t="n">
        <x:v>0.12420853135005526</x:v>
      </x:c>
      <x:c r="N553" s="20" t="str">
        <x:v>Strong improvement</x:v>
      </x:c>
      <x:c r="O553" s="20" t="str">
        <x:v>Prototype retrieval heuristic; association is not proof of causality.</x:v>
      </x:c>
      <x:c r="P553" s="20" t="str">
        <x:v>YES</x:v>
      </x:c>
    </x:row>
    <x:row r="554">
      <x:c r="A554" s="20" t="str">
        <x:v>MKT-011</x:v>
      </x:c>
      <x:c r="B554" s="20" t="str">
        <x:v>Actividades principales con cobertura completa de comunicación e impacto</x:v>
      </x:c>
      <x:c r="C554" s="20" t="n">
        <x:v>1</x:v>
      </x:c>
      <x:c r="D554" s="20" t="str">
        <x:v>MKT-008</x:v>
      </x:c>
      <x:c r="E554" s="20" t="str">
        <x:v>Cumplimiento de ejecución multicanal del lanzamiento</x:v>
      </x:c>
      <x:c r="F554" s="20" t="str">
        <x:v>Same strategic objective; Same department; Same BSC perspective</x:v>
      </x:c>
      <x:c r="G554" s="20" t="n">
        <x:v>87</x:v>
      </x:c>
      <x:c r="H554" s="20" t="str">
        <x:v>Marketing y Comunicación</x:v>
      </x:c>
      <x:c r="I554" s="20" t="str">
        <x:v>Procesos internos</x:v>
      </x:c>
      <x:c r="J554" s="20" t="str">
        <x:v>P3. Integrar Marketing + Procuración</x:v>
      </x:c>
      <x:c r="K554" s="20" t="n">
        <x:v>100</x:v>
      </x:c>
      <x:c r="L554" s="20" t="n">
        <x:v>88.9514687100894</x:v>
      </x:c>
      <x:c r="M554" s="52" t="n">
        <x:v>0.12420853135005526</x:v>
      </x:c>
      <x:c r="N554" s="20" t="str">
        <x:v>Strong improvement</x:v>
      </x:c>
      <x:c r="O554" s="20" t="str">
        <x:v>Prototype retrieval heuristic; association is not proof of causality.</x:v>
      </x:c>
      <x:c r="P554" s="20" t="str">
        <x:v>YES</x:v>
      </x:c>
    </x:row>
    <x:row r="555">
      <x:c r="A555" s="20" t="str">
        <x:v>MKT-011</x:v>
      </x:c>
      <x:c r="B555" s="20" t="str">
        <x:v>Actividades principales con cobertura completa de comunicación e impacto</x:v>
      </x:c>
      <x:c r="C555" s="20" t="n">
        <x:v>2</x:v>
      </x:c>
      <x:c r="D555" s="20" t="str">
        <x:v>MKT-013</x:v>
      </x:c>
      <x:c r="E555" s="20" t="str">
        <x:v>Campañas de procuración con análisis conjunto MKT–PF</x:v>
      </x:c>
      <x:c r="F555" s="20" t="str">
        <x:v>Same strategic objective; Same department; Same BSC perspective</x:v>
      </x:c>
      <x:c r="G555" s="20" t="n">
        <x:v>87</x:v>
      </x:c>
      <x:c r="H555" s="20" t="str">
        <x:v>Marketing y Comunicación</x:v>
      </x:c>
      <x:c r="I555" s="20" t="str">
        <x:v>Procesos internos</x:v>
      </x:c>
      <x:c r="J555" s="20" t="str">
        <x:v>P3. Integrar Marketing + Procuración</x:v>
      </x:c>
      <x:c r="K555" s="20" t="n">
        <x:v>100</x:v>
      </x:c>
      <x:c r="L555" s="20" t="n">
        <x:v>88.71031746031747</x:v>
      </x:c>
      <x:c r="M555" s="52" t="n">
        <x:v>0.12726459405054785</x:v>
      </x:c>
      <x:c r="N555" s="20" t="str">
        <x:v>Strong improvement</x:v>
      </x:c>
      <x:c r="O555" s="20" t="str">
        <x:v>Prototype retrieval heuristic; association is not proof of causality.</x:v>
      </x:c>
      <x:c r="P555" s="20" t="str">
        <x:v>YES</x:v>
      </x:c>
    </x:row>
    <x:row r="556">
      <x:c r="A556" s="20" t="str">
        <x:v>MKT-011</x:v>
      </x:c>
      <x:c r="B556" s="20" t="str">
        <x:v>Actividades principales con cobertura completa de comunicación e impacto</x:v>
      </x:c>
      <x:c r="C556" s="20" t="n">
        <x:v>3</x:v>
      </x:c>
      <x:c r="D556" s="20" t="str">
        <x:v>MKT-014</x:v>
      </x:c>
      <x:c r="E556" s="20" t="str">
        <x:v>Fondos atribuibles a campañas conjuntas Omnilife–Chivas</x:v>
      </x:c>
      <x:c r="F556" s="20" t="str">
        <x:v>Same strategic objective; Same department; Same BSC perspective</x:v>
      </x:c>
      <x:c r="G556" s="20" t="n">
        <x:v>87</x:v>
      </x:c>
      <x:c r="H556" s="20" t="str">
        <x:v>Marketing y Comunicación</x:v>
      </x:c>
      <x:c r="I556" s="20" t="str">
        <x:v>Procesos internos</x:v>
      </x:c>
      <x:c r="J556" s="20" t="str">
        <x:v>P3. Integrar Marketing + Procuración</x:v>
      </x:c>
      <x:c r="K556" s="20" t="n">
        <x:v>2066.52</x:v>
      </x:c>
      <x:c r="L556" s="20" t="n">
        <x:v>1587.0333333333335</x:v>
      </x:c>
      <x:c r="M556" s="52" t="n">
        <x:v>0.3021276595744679</x:v>
      </x:c>
      <x:c r="N556" s="20" t="str">
        <x:v>Strong improvement</x:v>
      </x:c>
      <x:c r="O556" s="20" t="str">
        <x:v>Prototype retrieval heuristic; association is not proof of causality.</x:v>
      </x:c>
      <x:c r="P556" s="20" t="str">
        <x:v>YES</x:v>
      </x:c>
    </x:row>
    <x:row r="557">
      <x:c r="A557" s="20" t="str">
        <x:v>MKT-011</x:v>
      </x:c>
      <x:c r="B557" s="20" t="str">
        <x:v>Actividades principales con cobertura completa de comunicación e impacto</x:v>
      </x:c>
      <x:c r="C557" s="20" t="n">
        <x:v>4</x:v>
      </x:c>
      <x:c r="D557" s="20" t="str">
        <x:v>MKT-001</x:v>
      </x:c>
      <x:c r="E557" s="20" t="str">
        <x:v>Cumplimiento del manual/protocolo de comunicación global</x:v>
      </x:c>
      <x:c r="F557" s="20" t="str">
        <x:v>Strategic-map adjacent objective; Same department</x:v>
      </x:c>
      <x:c r="G557" s="20" t="n">
        <x:v>67</x:v>
      </x:c>
      <x:c r="H557" s="20" t="str">
        <x:v>Marketing y Comunicación</x:v>
      </x:c>
      <x:c r="I557" s="20" t="str">
        <x:v>Capacidades y tecnología</x:v>
      </x:c>
      <x:c r="J557" s="20" t="str">
        <x:v>L4. Fortalecer colaboración interdepartamental</x:v>
      </x:c>
      <x:c r="K557" s="20" t="n">
        <x:v>96</x:v>
      </x:c>
      <x:c r="L557" s="20" t="n">
        <x:v>84.07381786878189</x:v>
      </x:c>
      <x:c r="M557" s="52" t="n">
        <x:v>0.14185369992156044</x:v>
      </x:c>
      <x:c r="N557" s="20" t="str">
        <x:v>Strong improvement</x:v>
      </x:c>
      <x:c r="O557" s="20" t="str">
        <x:v>Prototype retrieval heuristic; association is not proof of causality.</x:v>
      </x:c>
      <x:c r="P557" s="20" t="str">
        <x:v>YES</x:v>
      </x:c>
    </x:row>
    <x:row r="558">
      <x:c r="A558" s="20" t="str">
        <x:v>MKT-011</x:v>
      </x:c>
      <x:c r="B558" s="20" t="str">
        <x:v>Actividades principales con cobertura completa de comunicación e impacto</x:v>
      </x:c>
      <x:c r="C558" s="20" t="n">
        <x:v>5</x:v>
      </x:c>
      <x:c r="D558" s="20" t="str">
        <x:v>MKT-004</x:v>
      </x:c>
      <x:c r="E558" s="20" t="str">
        <x:v>Compromisos de mejora de comunicación cerrados en plazo</x:v>
      </x:c>
      <x:c r="F558" s="20" t="str">
        <x:v>Strategic-map adjacent objective; Same department</x:v>
      </x:c>
      <x:c r="G558" s="20" t="n">
        <x:v>67</x:v>
      </x:c>
      <x:c r="H558" s="20" t="str">
        <x:v>Marketing y Comunicación</x:v>
      </x:c>
      <x:c r="I558" s="20" t="str">
        <x:v>Capacidades y tecnología</x:v>
      </x:c>
      <x:c r="J558" s="20" t="str">
        <x:v>L4. Fortalecer colaboración interdepartamental</x:v>
      </x:c>
      <x:c r="K558" s="20" t="n">
        <x:v>92</x:v>
      </x:c>
      <x:c r="L558" s="20" t="n">
        <x:v>80.97783311812088</x:v>
      </x:c>
      <x:c r="M558" s="52" t="n">
        <x:v>0.13611338384173954</x:v>
      </x:c>
      <x:c r="N558" s="20" t="str">
        <x:v>Strong improvement</x:v>
      </x:c>
      <x:c r="O558" s="20" t="str">
        <x:v>Prototype retrieval heuristic; association is not proof of causality.</x:v>
      </x:c>
      <x:c r="P558" s="20" t="str">
        <x:v>YES</x:v>
      </x:c>
    </x:row>
    <x:row r="559">
      <x:c r="A559" s="20" t="str">
        <x:v>MKT-011</x:v>
      </x:c>
      <x:c r="B559" s="20" t="str">
        <x:v>Actividades principales con cobertura completa de comunicación e impacto</x:v>
      </x:c>
      <x:c r="C559" s="20" t="n">
        <x:v>6</x:v>
      </x:c>
      <x:c r="D559" s="20" t="str">
        <x:v>REC-M02</x:v>
      </x:c>
      <x:c r="E559" s="20" t="str">
        <x:v>Costo de adquisición de nuevo donante</x:v>
      </x:c>
      <x:c r="F559" s="20" t="str">
        <x:v>Same strategic objective; Same department; Same BSC perspective</x:v>
      </x:c>
      <x:c r="G559" s="20" t="n">
        <x:v>85</x:v>
      </x:c>
      <x:c r="H559" s="20" t="str">
        <x:v>Marketing y Comunicación</x:v>
      </x:c>
      <x:c r="I559" s="20" t="str">
        <x:v>Procesos internos</x:v>
      </x:c>
      <x:c r="J559" s="20" t="str">
        <x:v>P3. Integrar Marketing + Procuración</x:v>
      </x:c>
      <x:c r="K559" s="20" t="n">
        <x:v>760</x:v>
      </x:c>
      <x:c r="L559" s="20" t="n">
        <x:v>896.6666666666666</x:v>
      </x:c>
      <x:c r="M559" s="52" t="n">
        <x:v>0.15241635687732338</x:v>
      </x:c>
      <x:c r="N559" s="20" t="str">
        <x:v>Strong improvement</x:v>
      </x:c>
      <x:c r="O559" s="20" t="str">
        <x:v>Prototype retrieval heuristic; association is not proof of causality.</x:v>
      </x:c>
      <x:c r="P559" s="20" t="str">
        <x:v>YES</x:v>
      </x:c>
    </x:row>
    <x:row r="560">
      <x:c r="A560" s="20" t="str">
        <x:v>MKT-011</x:v>
      </x:c>
      <x:c r="B560" s="20" t="str">
        <x:v>Actividades principales con cobertura completa de comunicación e impacto</x:v>
      </x:c>
      <x:c r="C560" s="20" t="n">
        <x:v>7</x:v>
      </x:c>
      <x:c r="D560" s="20" t="str">
        <x:v>MKT-007</x:v>
      </x:c>
      <x:c r="E560" s="20" t="str">
        <x:v>Embajadores Omnilife activos en campaña de nutrición</x:v>
      </x:c>
      <x:c r="F560" s="20" t="str">
        <x:v>Strategic-map adjacent objective; Same department</x:v>
      </x:c>
      <x:c r="G560" s="20" t="n">
        <x:v>67</x:v>
      </x:c>
      <x:c r="H560" s="20" t="str">
        <x:v>Marketing y Comunicación</x:v>
      </x:c>
      <x:c r="I560" s="20" t="str">
        <x:v>Beneficiarios y grupos de interés</x:v>
      </x:c>
      <x:c r="J560" s="20" t="str">
        <x:v>C4. Fortalecer relación con donantes, aliados y comunidades</x:v>
      </x:c>
      <x:c r="K560" s="20" t="n">
        <x:v>100</x:v>
      </x:c>
      <x:c r="L560" s="20" t="n">
        <x:v>88.71031746031747</x:v>
      </x:c>
      <x:c r="M560" s="52" t="n">
        <x:v>0.12726459405054785</x:v>
      </x:c>
      <x:c r="N560" s="20" t="str">
        <x:v>Strong improvement</x:v>
      </x:c>
      <x:c r="O560" s="20" t="str">
        <x:v>Prototype retrieval heuristic; association is not proof of causality.</x:v>
      </x:c>
      <x:c r="P560" s="20" t="str">
        <x:v>YES</x:v>
      </x:c>
    </x:row>
    <x:row r="561">
      <x:c r="A561" s="20" t="str">
        <x:v>MKT-011</x:v>
      </x:c>
      <x:c r="B561" s="20" t="str">
        <x:v>Actividades principales con cobertura completa de comunicación e impacto</x:v>
      </x:c>
      <x:c r="C561" s="20" t="n">
        <x:v>8</x:v>
      </x:c>
      <x:c r="D561" s="20" t="str">
        <x:v>REC-P03</x:v>
      </x:c>
      <x:c r="E561" s="20" t="str">
        <x:v>Conversión de campaña a nuevo donante</x:v>
      </x:c>
      <x:c r="F561" s="20" t="str">
        <x:v>Same strategic objective; Same BSC perspective</x:v>
      </x:c>
      <x:c r="G561" s="20" t="n">
        <x:v>60</x:v>
      </x:c>
      <x:c r="H561" s="20" t="str">
        <x:v>Marketing + Procuración de Fondos</x:v>
      </x:c>
      <x:c r="I561" s="20" t="str">
        <x:v>Procesos internos</x:v>
      </x:c>
      <x:c r="J561" s="20" t="str">
        <x:v>P3. Integrar Marketing + Procuración</x:v>
      </x:c>
      <x:c r="K561" s="20" t="n">
        <x:v>100</x:v>
      </x:c>
      <x:c r="L561" s="20" t="n">
        <x:v>2015.0147157960507</x:v>
      </x:c>
      <x:c r="M561" s="52" t="n">
        <x:v>-0.9503725708720226</x:v>
      </x:c>
      <x:c r="N561" s="20" t="str">
        <x:v>Deteriorating</x:v>
      </x:c>
      <x:c r="O561" s="20" t="str">
        <x:v>Prototype retrieval heuristic; association is not proof of causality.</x:v>
      </x:c>
      <x:c r="P561" s="20" t="str">
        <x:v>YES</x:v>
      </x:c>
    </x:row>
    <x:row r="562">
      <x:c r="A562" s="20" t="str">
        <x:v>MKT-012</x:v>
      </x:c>
      <x:c r="B562" s="20" t="str">
        <x:v>Cumplimiento del calendario de comunicaciones conjuntas Omnilife–Chivas</x:v>
      </x:c>
      <x:c r="C562" s="20" t="n">
        <x:v>1</x:v>
      </x:c>
      <x:c r="D562" s="20" t="str">
        <x:v>MKT-003</x:v>
      </x:c>
      <x:c r="E562" s="20" t="str">
        <x:v>Cumplimiento de metas de KPIs digitales prioritarios</x:v>
      </x:c>
      <x:c r="F562" s="20" t="str">
        <x:v>Same strategic objective; Same department; Same BSC perspective</x:v>
      </x:c>
      <x:c r="G562" s="20" t="n">
        <x:v>87</x:v>
      </x:c>
      <x:c r="H562" s="20" t="str">
        <x:v>Marketing y Comunicación</x:v>
      </x:c>
      <x:c r="I562" s="20" t="str">
        <x:v>Beneficiarios y grupos de interés</x:v>
      </x:c>
      <x:c r="J562" s="20" t="str">
        <x:v>C3. Fortalecer confianza y credibilidad institucional</x:v>
      </x:c>
      <x:c r="K562" s="20" t="n">
        <x:v>100</x:v>
      </x:c>
      <x:c r="L562" s="20" t="n">
        <x:v>88.9514687100894</x:v>
      </x:c>
      <x:c r="M562" s="52" t="n">
        <x:v>0.12420853135005526</x:v>
      </x:c>
      <x:c r="N562" s="20" t="str">
        <x:v>Strong improvement</x:v>
      </x:c>
      <x:c r="O562" s="20" t="str">
        <x:v>Prototype retrieval heuristic; association is not proof of causality.</x:v>
      </x:c>
      <x:c r="P562" s="20" t="str">
        <x:v>YES</x:v>
      </x:c>
    </x:row>
    <x:row r="563">
      <x:c r="A563" s="20" t="str">
        <x:v>MKT-012</x:v>
      </x:c>
      <x:c r="B563" s="20" t="str">
        <x:v>Cumplimiento del calendario de comunicaciones conjuntas Omnilife–Chivas</x:v>
      </x:c>
      <x:c r="C563" s="20" t="n">
        <x:v>2</x:v>
      </x:c>
      <x:c r="D563" s="20" t="str">
        <x:v>MKT-009</x:v>
      </x:c>
      <x:c r="E563" s="20" t="str">
        <x:v>Cumplimiento del calendario internacional de contenidos</x:v>
      </x:c>
      <x:c r="F563" s="20" t="str">
        <x:v>Same strategic objective; Same department; Same BSC perspective</x:v>
      </x:c>
      <x:c r="G563" s="20" t="n">
        <x:v>87</x:v>
      </x:c>
      <x:c r="H563" s="20" t="str">
        <x:v>Marketing y Comunicación</x:v>
      </x:c>
      <x:c r="I563" s="20" t="str">
        <x:v>Beneficiarios y grupos de interés</x:v>
      </x:c>
      <x:c r="J563" s="20" t="str">
        <x:v>C3. Fortalecer confianza y credibilidad institucional</x:v>
      </x:c>
      <x:c r="K563" s="20" t="n">
        <x:v>100</x:v>
      </x:c>
      <x:c r="L563" s="20" t="n">
        <x:v>89.21401340466089</x:v>
      </x:c>
      <x:c r="M563" s="52" t="n">
        <x:v>0.12090013870820443</x:v>
      </x:c>
      <x:c r="N563" s="20" t="str">
        <x:v>Strong improvement</x:v>
      </x:c>
      <x:c r="O563" s="20" t="str">
        <x:v>Prototype retrieval heuristic; association is not proof of causality.</x:v>
      </x:c>
      <x:c r="P563" s="20" t="str">
        <x:v>YES</x:v>
      </x:c>
    </x:row>
    <x:row r="564">
      <x:c r="A564" s="20" t="str">
        <x:v>MKT-012</x:v>
      </x:c>
      <x:c r="B564" s="20" t="str">
        <x:v>Cumplimiento del calendario de comunicaciones conjuntas Omnilife–Chivas</x:v>
      </x:c>
      <x:c r="C564" s="20" t="n">
        <x:v>3</x:v>
      </x:c>
      <x:c r="D564" s="20" t="str">
        <x:v>MKT-010</x:v>
      </x:c>
      <x:c r="E564" s="20" t="str">
        <x:v>Países con presencia digital continua conforme al estándar</x:v>
      </x:c>
      <x:c r="F564" s="20" t="str">
        <x:v>Same strategic objective; Same department; Same BSC perspective</x:v>
      </x:c>
      <x:c r="G564" s="20" t="n">
        <x:v>87</x:v>
      </x:c>
      <x:c r="H564" s="20" t="str">
        <x:v>Marketing y Comunicación</x:v>
      </x:c>
      <x:c r="I564" s="20" t="str">
        <x:v>Beneficiarios y grupos de interés</x:v>
      </x:c>
      <x:c r="J564" s="20" t="str">
        <x:v>C3. Fortalecer confianza y credibilidad institucional</x:v>
      </x:c>
      <x:c r="K564" s="20" t="n">
        <x:v>100</x:v>
      </x:c>
      <x:c r="L564" s="20" t="n">
        <x:v>91.66666666666667</x:v>
      </x:c>
      <x:c r="M564" s="52" t="n">
        <x:v>0.09090909090909086</x:v>
      </x:c>
      <x:c r="N564" s="20" t="str">
        <x:v>Improving</x:v>
      </x:c>
      <x:c r="O564" s="20" t="str">
        <x:v>Prototype retrieval heuristic; association is not proof of causality.</x:v>
      </x:c>
      <x:c r="P564" s="20" t="str">
        <x:v>YES</x:v>
      </x:c>
    </x:row>
    <x:row r="565">
      <x:c r="A565" s="20" t="str">
        <x:v>MKT-012</x:v>
      </x:c>
      <x:c r="B565" s="20" t="str">
        <x:v>Cumplimiento del calendario de comunicaciones conjuntas Omnilife–Chivas</x:v>
      </x:c>
      <x:c r="C565" s="20" t="n">
        <x:v>4</x:v>
      </x:c>
      <x:c r="D565" s="20" t="str">
        <x:v>MKT-002</x:v>
      </x:c>
      <x:c r="E565" s="20" t="str">
        <x:v>Acciones de mejora derivadas de analítica implementadas en plazo</x:v>
      </x:c>
      <x:c r="F565" s="20" t="str">
        <x:v>Strategic-map adjacent objective; Same department</x:v>
      </x:c>
      <x:c r="G565" s="20" t="n">
        <x:v>67</x:v>
      </x:c>
      <x:c r="H565" s="20" t="str">
        <x:v>Marketing y Comunicación</x:v>
      </x:c>
      <x:c r="I565" s="20" t="str">
        <x:v>Procesos internos</x:v>
      </x:c>
      <x:c r="J565" s="20" t="str">
        <x:v>P2. Fortalecer medición de impacto</x:v>
      </x:c>
      <x:c r="K565" s="20" t="n">
        <x:v>82.14285714285714</x:v>
      </x:c>
      <x:c r="L565" s="20" t="n">
        <x:v>71.67277167277167</x:v>
      </x:c>
      <x:c r="M565" s="52" t="n">
        <x:v>0.1460817717206132</x:v>
      </x:c>
      <x:c r="N565" s="20" t="str">
        <x:v>Strong improvement</x:v>
      </x:c>
      <x:c r="O565" s="20" t="str">
        <x:v>Prototype retrieval heuristic; association is not proof of causality.</x:v>
      </x:c>
      <x:c r="P565" s="20" t="str">
        <x:v>YES</x:v>
      </x:c>
    </x:row>
    <x:row r="566">
      <x:c r="A566" s="20" t="str">
        <x:v>MKT-012</x:v>
      </x:c>
      <x:c r="B566" s="20" t="str">
        <x:v>Cumplimiento del calendario de comunicaciones conjuntas Omnilife–Chivas</x:v>
      </x:c>
      <x:c r="C566" s="20" t="n">
        <x:v>5</x:v>
      </x:c>
      <x:c r="D566" s="20" t="str">
        <x:v>ADM-001</x:v>
      </x:c>
      <x:c r="E566" s="20" t="str">
        <x:v>Facturación de donativos emitida dentro del SLA</x:v>
      </x:c>
      <x:c r="F566" s="20" t="str">
        <x:v>Strategic-map adjacent objective</x:v>
      </x:c>
      <x:c r="G566" s="20" t="n">
        <x:v>42</x:v>
      </x:c>
      <x:c r="H566" s="20" t="str">
        <x:v>Administración</x:v>
      </x:c>
      <x:c r="I566" s="20" t="str">
        <x:v>Procesos internos</x:v>
      </x:c>
      <x:c r="J566" s="20" t="str">
        <x:v>P4. Simplificar y digitalizar procesos</x:v>
      </x:c>
      <x:c r="K566" s="20" t="n">
        <x:v>100</x:v>
      </x:c>
      <x:c r="L566" s="20" t="n">
        <x:v>89.08024931406226</x:v>
      </x:c>
      <x:c r="M566" s="52" t="n">
        <x:v>0.12258329730801444</x:v>
      </x:c>
      <x:c r="N566" s="20" t="str">
        <x:v>Strong improvement</x:v>
      </x:c>
      <x:c r="O566" s="20" t="str">
        <x:v>Prototype retrieval heuristic; association is not proof of causality.</x:v>
      </x:c>
      <x:c r="P566" s="20" t="str">
        <x:v>YES</x:v>
      </x:c>
    </x:row>
    <x:row r="567">
      <x:c r="A567" s="20" t="str">
        <x:v>MKT-012</x:v>
      </x:c>
      <x:c r="B567" s="20" t="str">
        <x:v>Cumplimiento del calendario de comunicaciones conjuntas Omnilife–Chivas</x:v>
      </x:c>
      <x:c r="C567" s="20" t="n">
        <x:v>6</x:v>
      </x:c>
      <x:c r="D567" s="20" t="str">
        <x:v>REC-M03</x:v>
      </x:c>
      <x:c r="E567" s="20" t="str">
        <x:v>Contenido de impacto con evidencia verificable</x:v>
      </x:c>
      <x:c r="F567" s="20" t="str">
        <x:v>Same strategic objective; Same department; Same BSC perspective</x:v>
      </x:c>
      <x:c r="G567" s="20" t="n">
        <x:v>85</x:v>
      </x:c>
      <x:c r="H567" s="20" t="str">
        <x:v>Marketing y Comunicación</x:v>
      </x:c>
      <x:c r="I567" s="20" t="str">
        <x:v>Beneficiarios y grupos de interés</x:v>
      </x:c>
      <x:c r="J567" s="20" t="str">
        <x:v>C3. Fortalecer confianza y credibilidad institucional</x:v>
      </x:c>
      <x:c r="K567" s="20" t="n">
        <x:v>100</x:v>
      </x:c>
      <x:c r="L567" s="20" t="n">
        <x:v>89.21401340466089</x:v>
      </x:c>
      <x:c r="M567" s="52" t="n">
        <x:v>0.12090013870820443</x:v>
      </x:c>
      <x:c r="N567" s="20" t="str">
        <x:v>Strong improvement</x:v>
      </x:c>
      <x:c r="O567" s="20" t="str">
        <x:v>Prototype retrieval heuristic; association is not proof of causality.</x:v>
      </x:c>
      <x:c r="P567" s="20" t="str">
        <x:v>YES</x:v>
      </x:c>
    </x:row>
    <x:row r="568">
      <x:c r="A568" s="20" t="str">
        <x:v>MKT-012</x:v>
      </x:c>
      <x:c r="B568" s="20" t="str">
        <x:v>Cumplimiento del calendario de comunicaciones conjuntas Omnilife–Chivas</x:v>
      </x:c>
      <x:c r="C568" s="20" t="n">
        <x:v>7</x:v>
      </x:c>
      <x:c r="D568" s="20" t="str">
        <x:v>MKT-007</x:v>
      </x:c>
      <x:c r="E568" s="20" t="str">
        <x:v>Embajadores Omnilife activos en campaña de nutrición</x:v>
      </x:c>
      <x:c r="F568" s="20" t="str">
        <x:v>Same department; Same BSC perspective</x:v>
      </x:c>
      <x:c r="G568" s="20" t="n">
        <x:v>37</x:v>
      </x:c>
      <x:c r="H568" s="20" t="str">
        <x:v>Marketing y Comunicación</x:v>
      </x:c>
      <x:c r="I568" s="20" t="str">
        <x:v>Beneficiarios y grupos de interés</x:v>
      </x:c>
      <x:c r="J568" s="20" t="str">
        <x:v>C4. Fortalecer relación con donantes, aliados y comunidades</x:v>
      </x:c>
      <x:c r="K568" s="20" t="n">
        <x:v>100</x:v>
      </x:c>
      <x:c r="L568" s="20" t="n">
        <x:v>88.71031746031747</x:v>
      </x:c>
      <x:c r="M568" s="52" t="n">
        <x:v>0.12726459405054785</x:v>
      </x:c>
      <x:c r="N568" s="20" t="str">
        <x:v>Strong improvement</x:v>
      </x:c>
      <x:c r="O568" s="20" t="str">
        <x:v>Prototype retrieval heuristic; association is not proof of causality.</x:v>
      </x:c>
      <x:c r="P568" s="20" t="str">
        <x:v>YES</x:v>
      </x:c>
    </x:row>
    <x:row r="569">
      <x:c r="A569" s="20" t="str">
        <x:v>MKT-012</x:v>
      </x:c>
      <x:c r="B569" s="20" t="str">
        <x:v>Cumplimiento del calendario de comunicaciones conjuntas Omnilife–Chivas</x:v>
      </x:c>
      <x:c r="C569" s="20" t="n">
        <x:v>8</x:v>
      </x:c>
      <x:c r="D569" s="20" t="str">
        <x:v>ADM-006</x:v>
      </x:c>
      <x:c r="E569" s="20" t="str">
        <x:v>Informes regulatorios presentados en tiempo y forma</x:v>
      </x:c>
      <x:c r="F569" s="20" t="str">
        <x:v>Same strategic objective; Same BSC perspective</x:v>
      </x:c>
      <x:c r="G569" s="20" t="n">
        <x:v>62</x:v>
      </x:c>
      <x:c r="H569" s="20" t="str">
        <x:v>Administración</x:v>
      </x:c>
      <x:c r="I569" s="20" t="str">
        <x:v>Beneficiarios y grupos de interés</x:v>
      </x:c>
      <x:c r="J569" s="20" t="str">
        <x:v>C3. Fortalecer confianza y credibilidad institucional</x:v>
      </x:c>
      <x:c r="K569" s="20" t="n">
        <x:v>100</x:v>
      </x:c>
      <x:c r="L569" s="20" t="n">
        <x:v>88.9514687100894</x:v>
      </x:c>
      <x:c r="M569" s="52" t="n">
        <x:v>0.12420853135005526</x:v>
      </x:c>
      <x:c r="N569" s="20" t="str">
        <x:v>Strong improvement</x:v>
      </x:c>
      <x:c r="O569" s="20" t="str">
        <x:v>Prototype retrieval heuristic; association is not proof of causality.</x:v>
      </x:c>
      <x:c r="P569" s="20" t="str">
        <x:v>YES</x:v>
      </x:c>
    </x:row>
    <x:row r="570">
      <x:c r="A570" s="20" t="str">
        <x:v>MKT-013</x:v>
      </x:c>
      <x:c r="B570" s="20" t="str">
        <x:v>Campañas de procuración con análisis conjunto MKT–PF</x:v>
      </x:c>
      <x:c r="C570" s="20" t="n">
        <x:v>1</x:v>
      </x:c>
      <x:c r="D570" s="20" t="str">
        <x:v>MKT-008</x:v>
      </x:c>
      <x:c r="E570" s="20" t="str">
        <x:v>Cumplimiento de ejecución multicanal del lanzamiento</x:v>
      </x:c>
      <x:c r="F570" s="20" t="str">
        <x:v>Same strategic objective; Same department; Same BSC perspective</x:v>
      </x:c>
      <x:c r="G570" s="20" t="n">
        <x:v>87</x:v>
      </x:c>
      <x:c r="H570" s="20" t="str">
        <x:v>Marketing y Comunicación</x:v>
      </x:c>
      <x:c r="I570" s="20" t="str">
        <x:v>Procesos internos</x:v>
      </x:c>
      <x:c r="J570" s="20" t="str">
        <x:v>P3. Integrar Marketing + Procuración</x:v>
      </x:c>
      <x:c r="K570" s="20" t="n">
        <x:v>100</x:v>
      </x:c>
      <x:c r="L570" s="20" t="n">
        <x:v>88.9514687100894</x:v>
      </x:c>
      <x:c r="M570" s="52" t="n">
        <x:v>0.12420853135005526</x:v>
      </x:c>
      <x:c r="N570" s="20" t="str">
        <x:v>Strong improvement</x:v>
      </x:c>
      <x:c r="O570" s="20" t="str">
        <x:v>Prototype retrieval heuristic; association is not proof of causality.</x:v>
      </x:c>
      <x:c r="P570" s="20" t="str">
        <x:v>YES</x:v>
      </x:c>
    </x:row>
    <x:row r="571">
      <x:c r="A571" s="20" t="str">
        <x:v>MKT-013</x:v>
      </x:c>
      <x:c r="B571" s="20" t="str">
        <x:v>Campañas de procuración con análisis conjunto MKT–PF</x:v>
      </x:c>
      <x:c r="C571" s="20" t="n">
        <x:v>2</x:v>
      </x:c>
      <x:c r="D571" s="20" t="str">
        <x:v>MKT-011</x:v>
      </x:c>
      <x:c r="E571" s="20" t="str">
        <x:v>Actividades principales con cobertura completa de comunicación e impacto</x:v>
      </x:c>
      <x:c r="F571" s="20" t="str">
        <x:v>Same strategic objective; Same department; Same BSC perspective</x:v>
      </x:c>
      <x:c r="G571" s="20" t="n">
        <x:v>87</x:v>
      </x:c>
      <x:c r="H571" s="20" t="str">
        <x:v>Marketing y Comunicación</x:v>
      </x:c>
      <x:c r="I571" s="20" t="str">
        <x:v>Procesos internos</x:v>
      </x:c>
      <x:c r="J571" s="20" t="str">
        <x:v>P3. Integrar Marketing + Procuración</x:v>
      </x:c>
      <x:c r="K571" s="20" t="n">
        <x:v>100</x:v>
      </x:c>
      <x:c r="L571" s="20" t="n">
        <x:v>89.21401340466089</x:v>
      </x:c>
      <x:c r="M571" s="52" t="n">
        <x:v>0.12090013870820443</x:v>
      </x:c>
      <x:c r="N571" s="20" t="str">
        <x:v>Strong improvement</x:v>
      </x:c>
      <x:c r="O571" s="20" t="str">
        <x:v>Prototype retrieval heuristic; association is not proof of causality.</x:v>
      </x:c>
      <x:c r="P571" s="20" t="str">
        <x:v>YES</x:v>
      </x:c>
    </x:row>
    <x:row r="572">
      <x:c r="A572" s="20" t="str">
        <x:v>MKT-013</x:v>
      </x:c>
      <x:c r="B572" s="20" t="str">
        <x:v>Campañas de procuración con análisis conjunto MKT–PF</x:v>
      </x:c>
      <x:c r="C572" s="20" t="n">
        <x:v>3</x:v>
      </x:c>
      <x:c r="D572" s="20" t="str">
        <x:v>MKT-014</x:v>
      </x:c>
      <x:c r="E572" s="20" t="str">
        <x:v>Fondos atribuibles a campañas conjuntas Omnilife–Chivas</x:v>
      </x:c>
      <x:c r="F572" s="20" t="str">
        <x:v>Same strategic objective; Same department; Same BSC perspective</x:v>
      </x:c>
      <x:c r="G572" s="20" t="n">
        <x:v>87</x:v>
      </x:c>
      <x:c r="H572" s="20" t="str">
        <x:v>Marketing y Comunicación</x:v>
      </x:c>
      <x:c r="I572" s="20" t="str">
        <x:v>Procesos internos</x:v>
      </x:c>
      <x:c r="J572" s="20" t="str">
        <x:v>P3. Integrar Marketing + Procuración</x:v>
      </x:c>
      <x:c r="K572" s="20" t="n">
        <x:v>2066.52</x:v>
      </x:c>
      <x:c r="L572" s="20" t="n">
        <x:v>1587.0333333333335</x:v>
      </x:c>
      <x:c r="M572" s="52" t="n">
        <x:v>0.3021276595744679</x:v>
      </x:c>
      <x:c r="N572" s="20" t="str">
        <x:v>Strong improvement</x:v>
      </x:c>
      <x:c r="O572" s="20" t="str">
        <x:v>Prototype retrieval heuristic; association is not proof of causality.</x:v>
      </x:c>
      <x:c r="P572" s="20" t="str">
        <x:v>YES</x:v>
      </x:c>
    </x:row>
    <x:row r="573">
      <x:c r="A573" s="20" t="str">
        <x:v>MKT-013</x:v>
      </x:c>
      <x:c r="B573" s="20" t="str">
        <x:v>Campañas de procuración con análisis conjunto MKT–PF</x:v>
      </x:c>
      <x:c r="C573" s="20" t="n">
        <x:v>4</x:v>
      </x:c>
      <x:c r="D573" s="20" t="str">
        <x:v>MKT-001</x:v>
      </x:c>
      <x:c r="E573" s="20" t="str">
        <x:v>Cumplimiento del manual/protocolo de comunicación global</x:v>
      </x:c>
      <x:c r="F573" s="20" t="str">
        <x:v>Strategic-map adjacent objective; Same department</x:v>
      </x:c>
      <x:c r="G573" s="20" t="n">
        <x:v>67</x:v>
      </x:c>
      <x:c r="H573" s="20" t="str">
        <x:v>Marketing y Comunicación</x:v>
      </x:c>
      <x:c r="I573" s="20" t="str">
        <x:v>Capacidades y tecnología</x:v>
      </x:c>
      <x:c r="J573" s="20" t="str">
        <x:v>L4. Fortalecer colaboración interdepartamental</x:v>
      </x:c>
      <x:c r="K573" s="20" t="n">
        <x:v>96</x:v>
      </x:c>
      <x:c r="L573" s="20" t="n">
        <x:v>84.07381786878189</x:v>
      </x:c>
      <x:c r="M573" s="52" t="n">
        <x:v>0.14185369992156044</x:v>
      </x:c>
      <x:c r="N573" s="20" t="str">
        <x:v>Strong improvement</x:v>
      </x:c>
      <x:c r="O573" s="20" t="str">
        <x:v>Prototype retrieval heuristic; association is not proof of causality.</x:v>
      </x:c>
      <x:c r="P573" s="20" t="str">
        <x:v>YES</x:v>
      </x:c>
    </x:row>
    <x:row r="574">
      <x:c r="A574" s="20" t="str">
        <x:v>MKT-013</x:v>
      </x:c>
      <x:c r="B574" s="20" t="str">
        <x:v>Campañas de procuración con análisis conjunto MKT–PF</x:v>
      </x:c>
      <x:c r="C574" s="20" t="n">
        <x:v>5</x:v>
      </x:c>
      <x:c r="D574" s="20" t="str">
        <x:v>MKT-004</x:v>
      </x:c>
      <x:c r="E574" s="20" t="str">
        <x:v>Compromisos de mejora de comunicación cerrados en plazo</x:v>
      </x:c>
      <x:c r="F574" s="20" t="str">
        <x:v>Strategic-map adjacent objective; Same department</x:v>
      </x:c>
      <x:c r="G574" s="20" t="n">
        <x:v>67</x:v>
      </x:c>
      <x:c r="H574" s="20" t="str">
        <x:v>Marketing y Comunicación</x:v>
      </x:c>
      <x:c r="I574" s="20" t="str">
        <x:v>Capacidades y tecnología</x:v>
      </x:c>
      <x:c r="J574" s="20" t="str">
        <x:v>L4. Fortalecer colaboración interdepartamental</x:v>
      </x:c>
      <x:c r="K574" s="20" t="n">
        <x:v>92</x:v>
      </x:c>
      <x:c r="L574" s="20" t="n">
        <x:v>80.97783311812088</x:v>
      </x:c>
      <x:c r="M574" s="52" t="n">
        <x:v>0.13611338384173954</x:v>
      </x:c>
      <x:c r="N574" s="20" t="str">
        <x:v>Strong improvement</x:v>
      </x:c>
      <x:c r="O574" s="20" t="str">
        <x:v>Prototype retrieval heuristic; association is not proof of causality.</x:v>
      </x:c>
      <x:c r="P574" s="20" t="str">
        <x:v>YES</x:v>
      </x:c>
    </x:row>
    <x:row r="575">
      <x:c r="A575" s="20" t="str">
        <x:v>MKT-013</x:v>
      </x:c>
      <x:c r="B575" s="20" t="str">
        <x:v>Campañas de procuración con análisis conjunto MKT–PF</x:v>
      </x:c>
      <x:c r="C575" s="20" t="n">
        <x:v>6</x:v>
      </x:c>
      <x:c r="D575" s="20" t="str">
        <x:v>REC-M02</x:v>
      </x:c>
      <x:c r="E575" s="20" t="str">
        <x:v>Costo de adquisición de nuevo donante</x:v>
      </x:c>
      <x:c r="F575" s="20" t="str">
        <x:v>Same strategic objective; Same department; Same BSC perspective</x:v>
      </x:c>
      <x:c r="G575" s="20" t="n">
        <x:v>85</x:v>
      </x:c>
      <x:c r="H575" s="20" t="str">
        <x:v>Marketing y Comunicación</x:v>
      </x:c>
      <x:c r="I575" s="20" t="str">
        <x:v>Procesos internos</x:v>
      </x:c>
      <x:c r="J575" s="20" t="str">
        <x:v>P3. Integrar Marketing + Procuración</x:v>
      </x:c>
      <x:c r="K575" s="20" t="n">
        <x:v>760</x:v>
      </x:c>
      <x:c r="L575" s="20" t="n">
        <x:v>896.6666666666666</x:v>
      </x:c>
      <x:c r="M575" s="52" t="n">
        <x:v>0.15241635687732338</x:v>
      </x:c>
      <x:c r="N575" s="20" t="str">
        <x:v>Strong improvement</x:v>
      </x:c>
      <x:c r="O575" s="20" t="str">
        <x:v>Prototype retrieval heuristic; association is not proof of causality.</x:v>
      </x:c>
      <x:c r="P575" s="20" t="str">
        <x:v>YES</x:v>
      </x:c>
    </x:row>
    <x:row r="576">
      <x:c r="A576" s="20" t="str">
        <x:v>MKT-013</x:v>
      </x:c>
      <x:c r="B576" s="20" t="str">
        <x:v>Campañas de procuración con análisis conjunto MKT–PF</x:v>
      </x:c>
      <x:c r="C576" s="20" t="n">
        <x:v>7</x:v>
      </x:c>
      <x:c r="D576" s="20" t="str">
        <x:v>MKT-007</x:v>
      </x:c>
      <x:c r="E576" s="20" t="str">
        <x:v>Embajadores Omnilife activos en campaña de nutrición</x:v>
      </x:c>
      <x:c r="F576" s="20" t="str">
        <x:v>Strategic-map adjacent objective; Same department</x:v>
      </x:c>
      <x:c r="G576" s="20" t="n">
        <x:v>67</x:v>
      </x:c>
      <x:c r="H576" s="20" t="str">
        <x:v>Marketing y Comunicación</x:v>
      </x:c>
      <x:c r="I576" s="20" t="str">
        <x:v>Beneficiarios y grupos de interés</x:v>
      </x:c>
      <x:c r="J576" s="20" t="str">
        <x:v>C4. Fortalecer relación con donantes, aliados y comunidades</x:v>
      </x:c>
      <x:c r="K576" s="20" t="n">
        <x:v>100</x:v>
      </x:c>
      <x:c r="L576" s="20" t="n">
        <x:v>88.71031746031747</x:v>
      </x:c>
      <x:c r="M576" s="52" t="n">
        <x:v>0.12726459405054785</x:v>
      </x:c>
      <x:c r="N576" s="20" t="str">
        <x:v>Strong improvement</x:v>
      </x:c>
      <x:c r="O576" s="20" t="str">
        <x:v>Prototype retrieval heuristic; association is not proof of causality.</x:v>
      </x:c>
      <x:c r="P576" s="20" t="str">
        <x:v>YES</x:v>
      </x:c>
    </x:row>
    <x:row r="577">
      <x:c r="A577" s="20" t="str">
        <x:v>MKT-013</x:v>
      </x:c>
      <x:c r="B577" s="20" t="str">
        <x:v>Campañas de procuración con análisis conjunto MKT–PF</x:v>
      </x:c>
      <x:c r="C577" s="20" t="n">
        <x:v>8</x:v>
      </x:c>
      <x:c r="D577" s="20" t="str">
        <x:v>REC-P03</x:v>
      </x:c>
      <x:c r="E577" s="20" t="str">
        <x:v>Conversión de campaña a nuevo donante</x:v>
      </x:c>
      <x:c r="F577" s="20" t="str">
        <x:v>Same strategic objective; Same BSC perspective</x:v>
      </x:c>
      <x:c r="G577" s="20" t="n">
        <x:v>60</x:v>
      </x:c>
      <x:c r="H577" s="20" t="str">
        <x:v>Marketing + Procuración de Fondos</x:v>
      </x:c>
      <x:c r="I577" s="20" t="str">
        <x:v>Procesos internos</x:v>
      </x:c>
      <x:c r="J577" s="20" t="str">
        <x:v>P3. Integrar Marketing + Procuración</x:v>
      </x:c>
      <x:c r="K577" s="20" t="n">
        <x:v>100</x:v>
      </x:c>
      <x:c r="L577" s="20" t="n">
        <x:v>2015.0147157960507</x:v>
      </x:c>
      <x:c r="M577" s="52" t="n">
        <x:v>-0.9503725708720226</x:v>
      </x:c>
      <x:c r="N577" s="20" t="str">
        <x:v>Deteriorating</x:v>
      </x:c>
      <x:c r="O577" s="20" t="str">
        <x:v>Prototype retrieval heuristic; association is not proof of causality.</x:v>
      </x:c>
      <x:c r="P577" s="20" t="str">
        <x:v>YES</x:v>
      </x:c>
    </x:row>
    <x:row r="578">
      <x:c r="A578" s="20" t="str">
        <x:v>MKT-014</x:v>
      </x:c>
      <x:c r="B578" s="20" t="str">
        <x:v>Fondos atribuibles a campañas conjuntas Omnilife–Chivas</x:v>
      </x:c>
      <x:c r="C578" s="20" t="n">
        <x:v>1</x:v>
      </x:c>
      <x:c r="D578" s="20" t="str">
        <x:v>MKT-008</x:v>
      </x:c>
      <x:c r="E578" s="20" t="str">
        <x:v>Cumplimiento de ejecución multicanal del lanzamiento</x:v>
      </x:c>
      <x:c r="F578" s="20" t="str">
        <x:v>Same strategic objective; Same department; Same BSC perspective</x:v>
      </x:c>
      <x:c r="G578" s="20" t="n">
        <x:v>87</x:v>
      </x:c>
      <x:c r="H578" s="20" t="str">
        <x:v>Marketing y Comunicación</x:v>
      </x:c>
      <x:c r="I578" s="20" t="str">
        <x:v>Procesos internos</x:v>
      </x:c>
      <x:c r="J578" s="20" t="str">
        <x:v>P3. Integrar Marketing + Procuración</x:v>
      </x:c>
      <x:c r="K578" s="20" t="n">
        <x:v>100</x:v>
      </x:c>
      <x:c r="L578" s="20" t="n">
        <x:v>88.9514687100894</x:v>
      </x:c>
      <x:c r="M578" s="52" t="n">
        <x:v>0.12420853135005526</x:v>
      </x:c>
      <x:c r="N578" s="20" t="str">
        <x:v>Strong improvement</x:v>
      </x:c>
      <x:c r="O578" s="20" t="str">
        <x:v>Prototype retrieval heuristic; association is not proof of causality.</x:v>
      </x:c>
      <x:c r="P578" s="20" t="str">
        <x:v>YES</x:v>
      </x:c>
    </x:row>
    <x:row r="579">
      <x:c r="A579" s="20" t="str">
        <x:v>MKT-014</x:v>
      </x:c>
      <x:c r="B579" s="20" t="str">
        <x:v>Fondos atribuibles a campañas conjuntas Omnilife–Chivas</x:v>
      </x:c>
      <x:c r="C579" s="20" t="n">
        <x:v>2</x:v>
      </x:c>
      <x:c r="D579" s="20" t="str">
        <x:v>MKT-011</x:v>
      </x:c>
      <x:c r="E579" s="20" t="str">
        <x:v>Actividades principales con cobertura completa de comunicación e impacto</x:v>
      </x:c>
      <x:c r="F579" s="20" t="str">
        <x:v>Same strategic objective; Same department; Same BSC perspective</x:v>
      </x:c>
      <x:c r="G579" s="20" t="n">
        <x:v>87</x:v>
      </x:c>
      <x:c r="H579" s="20" t="str">
        <x:v>Marketing y Comunicación</x:v>
      </x:c>
      <x:c r="I579" s="20" t="str">
        <x:v>Procesos internos</x:v>
      </x:c>
      <x:c r="J579" s="20" t="str">
        <x:v>P3. Integrar Marketing + Procuración</x:v>
      </x:c>
      <x:c r="K579" s="20" t="n">
        <x:v>100</x:v>
      </x:c>
      <x:c r="L579" s="20" t="n">
        <x:v>89.21401340466089</x:v>
      </x:c>
      <x:c r="M579" s="52" t="n">
        <x:v>0.12090013870820443</x:v>
      </x:c>
      <x:c r="N579" s="20" t="str">
        <x:v>Strong improvement</x:v>
      </x:c>
      <x:c r="O579" s="20" t="str">
        <x:v>Prototype retrieval heuristic; association is not proof of causality.</x:v>
      </x:c>
      <x:c r="P579" s="20" t="str">
        <x:v>YES</x:v>
      </x:c>
    </x:row>
    <x:row r="580">
      <x:c r="A580" s="20" t="str">
        <x:v>MKT-014</x:v>
      </x:c>
      <x:c r="B580" s="20" t="str">
        <x:v>Fondos atribuibles a campañas conjuntas Omnilife–Chivas</x:v>
      </x:c>
      <x:c r="C580" s="20" t="n">
        <x:v>3</x:v>
      </x:c>
      <x:c r="D580" s="20" t="str">
        <x:v>MKT-013</x:v>
      </x:c>
      <x:c r="E580" s="20" t="str">
        <x:v>Campañas de procuración con análisis conjunto MKT–PF</x:v>
      </x:c>
      <x:c r="F580" s="20" t="str">
        <x:v>Same strategic objective; Same department; Same BSC perspective</x:v>
      </x:c>
      <x:c r="G580" s="20" t="n">
        <x:v>87</x:v>
      </x:c>
      <x:c r="H580" s="20" t="str">
        <x:v>Marketing y Comunicación</x:v>
      </x:c>
      <x:c r="I580" s="20" t="str">
        <x:v>Procesos internos</x:v>
      </x:c>
      <x:c r="J580" s="20" t="str">
        <x:v>P3. Integrar Marketing + Procuración</x:v>
      </x:c>
      <x:c r="K580" s="20" t="n">
        <x:v>100</x:v>
      </x:c>
      <x:c r="L580" s="20" t="n">
        <x:v>88.71031746031747</x:v>
      </x:c>
      <x:c r="M580" s="52" t="n">
        <x:v>0.12726459405054785</x:v>
      </x:c>
      <x:c r="N580" s="20" t="str">
        <x:v>Strong improvement</x:v>
      </x:c>
      <x:c r="O580" s="20" t="str">
        <x:v>Prototype retrieval heuristic; association is not proof of causality.</x:v>
      </x:c>
      <x:c r="P580" s="20" t="str">
        <x:v>YES</x:v>
      </x:c>
    </x:row>
    <x:row r="581">
      <x:c r="A581" s="20" t="str">
        <x:v>MKT-014</x:v>
      </x:c>
      <x:c r="B581" s="20" t="str">
        <x:v>Fondos atribuibles a campañas conjuntas Omnilife–Chivas</x:v>
      </x:c>
      <x:c r="C581" s="20" t="n">
        <x:v>4</x:v>
      </x:c>
      <x:c r="D581" s="20" t="str">
        <x:v>MKT-001</x:v>
      </x:c>
      <x:c r="E581" s="20" t="str">
        <x:v>Cumplimiento del manual/protocolo de comunicación global</x:v>
      </x:c>
      <x:c r="F581" s="20" t="str">
        <x:v>Strategic-map adjacent objective; Same department</x:v>
      </x:c>
      <x:c r="G581" s="20" t="n">
        <x:v>67</x:v>
      </x:c>
      <x:c r="H581" s="20" t="str">
        <x:v>Marketing y Comunicación</x:v>
      </x:c>
      <x:c r="I581" s="20" t="str">
        <x:v>Capacidades y tecnología</x:v>
      </x:c>
      <x:c r="J581" s="20" t="str">
        <x:v>L4. Fortalecer colaboración interdepartamental</x:v>
      </x:c>
      <x:c r="K581" s="20" t="n">
        <x:v>96</x:v>
      </x:c>
      <x:c r="L581" s="20" t="n">
        <x:v>84.07381786878189</x:v>
      </x:c>
      <x:c r="M581" s="52" t="n">
        <x:v>0.14185369992156044</x:v>
      </x:c>
      <x:c r="N581" s="20" t="str">
        <x:v>Strong improvement</x:v>
      </x:c>
      <x:c r="O581" s="20" t="str">
        <x:v>Prototype retrieval heuristic; association is not proof of causality.</x:v>
      </x:c>
      <x:c r="P581" s="20" t="str">
        <x:v>YES</x:v>
      </x:c>
    </x:row>
    <x:row r="582">
      <x:c r="A582" s="20" t="str">
        <x:v>MKT-014</x:v>
      </x:c>
      <x:c r="B582" s="20" t="str">
        <x:v>Fondos atribuibles a campañas conjuntas Omnilife–Chivas</x:v>
      </x:c>
      <x:c r="C582" s="20" t="n">
        <x:v>5</x:v>
      </x:c>
      <x:c r="D582" s="20" t="str">
        <x:v>MKT-004</x:v>
      </x:c>
      <x:c r="E582" s="20" t="str">
        <x:v>Compromisos de mejora de comunicación cerrados en plazo</x:v>
      </x:c>
      <x:c r="F582" s="20" t="str">
        <x:v>Strategic-map adjacent objective; Same department</x:v>
      </x:c>
      <x:c r="G582" s="20" t="n">
        <x:v>67</x:v>
      </x:c>
      <x:c r="H582" s="20" t="str">
        <x:v>Marketing y Comunicación</x:v>
      </x:c>
      <x:c r="I582" s="20" t="str">
        <x:v>Capacidades y tecnología</x:v>
      </x:c>
      <x:c r="J582" s="20" t="str">
        <x:v>L4. Fortalecer colaboración interdepartamental</x:v>
      </x:c>
      <x:c r="K582" s="20" t="n">
        <x:v>92</x:v>
      </x:c>
      <x:c r="L582" s="20" t="n">
        <x:v>80.97783311812088</x:v>
      </x:c>
      <x:c r="M582" s="52" t="n">
        <x:v>0.13611338384173954</x:v>
      </x:c>
      <x:c r="N582" s="20" t="str">
        <x:v>Strong improvement</x:v>
      </x:c>
      <x:c r="O582" s="20" t="str">
        <x:v>Prototype retrieval heuristic; association is not proof of causality.</x:v>
      </x:c>
      <x:c r="P582" s="20" t="str">
        <x:v>YES</x:v>
      </x:c>
    </x:row>
    <x:row r="583">
      <x:c r="A583" s="20" t="str">
        <x:v>MKT-014</x:v>
      </x:c>
      <x:c r="B583" s="20" t="str">
        <x:v>Fondos atribuibles a campañas conjuntas Omnilife–Chivas</x:v>
      </x:c>
      <x:c r="C583" s="20" t="n">
        <x:v>6</x:v>
      </x:c>
      <x:c r="D583" s="20" t="str">
        <x:v>REC-M02</x:v>
      </x:c>
      <x:c r="E583" s="20" t="str">
        <x:v>Costo de adquisición de nuevo donante</x:v>
      </x:c>
      <x:c r="F583" s="20" t="str">
        <x:v>Same strategic objective; Same department; Same BSC perspective</x:v>
      </x:c>
      <x:c r="G583" s="20" t="n">
        <x:v>85</x:v>
      </x:c>
      <x:c r="H583" s="20" t="str">
        <x:v>Marketing y Comunicación</x:v>
      </x:c>
      <x:c r="I583" s="20" t="str">
        <x:v>Procesos internos</x:v>
      </x:c>
      <x:c r="J583" s="20" t="str">
        <x:v>P3. Integrar Marketing + Procuración</x:v>
      </x:c>
      <x:c r="K583" s="20" t="n">
        <x:v>760</x:v>
      </x:c>
      <x:c r="L583" s="20" t="n">
        <x:v>896.6666666666666</x:v>
      </x:c>
      <x:c r="M583" s="52" t="n">
        <x:v>0.15241635687732338</x:v>
      </x:c>
      <x:c r="N583" s="20" t="str">
        <x:v>Strong improvement</x:v>
      </x:c>
      <x:c r="O583" s="20" t="str">
        <x:v>Prototype retrieval heuristic; association is not proof of causality.</x:v>
      </x:c>
      <x:c r="P583" s="20" t="str">
        <x:v>YES</x:v>
      </x:c>
    </x:row>
    <x:row r="584">
      <x:c r="A584" s="20" t="str">
        <x:v>MKT-014</x:v>
      </x:c>
      <x:c r="B584" s="20" t="str">
        <x:v>Fondos atribuibles a campañas conjuntas Omnilife–Chivas</x:v>
      </x:c>
      <x:c r="C584" s="20" t="n">
        <x:v>7</x:v>
      </x:c>
      <x:c r="D584" s="20" t="str">
        <x:v>MKT-007</x:v>
      </x:c>
      <x:c r="E584" s="20" t="str">
        <x:v>Embajadores Omnilife activos en campaña de nutrición</x:v>
      </x:c>
      <x:c r="F584" s="20" t="str">
        <x:v>Strategic-map adjacent objective; Same department</x:v>
      </x:c>
      <x:c r="G584" s="20" t="n">
        <x:v>67</x:v>
      </x:c>
      <x:c r="H584" s="20" t="str">
        <x:v>Marketing y Comunicación</x:v>
      </x:c>
      <x:c r="I584" s="20" t="str">
        <x:v>Beneficiarios y grupos de interés</x:v>
      </x:c>
      <x:c r="J584" s="20" t="str">
        <x:v>C4. Fortalecer relación con donantes, aliados y comunidades</x:v>
      </x:c>
      <x:c r="K584" s="20" t="n">
        <x:v>100</x:v>
      </x:c>
      <x:c r="L584" s="20" t="n">
        <x:v>88.71031746031747</x:v>
      </x:c>
      <x:c r="M584" s="52" t="n">
        <x:v>0.12726459405054785</x:v>
      </x:c>
      <x:c r="N584" s="20" t="str">
        <x:v>Strong improvement</x:v>
      </x:c>
      <x:c r="O584" s="20" t="str">
        <x:v>Prototype retrieval heuristic; association is not proof of causality.</x:v>
      </x:c>
      <x:c r="P584" s="20" t="str">
        <x:v>YES</x:v>
      </x:c>
    </x:row>
    <x:row r="585">
      <x:c r="A585" s="20" t="str">
        <x:v>MKT-014</x:v>
      </x:c>
      <x:c r="B585" s="20" t="str">
        <x:v>Fondos atribuibles a campañas conjuntas Omnilife–Chivas</x:v>
      </x:c>
      <x:c r="C585" s="20" t="n">
        <x:v>8</x:v>
      </x:c>
      <x:c r="D585" s="20" t="str">
        <x:v>REC-P03</x:v>
      </x:c>
      <x:c r="E585" s="20" t="str">
        <x:v>Conversión de campaña a nuevo donante</x:v>
      </x:c>
      <x:c r="F585" s="20" t="str">
        <x:v>Same strategic objective; Same BSC perspective</x:v>
      </x:c>
      <x:c r="G585" s="20" t="n">
        <x:v>60</x:v>
      </x:c>
      <x:c r="H585" s="20" t="str">
        <x:v>Marketing + Procuración de Fondos</x:v>
      </x:c>
      <x:c r="I585" s="20" t="str">
        <x:v>Procesos internos</x:v>
      </x:c>
      <x:c r="J585" s="20" t="str">
        <x:v>P3. Integrar Marketing + Procuración</x:v>
      </x:c>
      <x:c r="K585" s="20" t="n">
        <x:v>100</x:v>
      </x:c>
      <x:c r="L585" s="20" t="n">
        <x:v>2015.0147157960507</x:v>
      </x:c>
      <x:c r="M585" s="52" t="n">
        <x:v>-0.9503725708720226</x:v>
      </x:c>
      <x:c r="N585" s="20" t="str">
        <x:v>Deteriorating</x:v>
      </x:c>
      <x:c r="O585" s="20" t="str">
        <x:v>Prototype retrieval heuristic; association is not proof of causality.</x:v>
      </x:c>
      <x:c r="P585" s="20" t="str">
        <x:v>YES</x:v>
      </x:c>
    </x:row>
    <x:row r="586">
      <x:c r="A586" s="20" t="str">
        <x:v>MKT-015</x:v>
      </x:c>
      <x:c r="B586" s="20" t="str">
        <x:v>Implementación de recomendaciones de benchmarking</x:v>
      </x:c>
      <x:c r="C586" s="20" t="n">
        <x:v>1</x:v>
      </x:c>
      <x:c r="D586" s="20" t="str">
        <x:v>MKT-016</x:v>
      </x:c>
      <x:c r="E586" s="20" t="str">
        <x:v>Cierre en plazo de hallazgos de auditoría de comunicación</x:v>
      </x:c>
      <x:c r="F586" s="20" t="str">
        <x:v>Same strategic objective; Same department; Same BSC perspective</x:v>
      </x:c>
      <x:c r="G586" s="20" t="n">
        <x:v>87</x:v>
      </x:c>
      <x:c r="H586" s="20" t="str">
        <x:v>Marketing y Comunicación</x:v>
      </x:c>
      <x:c r="I586" s="20" t="str">
        <x:v>Capacidades y tecnología</x:v>
      </x:c>
      <x:c r="J586" s="20" t="str">
        <x:v>L1. Construir una cultura de gestión basada en datos</x:v>
      </x:c>
      <x:c r="K586" s="20" t="n">
        <x:v>92</x:v>
      </x:c>
      <x:c r="L586" s="20" t="n">
        <x:v>80.97783311812088</x:v>
      </x:c>
      <x:c r="M586" s="52" t="n">
        <x:v>0.13611338384173954</x:v>
      </x:c>
      <x:c r="N586" s="20" t="str">
        <x:v>Strong improvement</x:v>
      </x:c>
      <x:c r="O586" s="20" t="str">
        <x:v>Prototype retrieval heuristic; association is not proof of causality.</x:v>
      </x:c>
      <x:c r="P586" s="20" t="str">
        <x:v>YES</x:v>
      </x:c>
    </x:row>
    <x:row r="587">
      <x:c r="A587" s="20" t="str">
        <x:v>MKT-015</x:v>
      </x:c>
      <x:c r="B587" s="20" t="str">
        <x:v>Implementación de recomendaciones de benchmarking</x:v>
      </x:c>
      <x:c r="C587" s="20" t="n">
        <x:v>2</x:v>
      </x:c>
      <x:c r="D587" s="20" t="str">
        <x:v>REC-L01</x:v>
      </x:c>
      <x:c r="E587" s="20" t="str">
        <x:v>Integridad y actualización de datos estratégicos</x:v>
      </x:c>
      <x:c r="F587" s="20" t="str">
        <x:v>Same strategic objective; Same BSC perspective</x:v>
      </x:c>
      <x:c r="G587" s="20" t="n">
        <x:v>60</x:v>
      </x:c>
      <x:c r="H587" s="20" t="str">
        <x:v>Todas las áreas</x:v>
      </x:c>
      <x:c r="I587" s="20" t="str">
        <x:v>Capacidades y tecnología</x:v>
      </x:c>
      <x:c r="J587" s="20" t="str">
        <x:v>L1. Construir una cultura de gestión basada en datos</x:v>
      </x:c>
      <x:c r="K587" s="20" t="n">
        <x:v>96</x:v>
      </x:c>
      <x:c r="L587" s="20" t="n">
        <x:v>84.01745423584504</x:v>
      </x:c>
      <x:c r="M587" s="52" t="n">
        <x:v>0.14261971959444059</x:v>
      </x:c>
      <x:c r="N587" s="20" t="str">
        <x:v>Strong improvement</x:v>
      </x:c>
      <x:c r="O587" s="20" t="str">
        <x:v>Prototype retrieval heuristic; association is not proof of causality.</x:v>
      </x:c>
      <x:c r="P587" s="20" t="str">
        <x:v>YES</x:v>
      </x:c>
    </x:row>
    <x:row r="588">
      <x:c r="A588" s="20" t="str">
        <x:v>MKT-015</x:v>
      </x:c>
      <x:c r="B588" s="20" t="str">
        <x:v>Implementación de recomendaciones de benchmarking</x:v>
      </x:c>
      <x:c r="C588" s="20" t="n">
        <x:v>3</x:v>
      </x:c>
      <x:c r="D588" s="20" t="str">
        <x:v>MKT-002</x:v>
      </x:c>
      <x:c r="E588" s="20" t="str">
        <x:v>Acciones de mejora derivadas de analítica implementadas en plazo</x:v>
      </x:c>
      <x:c r="F588" s="20" t="str">
        <x:v>Strategic-map adjacent objective; Same department</x:v>
      </x:c>
      <x:c r="G588" s="20" t="n">
        <x:v>67</x:v>
      </x:c>
      <x:c r="H588" s="20" t="str">
        <x:v>Marketing y Comunicación</x:v>
      </x:c>
      <x:c r="I588" s="20" t="str">
        <x:v>Procesos internos</x:v>
      </x:c>
      <x:c r="J588" s="20" t="str">
        <x:v>P2. Fortalecer medición de impacto</x:v>
      </x:c>
      <x:c r="K588" s="20" t="n">
        <x:v>82.14285714285714</x:v>
      </x:c>
      <x:c r="L588" s="20" t="n">
        <x:v>71.67277167277167</x:v>
      </x:c>
      <x:c r="M588" s="52" t="n">
        <x:v>0.1460817717206132</x:v>
      </x:c>
      <x:c r="N588" s="20" t="str">
        <x:v>Strong improvement</x:v>
      </x:c>
      <x:c r="O588" s="20" t="str">
        <x:v>Prototype retrieval heuristic; association is not proof of causality.</x:v>
      </x:c>
      <x:c r="P588" s="20" t="str">
        <x:v>YES</x:v>
      </x:c>
    </x:row>
    <x:row r="589">
      <x:c r="A589" s="20" t="str">
        <x:v>MKT-015</x:v>
      </x:c>
      <x:c r="B589" s="20" t="str">
        <x:v>Implementación de recomendaciones de benchmarking</x:v>
      </x:c>
      <x:c r="C589" s="20" t="n">
        <x:v>4</x:v>
      </x:c>
      <x:c r="D589" s="20" t="str">
        <x:v>ADM-001</x:v>
      </x:c>
      <x:c r="E589" s="20" t="str">
        <x:v>Facturación de donativos emitida dentro del SLA</x:v>
      </x:c>
      <x:c r="F589" s="20" t="str">
        <x:v>Strategic-map adjacent objective</x:v>
      </x:c>
      <x:c r="G589" s="20" t="n">
        <x:v>42</x:v>
      </x:c>
      <x:c r="H589" s="20" t="str">
        <x:v>Administración</x:v>
      </x:c>
      <x:c r="I589" s="20" t="str">
        <x:v>Procesos internos</x:v>
      </x:c>
      <x:c r="J589" s="20" t="str">
        <x:v>P4. Simplificar y digitalizar procesos</x:v>
      </x:c>
      <x:c r="K589" s="20" t="n">
        <x:v>100</x:v>
      </x:c>
      <x:c r="L589" s="20" t="n">
        <x:v>89.08024931406226</x:v>
      </x:c>
      <x:c r="M589" s="52" t="n">
        <x:v>0.12258329730801444</x:v>
      </x:c>
      <x:c r="N589" s="20" t="str">
        <x:v>Strong improvement</x:v>
      </x:c>
      <x:c r="O589" s="20" t="str">
        <x:v>Prototype retrieval heuristic; association is not proof of causality.</x:v>
      </x:c>
      <x:c r="P589" s="20" t="str">
        <x:v>YES</x:v>
      </x:c>
    </x:row>
    <x:row r="590">
      <x:c r="A590" s="20" t="str">
        <x:v>MKT-015</x:v>
      </x:c>
      <x:c r="B590" s="20" t="str">
        <x:v>Implementación de recomendaciones de benchmarking</x:v>
      </x:c>
      <x:c r="C590" s="20" t="n">
        <x:v>5</x:v>
      </x:c>
      <x:c r="D590" s="20" t="str">
        <x:v>MKT-001</x:v>
      </x:c>
      <x:c r="E590" s="20" t="str">
        <x:v>Cumplimiento del manual/protocolo de comunicación global</x:v>
      </x:c>
      <x:c r="F590" s="20" t="str">
        <x:v>Same department; Same BSC perspective</x:v>
      </x:c>
      <x:c r="G590" s="20" t="n">
        <x:v>37</x:v>
      </x:c>
      <x:c r="H590" s="20" t="str">
        <x:v>Marketing y Comunicación</x:v>
      </x:c>
      <x:c r="I590" s="20" t="str">
        <x:v>Capacidades y tecnología</x:v>
      </x:c>
      <x:c r="J590" s="20" t="str">
        <x:v>L4. Fortalecer colaboración interdepartamental</x:v>
      </x:c>
      <x:c r="K590" s="20" t="n">
        <x:v>96</x:v>
      </x:c>
      <x:c r="L590" s="20" t="n">
        <x:v>84.07381786878189</x:v>
      </x:c>
      <x:c r="M590" s="52" t="n">
        <x:v>0.14185369992156044</x:v>
      </x:c>
      <x:c r="N590" s="20" t="str">
        <x:v>Strong improvement</x:v>
      </x:c>
      <x:c r="O590" s="20" t="str">
        <x:v>Prototype retrieval heuristic; association is not proof of causality.</x:v>
      </x:c>
      <x:c r="P590" s="20" t="str">
        <x:v>YES</x:v>
      </x:c>
    </x:row>
    <x:row r="591">
      <x:c r="A591" s="20" t="str">
        <x:v>MKT-015</x:v>
      </x:c>
      <x:c r="B591" s="20" t="str">
        <x:v>Implementación de recomendaciones de benchmarking</x:v>
      </x:c>
      <x:c r="C591" s="20" t="n">
        <x:v>6</x:v>
      </x:c>
      <x:c r="D591" s="20" t="str">
        <x:v>MKT-004</x:v>
      </x:c>
      <x:c r="E591" s="20" t="str">
        <x:v>Compromisos de mejora de comunicación cerrados en plazo</x:v>
      </x:c>
      <x:c r="F591" s="20" t="str">
        <x:v>Same department; Same BSC perspective</x:v>
      </x:c>
      <x:c r="G591" s="20" t="n">
        <x:v>37</x:v>
      </x:c>
      <x:c r="H591" s="20" t="str">
        <x:v>Marketing y Comunicación</x:v>
      </x:c>
      <x:c r="I591" s="20" t="str">
        <x:v>Capacidades y tecnología</x:v>
      </x:c>
      <x:c r="J591" s="20" t="str">
        <x:v>L4. Fortalecer colaboración interdepartamental</x:v>
      </x:c>
      <x:c r="K591" s="20" t="n">
        <x:v>92</x:v>
      </x:c>
      <x:c r="L591" s="20" t="n">
        <x:v>80.97783311812088</x:v>
      </x:c>
      <x:c r="M591" s="52" t="n">
        <x:v>0.13611338384173954</x:v>
      </x:c>
      <x:c r="N591" s="20" t="str">
        <x:v>Strong improvement</x:v>
      </x:c>
      <x:c r="O591" s="20" t="str">
        <x:v>Prototype retrieval heuristic; association is not proof of causality.</x:v>
      </x:c>
      <x:c r="P591" s="20" t="str">
        <x:v>YES</x:v>
      </x:c>
    </x:row>
    <x:row r="592">
      <x:c r="A592" s="20" t="str">
        <x:v>MKT-015</x:v>
      </x:c>
      <x:c r="B592" s="20" t="str">
        <x:v>Implementación de recomendaciones de benchmarking</x:v>
      </x:c>
      <x:c r="C592" s="20" t="n">
        <x:v>7</x:v>
      </x:c>
      <x:c r="D592" s="20" t="str">
        <x:v>ADM-004</x:v>
      </x:c>
      <x:c r="E592" s="20" t="str">
        <x:v>Presupuestos anuales aprobados dentro del calendario</x:v>
      </x:c>
      <x:c r="F592" s="20" t="str">
        <x:v>Same BSC perspective</x:v>
      </x:c>
      <x:c r="G592" s="20" t="n">
        <x:v>12</x:v>
      </x:c>
      <x:c r="H592" s="20" t="str">
        <x:v>Administración</x:v>
      </x:c>
      <x:c r="I592" s="20" t="str">
        <x:v>Capacidades y tecnología</x:v>
      </x:c>
      <x:c r="J592" s="20" t="str">
        <x:v>L4. Fortalecer colaboración interdepartamental</x:v>
      </x:c>
      <x:c r="K592" s="20" t="n">
        <x:v>100</x:v>
      </x:c>
      <x:c r="L592" s="20" t="n">
        <x:v>88.9514687100894</x:v>
      </x:c>
      <x:c r="M592" s="52" t="n">
        <x:v>0.12420853135005526</x:v>
      </x:c>
      <x:c r="N592" s="20" t="str">
        <x:v>Strong improvement</x:v>
      </x:c>
      <x:c r="O592" s="20" t="str">
        <x:v>Prototype retrieval heuristic; association is not proof of causality.</x:v>
      </x:c>
      <x:c r="P592" s="20" t="str">
        <x:v>YES</x:v>
      </x:c>
    </x:row>
    <x:row r="593">
      <x:c r="A593" s="20" t="str">
        <x:v>MKT-015</x:v>
      </x:c>
      <x:c r="B593" s="20" t="str">
        <x:v>Implementación de recomendaciones de benchmarking</x:v>
      </x:c>
      <x:c r="C593" s="20" t="n">
        <x:v>8</x:v>
      </x:c>
      <x:c r="D593" s="20" t="str">
        <x:v>ADM-002</x:v>
      </x:c>
      <x:c r="E593" s="20" t="str">
        <x:v>Solicitudes de compra procesadas dentro del SLA</x:v>
      </x:c>
      <x:c r="F593" s="20" t="str">
        <x:v>Strategic-map adjacent objective</x:v>
      </x:c>
      <x:c r="G593" s="20" t="n">
        <x:v>42</x:v>
      </x:c>
      <x:c r="H593" s="20" t="str">
        <x:v>Administración</x:v>
      </x:c>
      <x:c r="I593" s="20" t="str">
        <x:v>Procesos internos</x:v>
      </x:c>
      <x:c r="J593" s="20" t="str">
        <x:v>P4. Simplificar y digitalizar procesos</x:v>
      </x:c>
      <x:c r="K593" s="20" t="n">
        <x:v>100</x:v>
      </x:c>
      <x:c r="L593" s="20" t="n">
        <x:v>89.08024931406226</x:v>
      </x:c>
      <x:c r="M593" s="52" t="n">
        <x:v>0.12258329730801444</x:v>
      </x:c>
      <x:c r="N593" s="20" t="str">
        <x:v>Strong improvement</x:v>
      </x:c>
      <x:c r="O593" s="20" t="str">
        <x:v>Prototype retrieval heuristic; association is not proof of causality.</x:v>
      </x:c>
      <x:c r="P593" s="20" t="str">
        <x:v>YES</x:v>
      </x:c>
    </x:row>
    <x:row r="594">
      <x:c r="A594" s="20" t="str">
        <x:v>MKT-016</x:v>
      </x:c>
      <x:c r="B594" s="20" t="str">
        <x:v>Cierre en plazo de hallazgos de auditoría de comunicación</x:v>
      </x:c>
      <x:c r="C594" s="20" t="n">
        <x:v>1</x:v>
      </x:c>
      <x:c r="D594" s="20" t="str">
        <x:v>MKT-015</x:v>
      </x:c>
      <x:c r="E594" s="20" t="str">
        <x:v>Implementación de recomendaciones de benchmarking</x:v>
      </x:c>
      <x:c r="F594" s="20" t="str">
        <x:v>Same strategic objective; Same department; Same BSC perspective</x:v>
      </x:c>
      <x:c r="G594" s="20" t="n">
        <x:v>87</x:v>
      </x:c>
      <x:c r="H594" s="20" t="str">
        <x:v>Marketing y Comunicación</x:v>
      </x:c>
      <x:c r="I594" s="20" t="str">
        <x:v>Capacidades y tecnología</x:v>
      </x:c>
      <x:c r="J594" s="20" t="str">
        <x:v>L1. Construir una cultura de gestión basada en datos</x:v>
      </x:c>
      <x:c r="K594" s="20" t="n">
        <x:v>100</x:v>
      </x:c>
      <x:c r="L594" s="20" t="n">
        <x:v>88.9514687100894</x:v>
      </x:c>
      <x:c r="M594" s="52" t="n">
        <x:v>0.12420853135005526</x:v>
      </x:c>
      <x:c r="N594" s="20" t="str">
        <x:v>Strong improvement</x:v>
      </x:c>
      <x:c r="O594" s="20" t="str">
        <x:v>Prototype retrieval heuristic; association is not proof of causality.</x:v>
      </x:c>
      <x:c r="P594" s="20" t="str">
        <x:v>YES</x:v>
      </x:c>
    </x:row>
    <x:row r="595">
      <x:c r="A595" s="20" t="str">
        <x:v>MKT-016</x:v>
      </x:c>
      <x:c r="B595" s="20" t="str">
        <x:v>Cierre en plazo de hallazgos de auditoría de comunicación</x:v>
      </x:c>
      <x:c r="C595" s="20" t="n">
        <x:v>2</x:v>
      </x:c>
      <x:c r="D595" s="20" t="str">
        <x:v>REC-L01</x:v>
      </x:c>
      <x:c r="E595" s="20" t="str">
        <x:v>Integridad y actualización de datos estratégicos</x:v>
      </x:c>
      <x:c r="F595" s="20" t="str">
        <x:v>Same strategic objective; Same BSC perspective</x:v>
      </x:c>
      <x:c r="G595" s="20" t="n">
        <x:v>60</x:v>
      </x:c>
      <x:c r="H595" s="20" t="str">
        <x:v>Todas las áreas</x:v>
      </x:c>
      <x:c r="I595" s="20" t="str">
        <x:v>Capacidades y tecnología</x:v>
      </x:c>
      <x:c r="J595" s="20" t="str">
        <x:v>L1. Construir una cultura de gestión basada en datos</x:v>
      </x:c>
      <x:c r="K595" s="20" t="n">
        <x:v>96</x:v>
      </x:c>
      <x:c r="L595" s="20" t="n">
        <x:v>84.01745423584504</x:v>
      </x:c>
      <x:c r="M595" s="52" t="n">
        <x:v>0.14261971959444059</x:v>
      </x:c>
      <x:c r="N595" s="20" t="str">
        <x:v>Strong improvement</x:v>
      </x:c>
      <x:c r="O595" s="20" t="str">
        <x:v>Prototype retrieval heuristic; association is not proof of causality.</x:v>
      </x:c>
      <x:c r="P595" s="20" t="str">
        <x:v>YES</x:v>
      </x:c>
    </x:row>
    <x:row r="596">
      <x:c r="A596" s="20" t="str">
        <x:v>MKT-016</x:v>
      </x:c>
      <x:c r="B596" s="20" t="str">
        <x:v>Cierre en plazo de hallazgos de auditoría de comunicación</x:v>
      </x:c>
      <x:c r="C596" s="20" t="n">
        <x:v>3</x:v>
      </x:c>
      <x:c r="D596" s="20" t="str">
        <x:v>MKT-002</x:v>
      </x:c>
      <x:c r="E596" s="20" t="str">
        <x:v>Acciones de mejora derivadas de analítica implementadas en plazo</x:v>
      </x:c>
      <x:c r="F596" s="20" t="str">
        <x:v>Strategic-map adjacent objective; Same department</x:v>
      </x:c>
      <x:c r="G596" s="20" t="n">
        <x:v>67</x:v>
      </x:c>
      <x:c r="H596" s="20" t="str">
        <x:v>Marketing y Comunicación</x:v>
      </x:c>
      <x:c r="I596" s="20" t="str">
        <x:v>Procesos internos</x:v>
      </x:c>
      <x:c r="J596" s="20" t="str">
        <x:v>P2. Fortalecer medición de impacto</x:v>
      </x:c>
      <x:c r="K596" s="20" t="n">
        <x:v>82.14285714285714</x:v>
      </x:c>
      <x:c r="L596" s="20" t="n">
        <x:v>71.67277167277167</x:v>
      </x:c>
      <x:c r="M596" s="52" t="n">
        <x:v>0.1460817717206132</x:v>
      </x:c>
      <x:c r="N596" s="20" t="str">
        <x:v>Strong improvement</x:v>
      </x:c>
      <x:c r="O596" s="20" t="str">
        <x:v>Prototype retrieval heuristic; association is not proof of causality.</x:v>
      </x:c>
      <x:c r="P596" s="20" t="str">
        <x:v>YES</x:v>
      </x:c>
    </x:row>
    <x:row r="597">
      <x:c r="A597" s="20" t="str">
        <x:v>MKT-016</x:v>
      </x:c>
      <x:c r="B597" s="20" t="str">
        <x:v>Cierre en plazo de hallazgos de auditoría de comunicación</x:v>
      </x:c>
      <x:c r="C597" s="20" t="n">
        <x:v>4</x:v>
      </x:c>
      <x:c r="D597" s="20" t="str">
        <x:v>ADM-001</x:v>
      </x:c>
      <x:c r="E597" s="20" t="str">
        <x:v>Facturación de donativos emitida dentro del SLA</x:v>
      </x:c>
      <x:c r="F597" s="20" t="str">
        <x:v>Strategic-map adjacent objective</x:v>
      </x:c>
      <x:c r="G597" s="20" t="n">
        <x:v>42</x:v>
      </x:c>
      <x:c r="H597" s="20" t="str">
        <x:v>Administración</x:v>
      </x:c>
      <x:c r="I597" s="20" t="str">
        <x:v>Procesos internos</x:v>
      </x:c>
      <x:c r="J597" s="20" t="str">
        <x:v>P4. Simplificar y digitalizar procesos</x:v>
      </x:c>
      <x:c r="K597" s="20" t="n">
        <x:v>100</x:v>
      </x:c>
      <x:c r="L597" s="20" t="n">
        <x:v>89.08024931406226</x:v>
      </x:c>
      <x:c r="M597" s="52" t="n">
        <x:v>0.12258329730801444</x:v>
      </x:c>
      <x:c r="N597" s="20" t="str">
        <x:v>Strong improvement</x:v>
      </x:c>
      <x:c r="O597" s="20" t="str">
        <x:v>Prototype retrieval heuristic; association is not proof of causality.</x:v>
      </x:c>
      <x:c r="P597" s="20" t="str">
        <x:v>YES</x:v>
      </x:c>
    </x:row>
    <x:row r="598">
      <x:c r="A598" s="20" t="str">
        <x:v>MKT-016</x:v>
      </x:c>
      <x:c r="B598" s="20" t="str">
        <x:v>Cierre en plazo de hallazgos de auditoría de comunicación</x:v>
      </x:c>
      <x:c r="C598" s="20" t="n">
        <x:v>5</x:v>
      </x:c>
      <x:c r="D598" s="20" t="str">
        <x:v>MKT-001</x:v>
      </x:c>
      <x:c r="E598" s="20" t="str">
        <x:v>Cumplimiento del manual/protocolo de comunicación global</x:v>
      </x:c>
      <x:c r="F598" s="20" t="str">
        <x:v>Same department; Same BSC perspective</x:v>
      </x:c>
      <x:c r="G598" s="20" t="n">
        <x:v>37</x:v>
      </x:c>
      <x:c r="H598" s="20" t="str">
        <x:v>Marketing y Comunicación</x:v>
      </x:c>
      <x:c r="I598" s="20" t="str">
        <x:v>Capacidades y tecnología</x:v>
      </x:c>
      <x:c r="J598" s="20" t="str">
        <x:v>L4. Fortalecer colaboración interdepartamental</x:v>
      </x:c>
      <x:c r="K598" s="20" t="n">
        <x:v>96</x:v>
      </x:c>
      <x:c r="L598" s="20" t="n">
        <x:v>84.07381786878189</x:v>
      </x:c>
      <x:c r="M598" s="52" t="n">
        <x:v>0.14185369992156044</x:v>
      </x:c>
      <x:c r="N598" s="20" t="str">
        <x:v>Strong improvement</x:v>
      </x:c>
      <x:c r="O598" s="20" t="str">
        <x:v>Prototype retrieval heuristic; association is not proof of causality.</x:v>
      </x:c>
      <x:c r="P598" s="20" t="str">
        <x:v>YES</x:v>
      </x:c>
    </x:row>
    <x:row r="599">
      <x:c r="A599" s="20" t="str">
        <x:v>MKT-016</x:v>
      </x:c>
      <x:c r="B599" s="20" t="str">
        <x:v>Cierre en plazo de hallazgos de auditoría de comunicación</x:v>
      </x:c>
      <x:c r="C599" s="20" t="n">
        <x:v>6</x:v>
      </x:c>
      <x:c r="D599" s="20" t="str">
        <x:v>MKT-004</x:v>
      </x:c>
      <x:c r="E599" s="20" t="str">
        <x:v>Compromisos de mejora de comunicación cerrados en plazo</x:v>
      </x:c>
      <x:c r="F599" s="20" t="str">
        <x:v>Same department; Same BSC perspective</x:v>
      </x:c>
      <x:c r="G599" s="20" t="n">
        <x:v>37</x:v>
      </x:c>
      <x:c r="H599" s="20" t="str">
        <x:v>Marketing y Comunicación</x:v>
      </x:c>
      <x:c r="I599" s="20" t="str">
        <x:v>Capacidades y tecnología</x:v>
      </x:c>
      <x:c r="J599" s="20" t="str">
        <x:v>L4. Fortalecer colaboración interdepartamental</x:v>
      </x:c>
      <x:c r="K599" s="20" t="n">
        <x:v>92</x:v>
      </x:c>
      <x:c r="L599" s="20" t="n">
        <x:v>80.97783311812088</x:v>
      </x:c>
      <x:c r="M599" s="52" t="n">
        <x:v>0.13611338384173954</x:v>
      </x:c>
      <x:c r="N599" s="20" t="str">
        <x:v>Strong improvement</x:v>
      </x:c>
      <x:c r="O599" s="20" t="str">
        <x:v>Prototype retrieval heuristic; association is not proof of causality.</x:v>
      </x:c>
      <x:c r="P599" s="20" t="str">
        <x:v>YES</x:v>
      </x:c>
    </x:row>
    <x:row r="600">
      <x:c r="A600" s="20" t="str">
        <x:v>MKT-016</x:v>
      </x:c>
      <x:c r="B600" s="20" t="str">
        <x:v>Cierre en plazo de hallazgos de auditoría de comunicación</x:v>
      </x:c>
      <x:c r="C600" s="20" t="n">
        <x:v>7</x:v>
      </x:c>
      <x:c r="D600" s="20" t="str">
        <x:v>ADM-004</x:v>
      </x:c>
      <x:c r="E600" s="20" t="str">
        <x:v>Presupuestos anuales aprobados dentro del calendario</x:v>
      </x:c>
      <x:c r="F600" s="20" t="str">
        <x:v>Same BSC perspective</x:v>
      </x:c>
      <x:c r="G600" s="20" t="n">
        <x:v>12</x:v>
      </x:c>
      <x:c r="H600" s="20" t="str">
        <x:v>Administración</x:v>
      </x:c>
      <x:c r="I600" s="20" t="str">
        <x:v>Capacidades y tecnología</x:v>
      </x:c>
      <x:c r="J600" s="20" t="str">
        <x:v>L4. Fortalecer colaboración interdepartamental</x:v>
      </x:c>
      <x:c r="K600" s="20" t="n">
        <x:v>100</x:v>
      </x:c>
      <x:c r="L600" s="20" t="n">
        <x:v>88.9514687100894</x:v>
      </x:c>
      <x:c r="M600" s="52" t="n">
        <x:v>0.12420853135005526</x:v>
      </x:c>
      <x:c r="N600" s="20" t="str">
        <x:v>Strong improvement</x:v>
      </x:c>
      <x:c r="O600" s="20" t="str">
        <x:v>Prototype retrieval heuristic; association is not proof of causality.</x:v>
      </x:c>
      <x:c r="P600" s="20" t="str">
        <x:v>YES</x:v>
      </x:c>
    </x:row>
    <x:row r="601">
      <x:c r="A601" s="20" t="str">
        <x:v>MKT-016</x:v>
      </x:c>
      <x:c r="B601" s="20" t="str">
        <x:v>Cierre en plazo de hallazgos de auditoría de comunicación</x:v>
      </x:c>
      <x:c r="C601" s="20" t="n">
        <x:v>8</x:v>
      </x:c>
      <x:c r="D601" s="20" t="str">
        <x:v>ADM-002</x:v>
      </x:c>
      <x:c r="E601" s="20" t="str">
        <x:v>Solicitudes de compra procesadas dentro del SLA</x:v>
      </x:c>
      <x:c r="F601" s="20" t="str">
        <x:v>Strategic-map adjacent objective</x:v>
      </x:c>
      <x:c r="G601" s="20" t="n">
        <x:v>42</x:v>
      </x:c>
      <x:c r="H601" s="20" t="str">
        <x:v>Administración</x:v>
      </x:c>
      <x:c r="I601" s="20" t="str">
        <x:v>Procesos internos</x:v>
      </x:c>
      <x:c r="J601" s="20" t="str">
        <x:v>P4. Simplificar y digitalizar procesos</x:v>
      </x:c>
      <x:c r="K601" s="20" t="n">
        <x:v>100</x:v>
      </x:c>
      <x:c r="L601" s="20" t="n">
        <x:v>89.08024931406226</x:v>
      </x:c>
      <x:c r="M601" s="52" t="n">
        <x:v>0.12258329730801444</x:v>
      </x:c>
      <x:c r="N601" s="20" t="str">
        <x:v>Strong improvement</x:v>
      </x:c>
      <x:c r="O601" s="20" t="str">
        <x:v>Prototype retrieval heuristic; association is not proof of causality.</x:v>
      </x:c>
      <x:c r="P601" s="20" t="str">
        <x:v>YES</x:v>
      </x:c>
    </x:row>
    <x:row r="602">
      <x:c r="A602" s="20" t="str">
        <x:v>OPS-010B</x:v>
      </x:c>
      <x:c r="B602" s="20" t="str">
        <x:v>Cobertura de acceso al suplemento nutricional</x:v>
      </x:c>
      <x:c r="C602" s="20" t="n">
        <x:v>1</x:v>
      </x:c>
      <x:c r="D602" s="20" t="str">
        <x:v>OPS-003</x:v>
      </x:c>
      <x:c r="E602" s="20" t="str">
        <x:v>Mejora de habilidades psicosociales</x:v>
      </x:c>
      <x:c r="F602" s="20" t="str">
        <x:v>Same strategic objective; Same department; Same BSC perspective</x:v>
      </x:c>
      <x:c r="G602" s="20" t="n">
        <x:v>87</x:v>
      </x:c>
      <x:c r="H602" s="20" t="str">
        <x:v>Operaciones</x:v>
      </x:c>
      <x:c r="I602" s="20" t="str">
        <x:v>Resultados estratégicos</x:v>
      </x:c>
      <x:c r="J602" s="20" t="str">
        <x:v>S1. Generar impacto integral y medible</x:v>
      </x:c>
      <x:c r="K602" s="20" t="n">
        <x:v>30.6</x:v>
      </x:c>
      <x:c r="L602" s="20" t="n">
        <x:v>23.3</x:v>
      </x:c>
      <x:c r="M602" s="52" t="n">
        <x:v>0.3133047210300429</x:v>
      </x:c>
      <x:c r="N602" s="20" t="str">
        <x:v>Strong improvement</x:v>
      </x:c>
      <x:c r="O602" s="20" t="str">
        <x:v>Prototype retrieval heuristic; association is not proof of causality.</x:v>
      </x:c>
      <x:c r="P602" s="20" t="str">
        <x:v>YES</x:v>
      </x:c>
    </x:row>
    <x:row r="603">
      <x:c r="A603" s="20" t="str">
        <x:v>OPS-010B</x:v>
      </x:c>
      <x:c r="B603" s="20" t="str">
        <x:v>Cobertura de acceso al suplemento nutricional</x:v>
      </x:c>
      <x:c r="C603" s="20" t="n">
        <x:v>2</x:v>
      </x:c>
      <x:c r="D603" s="20" t="str">
        <x:v>OPS-004</x:v>
      </x:c>
      <x:c r="E603" s="20" t="str">
        <x:v>Mejora de habilidades deportivas</x:v>
      </x:c>
      <x:c r="F603" s="20" t="str">
        <x:v>Same strategic objective; Same department; Same BSC perspective</x:v>
      </x:c>
      <x:c r="G603" s="20" t="n">
        <x:v>87</x:v>
      </x:c>
      <x:c r="H603" s="20" t="str">
        <x:v>Operaciones</x:v>
      </x:c>
      <x:c r="I603" s="20" t="str">
        <x:v>Resultados estratégicos</x:v>
      </x:c>
      <x:c r="J603" s="20" t="str">
        <x:v>S1. Generar impacto integral y medible</x:v>
      </x:c>
      <x:c r="K603" s="20" t="n">
        <x:v>30.6</x:v>
      </x:c>
      <x:c r="L603" s="20" t="n">
        <x:v>23.3</x:v>
      </x:c>
      <x:c r="M603" s="52" t="n">
        <x:v>0.3133047210300429</x:v>
      </x:c>
      <x:c r="N603" s="20" t="str">
        <x:v>Strong improvement</x:v>
      </x:c>
      <x:c r="O603" s="20" t="str">
        <x:v>Prototype retrieval heuristic; association is not proof of causality.</x:v>
      </x:c>
      <x:c r="P603" s="20" t="str">
        <x:v>YES</x:v>
      </x:c>
    </x:row>
    <x:row r="604">
      <x:c r="A604" s="20" t="str">
        <x:v>OPS-010B</x:v>
      </x:c>
      <x:c r="B604" s="20" t="str">
        <x:v>Cobertura de acceso al suplemento nutricional</x:v>
      </x:c>
      <x:c r="C604" s="20" t="n">
        <x:v>3</x:v>
      </x:c>
      <x:c r="D604" s="20" t="str">
        <x:v>OPS-005</x:v>
      </x:c>
      <x:c r="E604" s="20" t="str">
        <x:v>Incremento del tiempo de actividad física de beneficiarios</x:v>
      </x:c>
      <x:c r="F604" s="20" t="str">
        <x:v>Same strategic objective; Same department; Same BSC perspective</x:v>
      </x:c>
      <x:c r="G604" s="20" t="n">
        <x:v>87</x:v>
      </x:c>
      <x:c r="H604" s="20" t="str">
        <x:v>Operaciones</x:v>
      </x:c>
      <x:c r="I604" s="20" t="str">
        <x:v>Resultados estratégicos</x:v>
      </x:c>
      <x:c r="J604" s="20" t="str">
        <x:v>S1. Generar impacto integral y medible</x:v>
      </x:c>
      <x:c r="K604" s="20" t="n">
        <x:v>30.596330275229356</x:v>
      </x:c>
      <x:c r="L604" s="20" t="n">
        <x:v>23.29935275080906</x:v>
      </x:c>
      <x:c r="M604" s="52" t="n">
        <x:v>0.31318370095782644</x:v>
      </x:c>
      <x:c r="N604" s="20" t="str">
        <x:v>Strong improvement</x:v>
      </x:c>
      <x:c r="O604" s="20" t="str">
        <x:v>Prototype retrieval heuristic; association is not proof of causality.</x:v>
      </x:c>
      <x:c r="P604" s="20" t="str">
        <x:v>YES</x:v>
      </x:c>
    </x:row>
    <x:row r="605">
      <x:c r="A605" s="20" t="str">
        <x:v>OPS-010B</x:v>
      </x:c>
      <x:c r="B605" s="20" t="str">
        <x:v>Cobertura de acceso al suplemento nutricional</x:v>
      </x:c>
      <x:c r="C605" s="20" t="n">
        <x:v>4</x:v>
      </x:c>
      <x:c r="D605" s="20" t="str">
        <x:v>REC-C02</x:v>
      </x:c>
      <x:c r="E605" s="20" t="str">
        <x:v>Beneficiarios con mejora significativa en el outcome principal</x:v>
      </x:c>
      <x:c r="F605" s="20" t="str">
        <x:v>Strategic-map adjacent objective; Same department</x:v>
      </x:c>
      <x:c r="G605" s="20" t="n">
        <x:v>67</x:v>
      </x:c>
      <x:c r="H605" s="20" t="str">
        <x:v>Operaciones</x:v>
      </x:c>
      <x:c r="I605" s="20" t="str">
        <x:v>Beneficiarios y grupos de interés</x:v>
      </x:c>
      <x:c r="J605" s="20" t="str">
        <x:v>C2. Mejorar resultados obtenidos</x:v>
      </x:c>
      <x:c r="K605" s="20" t="n">
        <x:v>88</x:v>
      </x:c>
      <x:c r="L605" s="20" t="n">
        <x:v>74.33522539141951</x:v>
      </x:c>
      <x:c r="M605" s="52" t="n">
        <x:v>0.18382636948535852</x:v>
      </x:c>
      <x:c r="N605" s="20" t="str">
        <x:v>Strong improvement</x:v>
      </x:c>
      <x:c r="O605" s="20" t="str">
        <x:v>Prototype retrieval heuristic; association is not proof of causality.</x:v>
      </x:c>
      <x:c r="P605" s="20" t="str">
        <x:v>YES</x:v>
      </x:c>
    </x:row>
    <x:row r="606">
      <x:c r="A606" s="20" t="str">
        <x:v>OPS-010B</x:v>
      </x:c>
      <x:c r="B606" s="20" t="str">
        <x:v>Cobertura de acceso al suplemento nutricional</x:v>
      </x:c>
      <x:c r="C606" s="20" t="n">
        <x:v>5</x:v>
      </x:c>
      <x:c r="D606" s="20" t="str">
        <x:v>OPS-002</x:v>
      </x:c>
      <x:c r="E606" s="20" t="str">
        <x:v>Asistencia regular de beneficiarios</x:v>
      </x:c>
      <x:c r="F606" s="20" t="str">
        <x:v>Strategic-map adjacent objective; Same department</x:v>
      </x:c>
      <x:c r="G606" s="20" t="n">
        <x:v>65</x:v>
      </x:c>
      <x:c r="H606" s="20" t="str">
        <x:v>Operaciones</x:v>
      </x:c>
      <x:c r="I606" s="20" t="str">
        <x:v>Beneficiarios y grupos de interés</x:v>
      </x:c>
      <x:c r="J606" s="20" t="str">
        <x:v>C1. Incrementar alcance y acceso</x:v>
      </x:c>
      <x:c r="K606" s="20" t="n">
        <x:v>81.95555555555556</x:v>
      </x:c>
      <x:c r="L606" s="20" t="n">
        <x:v>70.98183624237264</x:v>
      </x:c>
      <x:c r="M606" s="52" t="n">
        <x:v>0.15459897762735192</x:v>
      </x:c>
      <x:c r="N606" s="20" t="str">
        <x:v>Strong improvement</x:v>
      </x:c>
      <x:c r="O606" s="20" t="str">
        <x:v>Prototype retrieval heuristic; association is not proof of causality.</x:v>
      </x:c>
      <x:c r="P606" s="20" t="str">
        <x:v>YES</x:v>
      </x:c>
    </x:row>
    <x:row r="607">
      <x:c r="A607" s="20" t="str">
        <x:v>OPS-010B</x:v>
      </x:c>
      <x:c r="B607" s="20" t="str">
        <x:v>Cobertura de acceso al suplemento nutricional</x:v>
      </x:c>
      <x:c r="C607" s="20" t="n">
        <x:v>6</x:v>
      </x:c>
      <x:c r="D607" s="20" t="str">
        <x:v>OPS-010</x:v>
      </x:c>
      <x:c r="E607" s="20" t="str">
        <x:v>Incremento de actividad física — programa de nutrición</x:v>
      </x:c>
      <x:c r="F607" s="20" t="str">
        <x:v>Same strategic objective; Same department; Same BSC perspective</x:v>
      </x:c>
      <x:c r="G607" s="20" t="n">
        <x:v>87</x:v>
      </x:c>
      <x:c r="H607" s="20" t="str">
        <x:v>Operaciones</x:v>
      </x:c>
      <x:c r="I607" s="20" t="str">
        <x:v>Resultados estratégicos</x:v>
      </x:c>
      <x:c r="J607" s="20" t="str">
        <x:v>S1. Generar impacto integral y medible</x:v>
      </x:c>
      <x:c r="K607" s="20" t="n">
        <x:v>62.000000000000014</x:v>
      </x:c>
      <x:c r="L607" s="20" t="n">
        <x:v>51</x:v>
      </x:c>
      <x:c r="M607" s="52" t="n">
        <x:v>0.2156862745098042</x:v>
      </x:c>
      <x:c r="N607" s="20" t="str">
        <x:v>Strong improvement</x:v>
      </x:c>
      <x:c r="O607" s="20" t="str">
        <x:v>Prototype retrieval heuristic; association is not proof of causality.</x:v>
      </x:c>
      <x:c r="P607" s="20" t="str">
        <x:v>YES</x:v>
      </x:c>
    </x:row>
    <x:row r="608">
      <x:c r="A608" s="20" t="str">
        <x:v>OPS-010B</x:v>
      </x:c>
      <x:c r="B608" s="20" t="str">
        <x:v>Cobertura de acceso al suplemento nutricional</x:v>
      </x:c>
      <x:c r="C608" s="20" t="n">
        <x:v>7</x:v>
      </x:c>
      <x:c r="D608" s="20" t="str">
        <x:v>OPS-006</x:v>
      </x:c>
      <x:c r="E608" s="20" t="str">
        <x:v>Beneficiarios que alcanzan competencia deportiva inicial</x:v>
      </x:c>
      <x:c r="F608" s="20" t="str">
        <x:v>Strategic-map adjacent objective; Same department</x:v>
      </x:c>
      <x:c r="G608" s="20" t="n">
        <x:v>65</x:v>
      </x:c>
      <x:c r="H608" s="20" t="str">
        <x:v>Operaciones</x:v>
      </x:c>
      <x:c r="I608" s="20" t="str">
        <x:v>Beneficiarios y grupos de interés</x:v>
      </x:c>
      <x:c r="J608" s="20" t="str">
        <x:v>C2. Mejorar resultados obtenidos</x:v>
      </x:c>
      <x:c r="K608" s="20" t="n">
        <x:v>72</x:v>
      </x:c>
      <x:c r="L608" s="20" t="n">
        <x:v>61.00146634501679</x:v>
      </x:c>
      <x:c r="M608" s="52" t="n">
        <x:v>0.18029949629041472</x:v>
      </x:c>
      <x:c r="N608" s="20" t="str">
        <x:v>Strong improvement</x:v>
      </x:c>
      <x:c r="O608" s="20" t="str">
        <x:v>Prototype retrieval heuristic; association is not proof of causality.</x:v>
      </x:c>
      <x:c r="P608" s="20" t="str">
        <x:v>YES</x:v>
      </x:c>
    </x:row>
    <x:row r="609">
      <x:c r="A609" s="20" t="str">
        <x:v>OPS-010B</x:v>
      </x:c>
      <x:c r="B609" s="20" t="str">
        <x:v>Cobertura de acceso al suplemento nutricional</x:v>
      </x:c>
      <x:c r="C609" s="20" t="n">
        <x:v>8</x:v>
      </x:c>
      <x:c r="D609" s="20" t="str">
        <x:v>REC-S01</x:v>
      </x:c>
      <x:c r="E609" s="20" t="str">
        <x:v>Programas que alcanzan su meta principal de impacto</x:v>
      </x:c>
      <x:c r="F609" s="20" t="str">
        <x:v>Same strategic objective; Same BSC perspective</x:v>
      </x:c>
      <x:c r="G609" s="20" t="n">
        <x:v>62</x:v>
      </x:c>
      <x:c r="H609" s="20" t="str">
        <x:v>Dirección + Operaciones</x:v>
      </x:c>
      <x:c r="I609" s="20" t="str">
        <x:v>Resultados estratégicos</x:v>
      </x:c>
      <x:c r="J609" s="20" t="str">
        <x:v>S1. Generar impacto integral y medible</x:v>
      </x:c>
      <x:c r="K609" s="20" t="n">
        <x:v>93.33333333333333</x:v>
      </x:c>
      <x:c r="L609" s="20" t="n">
        <x:v>81.77655677655677</x:v>
      </x:c>
      <x:c r="M609" s="52" t="n">
        <x:v>0.14132138857782753</x:v>
      </x:c>
      <x:c r="N609" s="20" t="str">
        <x:v>Strong improvement</x:v>
      </x:c>
      <x:c r="O609" s="20" t="str">
        <x:v>Prototype retrieval heuristic; association is not proof of causality.</x:v>
      </x:c>
      <x:c r="P609" s="20" t="str">
        <x:v>YES</x:v>
      </x:c>
    </x:row>
    <x:row r="610">
      <x:c r="A610" s="20" t="str">
        <x:v>REC-S01</x:v>
      </x:c>
      <x:c r="B610" s="20" t="str">
        <x:v>Programas que alcanzan su meta principal de impacto</x:v>
      </x:c>
      <x:c r="C610" s="20" t="n">
        <x:v>1</x:v>
      </x:c>
      <x:c r="D610" s="20" t="str">
        <x:v>OPS-003</x:v>
      </x:c>
      <x:c r="E610" s="20" t="str">
        <x:v>Mejora de habilidades psicosociales</x:v>
      </x:c>
      <x:c r="F610" s="20" t="str">
        <x:v>Same strategic objective; Same BSC perspective</x:v>
      </x:c>
      <x:c r="G610" s="20" t="n">
        <x:v>62</x:v>
      </x:c>
      <x:c r="H610" s="20" t="str">
        <x:v>Operaciones</x:v>
      </x:c>
      <x:c r="I610" s="20" t="str">
        <x:v>Resultados estratégicos</x:v>
      </x:c>
      <x:c r="J610" s="20" t="str">
        <x:v>S1. Generar impacto integral y medible</x:v>
      </x:c>
      <x:c r="K610" s="20" t="n">
        <x:v>30.6</x:v>
      </x:c>
      <x:c r="L610" s="20" t="n">
        <x:v>23.3</x:v>
      </x:c>
      <x:c r="M610" s="52" t="n">
        <x:v>0.3133047210300429</x:v>
      </x:c>
      <x:c r="N610" s="20" t="str">
        <x:v>Strong improvement</x:v>
      </x:c>
      <x:c r="O610" s="20" t="str">
        <x:v>Prototype retrieval heuristic; association is not proof of causality.</x:v>
      </x:c>
      <x:c r="P610" s="20" t="str">
        <x:v>YES</x:v>
      </x:c>
    </x:row>
    <x:row r="611">
      <x:c r="A611" s="20" t="str">
        <x:v>REC-S01</x:v>
      </x:c>
      <x:c r="B611" s="20" t="str">
        <x:v>Programas que alcanzan su meta principal de impacto</x:v>
      </x:c>
      <x:c r="C611" s="20" t="n">
        <x:v>2</x:v>
      </x:c>
      <x:c r="D611" s="20" t="str">
        <x:v>OPS-004</x:v>
      </x:c>
      <x:c r="E611" s="20" t="str">
        <x:v>Mejora de habilidades deportivas</x:v>
      </x:c>
      <x:c r="F611" s="20" t="str">
        <x:v>Same strategic objective; Same BSC perspective</x:v>
      </x:c>
      <x:c r="G611" s="20" t="n">
        <x:v>62</x:v>
      </x:c>
      <x:c r="H611" s="20" t="str">
        <x:v>Operaciones</x:v>
      </x:c>
      <x:c r="I611" s="20" t="str">
        <x:v>Resultados estratégicos</x:v>
      </x:c>
      <x:c r="J611" s="20" t="str">
        <x:v>S1. Generar impacto integral y medible</x:v>
      </x:c>
      <x:c r="K611" s="20" t="n">
        <x:v>30.6</x:v>
      </x:c>
      <x:c r="L611" s="20" t="n">
        <x:v>23.3</x:v>
      </x:c>
      <x:c r="M611" s="52" t="n">
        <x:v>0.3133047210300429</x:v>
      </x:c>
      <x:c r="N611" s="20" t="str">
        <x:v>Strong improvement</x:v>
      </x:c>
      <x:c r="O611" s="20" t="str">
        <x:v>Prototype retrieval heuristic; association is not proof of causality.</x:v>
      </x:c>
      <x:c r="P611" s="20" t="str">
        <x:v>YES</x:v>
      </x:c>
    </x:row>
    <x:row r="612">
      <x:c r="A612" s="20" t="str">
        <x:v>REC-S01</x:v>
      </x:c>
      <x:c r="B612" s="20" t="str">
        <x:v>Programas que alcanzan su meta principal de impacto</x:v>
      </x:c>
      <x:c r="C612" s="20" t="n">
        <x:v>3</x:v>
      </x:c>
      <x:c r="D612" s="20" t="str">
        <x:v>OPS-005</x:v>
      </x:c>
      <x:c r="E612" s="20" t="str">
        <x:v>Incremento del tiempo de actividad física de beneficiarios</x:v>
      </x:c>
      <x:c r="F612" s="20" t="str">
        <x:v>Same strategic objective; Same BSC perspective</x:v>
      </x:c>
      <x:c r="G612" s="20" t="n">
        <x:v>62</x:v>
      </x:c>
      <x:c r="H612" s="20" t="str">
        <x:v>Operaciones</x:v>
      </x:c>
      <x:c r="I612" s="20" t="str">
        <x:v>Resultados estratégicos</x:v>
      </x:c>
      <x:c r="J612" s="20" t="str">
        <x:v>S1. Generar impacto integral y medible</x:v>
      </x:c>
      <x:c r="K612" s="20" t="n">
        <x:v>30.596330275229356</x:v>
      </x:c>
      <x:c r="L612" s="20" t="n">
        <x:v>23.29935275080906</x:v>
      </x:c>
      <x:c r="M612" s="52" t="n">
        <x:v>0.31318370095782644</x:v>
      </x:c>
      <x:c r="N612" s="20" t="str">
        <x:v>Strong improvement</x:v>
      </x:c>
      <x:c r="O612" s="20" t="str">
        <x:v>Prototype retrieval heuristic; association is not proof of causality.</x:v>
      </x:c>
      <x:c r="P612" s="20" t="str">
        <x:v>YES</x:v>
      </x:c>
    </x:row>
    <x:row r="613">
      <x:c r="A613" s="20" t="str">
        <x:v>REC-S01</x:v>
      </x:c>
      <x:c r="B613" s="20" t="str">
        <x:v>Programas que alcanzan su meta principal de impacto</x:v>
      </x:c>
      <x:c r="C613" s="20" t="n">
        <x:v>4</x:v>
      </x:c>
      <x:c r="D613" s="20" t="str">
        <x:v>REC-C02</x:v>
      </x:c>
      <x:c r="E613" s="20" t="str">
        <x:v>Beneficiarios con mejora significativa en el outcome principal</x:v>
      </x:c>
      <x:c r="F613" s="20" t="str">
        <x:v>Strategic-map adjacent objective</x:v>
      </x:c>
      <x:c r="G613" s="20" t="n">
        <x:v>42</x:v>
      </x:c>
      <x:c r="H613" s="20" t="str">
        <x:v>Operaciones</x:v>
      </x:c>
      <x:c r="I613" s="20" t="str">
        <x:v>Beneficiarios y grupos de interés</x:v>
      </x:c>
      <x:c r="J613" s="20" t="str">
        <x:v>C2. Mejorar resultados obtenidos</x:v>
      </x:c>
      <x:c r="K613" s="20" t="n">
        <x:v>88</x:v>
      </x:c>
      <x:c r="L613" s="20" t="n">
        <x:v>74.33522539141951</x:v>
      </x:c>
      <x:c r="M613" s="52" t="n">
        <x:v>0.18382636948535852</x:v>
      </x:c>
      <x:c r="N613" s="20" t="str">
        <x:v>Strong improvement</x:v>
      </x:c>
      <x:c r="O613" s="20" t="str">
        <x:v>Prototype retrieval heuristic; association is not proof of causality.</x:v>
      </x:c>
      <x:c r="P613" s="20" t="str">
        <x:v>YES</x:v>
      </x:c>
    </x:row>
    <x:row r="614">
      <x:c r="A614" s="20" t="str">
        <x:v>REC-S01</x:v>
      </x:c>
      <x:c r="B614" s="20" t="str">
        <x:v>Programas que alcanzan su meta principal de impacto</x:v>
      </x:c>
      <x:c r="C614" s="20" t="n">
        <x:v>5</x:v>
      </x:c>
      <x:c r="D614" s="20" t="str">
        <x:v>MKT-002</x:v>
      </x:c>
      <x:c r="E614" s="20" t="str">
        <x:v>Acciones de mejora derivadas de analítica implementadas en plazo</x:v>
      </x:c>
      <x:c r="F614" s="20" t="str">
        <x:v>Strategic-map adjacent objective</x:v>
      </x:c>
      <x:c r="G614" s="20" t="n">
        <x:v>40</x:v>
      </x:c>
      <x:c r="H614" s="20" t="str">
        <x:v>Marketing y Comunicación</x:v>
      </x:c>
      <x:c r="I614" s="20" t="str">
        <x:v>Procesos internos</x:v>
      </x:c>
      <x:c r="J614" s="20" t="str">
        <x:v>P2. Fortalecer medición de impacto</x:v>
      </x:c>
      <x:c r="K614" s="20" t="n">
        <x:v>82.14285714285714</x:v>
      </x:c>
      <x:c r="L614" s="20" t="n">
        <x:v>71.67277167277167</x:v>
      </x:c>
      <x:c r="M614" s="52" t="n">
        <x:v>0.1460817717206132</x:v>
      </x:c>
      <x:c r="N614" s="20" t="str">
        <x:v>Strong improvement</x:v>
      </x:c>
      <x:c r="O614" s="20" t="str">
        <x:v>Prototype retrieval heuristic; association is not proof of causality.</x:v>
      </x:c>
      <x:c r="P614" s="20" t="str">
        <x:v>YES</x:v>
      </x:c>
    </x:row>
    <x:row r="615">
      <x:c r="A615" s="20" t="str">
        <x:v>REC-S01</x:v>
      </x:c>
      <x:c r="B615" s="20" t="str">
        <x:v>Programas que alcanzan su meta principal de impacto</x:v>
      </x:c>
      <x:c r="C615" s="20" t="n">
        <x:v>6</x:v>
      </x:c>
      <x:c r="D615" s="20" t="str">
        <x:v>OPS-010</x:v>
      </x:c>
      <x:c r="E615" s="20" t="str">
        <x:v>Incremento de actividad física — programa de nutrición</x:v>
      </x:c>
      <x:c r="F615" s="20" t="str">
        <x:v>Same strategic objective; Same BSC perspective</x:v>
      </x:c>
      <x:c r="G615" s="20" t="n">
        <x:v>62</x:v>
      </x:c>
      <x:c r="H615" s="20" t="str">
        <x:v>Operaciones</x:v>
      </x:c>
      <x:c r="I615" s="20" t="str">
        <x:v>Resultados estratégicos</x:v>
      </x:c>
      <x:c r="J615" s="20" t="str">
        <x:v>S1. Generar impacto integral y medible</x:v>
      </x:c>
      <x:c r="K615" s="20" t="n">
        <x:v>62.000000000000014</x:v>
      </x:c>
      <x:c r="L615" s="20" t="n">
        <x:v>51</x:v>
      </x:c>
      <x:c r="M615" s="52" t="n">
        <x:v>0.2156862745098042</x:v>
      </x:c>
      <x:c r="N615" s="20" t="str">
        <x:v>Strong improvement</x:v>
      </x:c>
      <x:c r="O615" s="20" t="str">
        <x:v>Prototype retrieval heuristic; association is not proof of causality.</x:v>
      </x:c>
      <x:c r="P615" s="20" t="str">
        <x:v>YES</x:v>
      </x:c>
    </x:row>
    <x:row r="616">
      <x:c r="A616" s="20" t="str">
        <x:v>REC-S01</x:v>
      </x:c>
      <x:c r="B616" s="20" t="str">
        <x:v>Programas que alcanzan su meta principal de impacto</x:v>
      </x:c>
      <x:c r="C616" s="20" t="n">
        <x:v>7</x:v>
      </x:c>
      <x:c r="D616" s="20" t="str">
        <x:v>OPS-010B</x:v>
      </x:c>
      <x:c r="E616" s="20" t="str">
        <x:v>Cobertura de acceso al suplemento nutricional</x:v>
      </x:c>
      <x:c r="F616" s="20" t="str">
        <x:v>Same strategic objective; Same BSC perspective</x:v>
      </x:c>
      <x:c r="G616" s="20" t="n">
        <x:v>62</x:v>
      </x:c>
      <x:c r="H616" s="20" t="str">
        <x:v>Operaciones</x:v>
      </x:c>
      <x:c r="I616" s="20" t="str">
        <x:v>Resultados estratégicos</x:v>
      </x:c>
      <x:c r="J616" s="20" t="str">
        <x:v>S1. Generar impacto integral y medible</x:v>
      </x:c>
      <x:c r="K616" s="20" t="n">
        <x:v>100</x:v>
      </x:c>
      <x:c r="L616" s="20" t="n">
        <x:v>88.9514687100894</x:v>
      </x:c>
      <x:c r="M616" s="52" t="n">
        <x:v>0.12420853135005526</x:v>
      </x:c>
      <x:c r="N616" s="20" t="str">
        <x:v>Strong improvement</x:v>
      </x:c>
      <x:c r="O616" s="20" t="str">
        <x:v>Prototype retrieval heuristic; association is not proof of causality.</x:v>
      </x:c>
      <x:c r="P616" s="20" t="str">
        <x:v>YES</x:v>
      </x:c>
    </x:row>
    <x:row r="617">
      <x:c r="A617" s="20" t="str">
        <x:v>REC-S01</x:v>
      </x:c>
      <x:c r="B617" s="20" t="str">
        <x:v>Programas que alcanzan su meta principal de impacto</x:v>
      </x:c>
      <x:c r="C617" s="20" t="n">
        <x:v>8</x:v>
      </x:c>
      <x:c r="D617" s="20" t="str">
        <x:v>OPS-002</x:v>
      </x:c>
      <x:c r="E617" s="20" t="str">
        <x:v>Asistencia regular de beneficiarios</x:v>
      </x:c>
      <x:c r="F617" s="20" t="str">
        <x:v>Strategic-map adjacent objective</x:v>
      </x:c>
      <x:c r="G617" s="20" t="n">
        <x:v>40</x:v>
      </x:c>
      <x:c r="H617" s="20" t="str">
        <x:v>Operaciones</x:v>
      </x:c>
      <x:c r="I617" s="20" t="str">
        <x:v>Beneficiarios y grupos de interés</x:v>
      </x:c>
      <x:c r="J617" s="20" t="str">
        <x:v>C1. Incrementar alcance y acceso</x:v>
      </x:c>
      <x:c r="K617" s="20" t="n">
        <x:v>81.95555555555556</x:v>
      </x:c>
      <x:c r="L617" s="20" t="n">
        <x:v>70.98183624237264</x:v>
      </x:c>
      <x:c r="M617" s="52" t="n">
        <x:v>0.15459897762735192</x:v>
      </x:c>
      <x:c r="N617" s="20" t="str">
        <x:v>Strong improvement</x:v>
      </x:c>
      <x:c r="O617" s="20" t="str">
        <x:v>Prototype retrieval heuristic; association is not proof of causality.</x:v>
      </x:c>
      <x:c r="P617" s="20" t="str">
        <x:v>YES</x:v>
      </x:c>
    </x:row>
    <x:row r="618">
      <x:c r="A618" s="20" t="str">
        <x:v>REC-S02</x:v>
      </x:c>
      <x:c r="B618" s="20" t="str">
        <x:v>Cumplimiento de cobertura total de beneficiarios</x:v>
      </x:c>
      <x:c r="C618" s="20" t="n">
        <x:v>1</x:v>
      </x:c>
      <x:c r="D618" s="20" t="str">
        <x:v>OPS-001</x:v>
      </x:c>
      <x:c r="E618" s="20" t="str">
        <x:v>Países con operación programática activa según modelo definido</x:v>
      </x:c>
      <x:c r="F618" s="20" t="str">
        <x:v>Same strategic objective; Same department; Same BSC perspective</x:v>
      </x:c>
      <x:c r="G618" s="20" t="n">
        <x:v>85</x:v>
      </x:c>
      <x:c r="H618" s="20" t="str">
        <x:v>Operaciones</x:v>
      </x:c>
      <x:c r="I618" s="20" t="str">
        <x:v>Resultados estratégicos</x:v>
      </x:c>
      <x:c r="J618" s="20" t="str">
        <x:v>S2. Ampliar alcance geográfico y poblacional</x:v>
      </x:c>
      <x:c r="K618" s="20" t="n">
        <x:v>4</x:v>
      </x:c>
      <x:c r="L618" s="20" t="n">
        <x:v>2.6666666666666665</x:v>
      </x:c>
      <x:c r="M618" s="52" t="n">
        <x:v>0.5000000000000001</x:v>
      </x:c>
      <x:c r="N618" s="20" t="str">
        <x:v>Strong improvement</x:v>
      </x:c>
      <x:c r="O618" s="20" t="str">
        <x:v>Prototype retrieval heuristic; association is not proof of causality.</x:v>
      </x:c>
      <x:c r="P618" s="20" t="str">
        <x:v>YES</x:v>
      </x:c>
    </x:row>
    <x:row r="619">
      <x:c r="A619" s="20" t="str">
        <x:v>REC-S02</x:v>
      </x:c>
      <x:c r="B619" s="20" t="str">
        <x:v>Cumplimiento de cobertura total de beneficiarios</x:v>
      </x:c>
      <x:c r="C619" s="20" t="n">
        <x:v>2</x:v>
      </x:c>
      <x:c r="D619" s="20" t="str">
        <x:v>REC-C01</x:v>
      </x:c>
      <x:c r="E619" s="20" t="str">
        <x:v>Tasa de finalización/retención de participantes</x:v>
      </x:c>
      <x:c r="F619" s="20" t="str">
        <x:v>Strategic-map adjacent objective; Same department</x:v>
      </x:c>
      <x:c r="G619" s="20" t="n">
        <x:v>67</x:v>
      </x:c>
      <x:c r="H619" s="20" t="str">
        <x:v>Operaciones</x:v>
      </x:c>
      <x:c r="I619" s="20" t="str">
        <x:v>Beneficiarios y grupos de interés</x:v>
      </x:c>
      <x:c r="J619" s="20" t="str">
        <x:v>C1. Incrementar alcance y acceso</x:v>
      </x:c>
      <x:c r="K619" s="20" t="n">
        <x:v>87.02222222222223</x:v>
      </x:c>
      <x:c r="L619" s="20" t="n">
        <x:v>76.02109644766095</x:v>
      </x:c>
      <x:c r="M619" s="52" t="n">
        <x:v>0.14471148521430935</x:v>
      </x:c>
      <x:c r="N619" s="20" t="str">
        <x:v>Strong improvement</x:v>
      </x:c>
      <x:c r="O619" s="20" t="str">
        <x:v>Prototype retrieval heuristic; association is not proof of causality.</x:v>
      </x:c>
      <x:c r="P619" s="20" t="str">
        <x:v>YES</x:v>
      </x:c>
    </x:row>
    <x:row r="620">
      <x:c r="A620" s="20" t="str">
        <x:v>REC-S02</x:v>
      </x:c>
      <x:c r="B620" s="20" t="str">
        <x:v>Cumplimiento de cobertura total de beneficiarios</x:v>
      </x:c>
      <x:c r="C620" s="20" t="n">
        <x:v>3</x:v>
      </x:c>
      <x:c r="D620" s="20" t="str">
        <x:v>REC-P01</x:v>
      </x:c>
      <x:c r="E620" s="20" t="str">
        <x:v>Programas ejecutados conforme al plan</x:v>
      </x:c>
      <x:c r="F620" s="20" t="str">
        <x:v>Strategic-map adjacent objective; Same department</x:v>
      </x:c>
      <x:c r="G620" s="20" t="n">
        <x:v>67</x:v>
      </x:c>
      <x:c r="H620" s="20" t="str">
        <x:v>Operaciones</x:v>
      </x:c>
      <x:c r="I620" s="20" t="str">
        <x:v>Procesos internos</x:v>
      </x:c>
      <x:c r="J620" s="20" t="str">
        <x:v>P1. Estandarizar y escalar programas</x:v>
      </x:c>
      <x:c r="K620" s="20" t="n">
        <x:v>93.33333333333333</x:v>
      </x:c>
      <x:c r="L620" s="20" t="n">
        <x:v>81.77655677655677</x:v>
      </x:c>
      <x:c r="M620" s="52" t="n">
        <x:v>0.14132138857782753</x:v>
      </x:c>
      <x:c r="N620" s="20" t="str">
        <x:v>Strong improvement</x:v>
      </x:c>
      <x:c r="O620" s="20" t="str">
        <x:v>Prototype retrieval heuristic; association is not proof of causality.</x:v>
      </x:c>
      <x:c r="P620" s="20" t="str">
        <x:v>YES</x:v>
      </x:c>
    </x:row>
    <x:row r="621">
      <x:c r="A621" s="20" t="str">
        <x:v>REC-S02</x:v>
      </x:c>
      <x:c r="B621" s="20" t="str">
        <x:v>Cumplimiento de cobertura total de beneficiarios</x:v>
      </x:c>
      <x:c r="C621" s="20" t="n">
        <x:v>4</x:v>
      </x:c>
      <x:c r="D621" s="20" t="str">
        <x:v>OPS-002</x:v>
      </x:c>
      <x:c r="E621" s="20" t="str">
        <x:v>Asistencia regular de beneficiarios</x:v>
      </x:c>
      <x:c r="F621" s="20" t="str">
        <x:v>Strategic-map adjacent objective; Same department</x:v>
      </x:c>
      <x:c r="G621" s="20" t="n">
        <x:v>65</x:v>
      </x:c>
      <x:c r="H621" s="20" t="str">
        <x:v>Operaciones</x:v>
      </x:c>
      <x:c r="I621" s="20" t="str">
        <x:v>Beneficiarios y grupos de interés</x:v>
      </x:c>
      <x:c r="J621" s="20" t="str">
        <x:v>C1. Incrementar alcance y acceso</x:v>
      </x:c>
      <x:c r="K621" s="20" t="n">
        <x:v>81.95555555555556</x:v>
      </x:c>
      <x:c r="L621" s="20" t="n">
        <x:v>70.98183624237264</x:v>
      </x:c>
      <x:c r="M621" s="52" t="n">
        <x:v>0.15459897762735192</x:v>
      </x:c>
      <x:c r="N621" s="20" t="str">
        <x:v>Strong improvement</x:v>
      </x:c>
      <x:c r="O621" s="20" t="str">
        <x:v>Prototype retrieval heuristic; association is not proof of causality.</x:v>
      </x:c>
      <x:c r="P621" s="20" t="str">
        <x:v>YES</x:v>
      </x:c>
    </x:row>
    <x:row r="622">
      <x:c r="A622" s="20" t="str">
        <x:v>REC-S02</x:v>
      </x:c>
      <x:c r="B622" s="20" t="str">
        <x:v>Cumplimiento de cobertura total de beneficiarios</x:v>
      </x:c>
      <x:c r="C622" s="20" t="n">
        <x:v>5</x:v>
      </x:c>
      <x:c r="D622" s="20" t="str">
        <x:v>OPS-008</x:v>
      </x:c>
      <x:c r="E622" s="20" t="str">
        <x:v>Cobertura del piloto de nutrición infantil</x:v>
      </x:c>
      <x:c r="F622" s="20" t="str">
        <x:v>Strategic-map adjacent objective; Same department</x:v>
      </x:c>
      <x:c r="G622" s="20" t="n">
        <x:v>65</x:v>
      </x:c>
      <x:c r="H622" s="20" t="str">
        <x:v>Operaciones</x:v>
      </x:c>
      <x:c r="I622" s="20" t="str">
        <x:v>Beneficiarios y grupos de interés</x:v>
      </x:c>
      <x:c r="J622" s="20" t="str">
        <x:v>C1. Incrementar alcance y acceso</x:v>
      </x:c>
      <x:c r="K622" s="20" t="n">
        <x:v>100</x:v>
      </x:c>
      <x:c r="L622" s="20" t="n">
        <x:v>88.9514687100894</x:v>
      </x:c>
      <x:c r="M622" s="52" t="n">
        <x:v>0.12420853135005526</x:v>
      </x:c>
      <x:c r="N622" s="20" t="str">
        <x:v>Strong improvement</x:v>
      </x:c>
      <x:c r="O622" s="20" t="str">
        <x:v>Prototype retrieval heuristic; association is not proof of causality.</x:v>
      </x:c>
      <x:c r="P622" s="20" t="str">
        <x:v>YES</x:v>
      </x:c>
    </x:row>
    <x:row r="623">
      <x:c r="A623" s="20" t="str">
        <x:v>REC-S02</x:v>
      </x:c>
      <x:c r="B623" s="20" t="str">
        <x:v>Cumplimiento de cobertura total de beneficiarios</x:v>
      </x:c>
      <x:c r="C623" s="20" t="n">
        <x:v>6</x:v>
      </x:c>
      <x:c r="D623" s="20" t="str">
        <x:v>OPS-003</x:v>
      </x:c>
      <x:c r="E623" s="20" t="str">
        <x:v>Mejora de habilidades psicosociales</x:v>
      </x:c>
      <x:c r="F623" s="20" t="str">
        <x:v>Same department; Same BSC perspective</x:v>
      </x:c>
      <x:c r="G623" s="20" t="n">
        <x:v>35</x:v>
      </x:c>
      <x:c r="H623" s="20" t="str">
        <x:v>Operaciones</x:v>
      </x:c>
      <x:c r="I623" s="20" t="str">
        <x:v>Resultados estratégicos</x:v>
      </x:c>
      <x:c r="J623" s="20" t="str">
        <x:v>S1. Generar impacto integral y medible</x:v>
      </x:c>
      <x:c r="K623" s="20" t="n">
        <x:v>30.6</x:v>
      </x:c>
      <x:c r="L623" s="20" t="n">
        <x:v>23.3</x:v>
      </x:c>
      <x:c r="M623" s="52" t="n">
        <x:v>0.3133047210300429</x:v>
      </x:c>
      <x:c r="N623" s="20" t="str">
        <x:v>Strong improvement</x:v>
      </x:c>
      <x:c r="O623" s="20" t="str">
        <x:v>Prototype retrieval heuristic; association is not proof of causality.</x:v>
      </x:c>
      <x:c r="P623" s="20" t="str">
        <x:v>YES</x:v>
      </x:c>
    </x:row>
    <x:row r="624">
      <x:c r="A624" s="20" t="str">
        <x:v>REC-S02</x:v>
      </x:c>
      <x:c r="B624" s="20" t="str">
        <x:v>Cumplimiento de cobertura total de beneficiarios</x:v>
      </x:c>
      <x:c r="C624" s="20" t="n">
        <x:v>7</x:v>
      </x:c>
      <x:c r="D624" s="20" t="str">
        <x:v>OPS-012</x:v>
      </x:c>
      <x:c r="E624" s="20" t="str">
        <x:v>Países con plan de escalamiento de nutrición listo para 2027</x:v>
      </x:c>
      <x:c r="F624" s="20" t="str">
        <x:v>Strategic-map adjacent objective; Same department</x:v>
      </x:c>
      <x:c r="G624" s="20" t="n">
        <x:v>65</x:v>
      </x:c>
      <x:c r="H624" s="20" t="str">
        <x:v>Operaciones</x:v>
      </x:c>
      <x:c r="I624" s="20" t="str">
        <x:v>Procesos internos</x:v>
      </x:c>
      <x:c r="J624" s="20" t="str">
        <x:v>P1. Estandarizar y escalar programas</x:v>
      </x:c>
      <x:c r="K624" s="20" t="n">
        <x:v>100</x:v>
      </x:c>
      <x:c r="L624" s="20" t="n">
        <x:v>91.66666666666667</x:v>
      </x:c>
      <x:c r="M624" s="52" t="n">
        <x:v>0.09090909090909086</x:v>
      </x:c>
      <x:c r="N624" s="20" t="str">
        <x:v>Improving</x:v>
      </x:c>
      <x:c r="O624" s="20" t="str">
        <x:v>Prototype retrieval heuristic; association is not proof of causality.</x:v>
      </x:c>
      <x:c r="P624" s="20" t="str">
        <x:v>YES</x:v>
      </x:c>
    </x:row>
    <x:row r="625">
      <x:c r="A625" s="20" t="str">
        <x:v>REC-S02</x:v>
      </x:c>
      <x:c r="B625" s="20" t="str">
        <x:v>Cumplimiento de cobertura total de beneficiarios</x:v>
      </x:c>
      <x:c r="C625" s="20" t="n">
        <x:v>8</x:v>
      </x:c>
      <x:c r="D625" s="20" t="str">
        <x:v>OPS-013</x:v>
      </x:c>
      <x:c r="E625" s="20" t="str">
        <x:v>Cumplimiento de cobertura — Sueña Chivas Estadio</x:v>
      </x:c>
      <x:c r="F625" s="20" t="str">
        <x:v>Strategic-map adjacent objective; Same department</x:v>
      </x:c>
      <x:c r="G625" s="20" t="n">
        <x:v>65</x:v>
      </x:c>
      <x:c r="H625" s="20" t="str">
        <x:v>Operaciones</x:v>
      </x:c>
      <x:c r="I625" s="20" t="str">
        <x:v>Beneficiarios y grupos de interés</x:v>
      </x:c>
      <x:c r="J625" s="20" t="str">
        <x:v>C1. Incrementar alcance y acceso</x:v>
      </x:c>
      <x:c r="K625" s="20" t="n">
        <x:v>100</x:v>
      </x:c>
      <x:c r="L625" s="20" t="n">
        <x:v>88.9514687100894</x:v>
      </x:c>
      <x:c r="M625" s="52" t="n">
        <x:v>0.12420853135005526</x:v>
      </x:c>
      <x:c r="N625" s="20" t="str">
        <x:v>Strong improvement</x:v>
      </x:c>
      <x:c r="O625" s="20" t="str">
        <x:v>Prototype retrieval heuristic; association is not proof of causality.</x:v>
      </x:c>
      <x:c r="P625" s="20" t="str">
        <x:v>YES</x:v>
      </x:c>
    </x:row>
    <x:row r="626">
      <x:c r="A626" s="20" t="str">
        <x:v>REC-S03</x:v>
      </x:c>
      <x:c r="B626" s="20" t="str">
        <x:v>Cobertura financiera del plan operativo</x:v>
      </x:c>
      <x:c r="C626" s="20" t="n">
        <x:v>1</x:v>
      </x:c>
      <x:c r="D626" s="20" t="str">
        <x:v>ADM-006</x:v>
      </x:c>
      <x:c r="E626" s="20" t="str">
        <x:v>Informes regulatorios presentados en tiempo y forma</x:v>
      </x:c>
      <x:c r="F626" s="20" t="str">
        <x:v>Strategic-map adjacent objective</x:v>
      </x:c>
      <x:c r="G626" s="20" t="n">
        <x:v>42</x:v>
      </x:c>
      <x:c r="H626" s="20" t="str">
        <x:v>Administración</x:v>
      </x:c>
      <x:c r="I626" s="20" t="str">
        <x:v>Beneficiarios y grupos de interés</x:v>
      </x:c>
      <x:c r="J626" s="20" t="str">
        <x:v>C3. Fortalecer confianza y credibilidad institucional</x:v>
      </x:c>
      <x:c r="K626" s="20" t="n">
        <x:v>100</x:v>
      </x:c>
      <x:c r="L626" s="20" t="n">
        <x:v>88.9514687100894</x:v>
      </x:c>
      <x:c r="M626" s="52" t="n">
        <x:v>0.12420853135005526</x:v>
      </x:c>
      <x:c r="N626" s="20" t="str">
        <x:v>Strong improvement</x:v>
      </x:c>
      <x:c r="O626" s="20" t="str">
        <x:v>Prototype retrieval heuristic; association is not proof of causality.</x:v>
      </x:c>
      <x:c r="P626" s="20" t="str">
        <x:v>YES</x:v>
      </x:c>
    </x:row>
    <x:row r="627">
      <x:c r="A627" s="20" t="str">
        <x:v>REC-S03</x:v>
      </x:c>
      <x:c r="B627" s="20" t="str">
        <x:v>Cobertura financiera del plan operativo</x:v>
      </x:c>
      <x:c r="C627" s="20" t="n">
        <x:v>2</x:v>
      </x:c>
      <x:c r="D627" s="20" t="str">
        <x:v>ADM-008</x:v>
      </x:c>
      <x:c r="E627" s="20" t="str">
        <x:v>Acreditaciones institucionales renovadas antes de vencimiento</x:v>
      </x:c>
      <x:c r="F627" s="20" t="str">
        <x:v>Strategic-map adjacent objective</x:v>
      </x:c>
      <x:c r="G627" s="20" t="n">
        <x:v>42</x:v>
      </x:c>
      <x:c r="H627" s="20" t="str">
        <x:v>Administración</x:v>
      </x:c>
      <x:c r="I627" s="20" t="str">
        <x:v>Beneficiarios y grupos de interés</x:v>
      </x:c>
      <x:c r="J627" s="20" t="str">
        <x:v>C3. Fortalecer confianza y credibilidad institucional</x:v>
      </x:c>
      <x:c r="K627" s="20" t="n">
        <x:v>100</x:v>
      </x:c>
      <x:c r="L627" s="20" t="n">
        <x:v>89.3483709273183</x:v>
      </x:c>
      <x:c r="M627" s="52" t="n">
        <x:v>0.11921458625525942</x:v>
      </x:c>
      <x:c r="N627" s="20" t="str">
        <x:v>Strong improvement</x:v>
      </x:c>
      <x:c r="O627" s="20" t="str">
        <x:v>Prototype retrieval heuristic; association is not proof of causality.</x:v>
      </x:c>
      <x:c r="P627" s="20" t="str">
        <x:v>YES</x:v>
      </x:c>
    </x:row>
    <x:row r="628">
      <x:c r="A628" s="20" t="str">
        <x:v>REC-S03</x:v>
      </x:c>
      <x:c r="B628" s="20" t="str">
        <x:v>Cobertura financiera del plan operativo</x:v>
      </x:c>
      <x:c r="C628" s="20" t="n">
        <x:v>3</x:v>
      </x:c>
      <x:c r="D628" s="20" t="str">
        <x:v>OPS-001</x:v>
      </x:c>
      <x:c r="E628" s="20" t="str">
        <x:v>Países con operación programática activa según modelo definido</x:v>
      </x:c>
      <x:c r="F628" s="20" t="str">
        <x:v>Same BSC perspective</x:v>
      </x:c>
      <x:c r="G628" s="20" t="n">
        <x:v>10</x:v>
      </x:c>
      <x:c r="H628" s="20" t="str">
        <x:v>Operaciones</x:v>
      </x:c>
      <x:c r="I628" s="20" t="str">
        <x:v>Resultados estratégicos</x:v>
      </x:c>
      <x:c r="J628" s="20" t="str">
        <x:v>S2. Ampliar alcance geográfico y poblacional</x:v>
      </x:c>
      <x:c r="K628" s="20" t="n">
        <x:v>4</x:v>
      </x:c>
      <x:c r="L628" s="20" t="n">
        <x:v>2.6666666666666665</x:v>
      </x:c>
      <x:c r="M628" s="52" t="n">
        <x:v>0.5000000000000001</x:v>
      </x:c>
      <x:c r="N628" s="20" t="str">
        <x:v>Strong improvement</x:v>
      </x:c>
      <x:c r="O628" s="20" t="str">
        <x:v>Prototype retrieval heuristic; association is not proof of causality.</x:v>
      </x:c>
      <x:c r="P628" s="20" t="str">
        <x:v>YES</x:v>
      </x:c>
    </x:row>
    <x:row r="629">
      <x:c r="A629" s="20" t="str">
        <x:v>REC-S03</x:v>
      </x:c>
      <x:c r="B629" s="20" t="str">
        <x:v>Cobertura financiera del plan operativo</x:v>
      </x:c>
      <x:c r="C629" s="20" t="n">
        <x:v>4</x:v>
      </x:c>
      <x:c r="D629" s="20" t="str">
        <x:v>ADM-010</x:v>
      </x:c>
      <x:c r="E629" s="20" t="str">
        <x:v>Países con ruta de acreditación regulatoria definida y validada</x:v>
      </x:c>
      <x:c r="F629" s="20" t="str">
        <x:v>Strategic-map adjacent objective</x:v>
      </x:c>
      <x:c r="G629" s="20" t="n">
        <x:v>42</x:v>
      </x:c>
      <x:c r="H629" s="20" t="str">
        <x:v>Administración</x:v>
      </x:c>
      <x:c r="I629" s="20" t="str">
        <x:v>Beneficiarios y grupos de interés</x:v>
      </x:c>
      <x:c r="J629" s="20" t="str">
        <x:v>C3. Fortalecer confianza y credibilidad institucional</x:v>
      </x:c>
      <x:c r="K629" s="20" t="n">
        <x:v>100</x:v>
      </x:c>
      <x:c r="L629" s="20" t="n">
        <x:v>91.66666666666667</x:v>
      </x:c>
      <x:c r="M629" s="52" t="n">
        <x:v>0.09090909090909086</x:v>
      </x:c>
      <x:c r="N629" s="20" t="str">
        <x:v>Improving</x:v>
      </x:c>
      <x:c r="O629" s="20" t="str">
        <x:v>Prototype retrieval heuristic; association is not proof of causality.</x:v>
      </x:c>
      <x:c r="P629" s="20" t="str">
        <x:v>YES</x:v>
      </x:c>
    </x:row>
    <x:row r="630">
      <x:c r="A630" s="20" t="str">
        <x:v>REC-S03</x:v>
      </x:c>
      <x:c r="B630" s="20" t="str">
        <x:v>Cobertura financiera del plan operativo</x:v>
      </x:c>
      <x:c r="C630" s="20" t="n">
        <x:v>5</x:v>
      </x:c>
      <x:c r="D630" s="20" t="str">
        <x:v>FND-010</x:v>
      </x:c>
      <x:c r="E630" s="20" t="str">
        <x:v>Participación de staff en voluntariado corporativo</x:v>
      </x:c>
      <x:c r="F630" s="20" t="str">
        <x:v>Strategic-map adjacent objective</x:v>
      </x:c>
      <x:c r="G630" s="20" t="n">
        <x:v>42</x:v>
      </x:c>
      <x:c r="H630" s="20" t="str">
        <x:v>Procuración de Fondos</x:v>
      </x:c>
      <x:c r="I630" s="20" t="str">
        <x:v>Beneficiarios y grupos de interés</x:v>
      </x:c>
      <x:c r="J630" s="20" t="str">
        <x:v>C4. Fortalecer relación con donantes, aliados y comunidades</x:v>
      </x:c>
      <x:c r="K630" s="20" t="n">
        <x:v>26</x:v>
      </x:c>
      <x:c r="L630" s="20" t="n">
        <x:v>19.333333333333332</x:v>
      </x:c>
      <x:c r="M630" s="52" t="n">
        <x:v>0.34482758620689663</x:v>
      </x:c>
      <x:c r="N630" s="20" t="str">
        <x:v>Strong improvement</x:v>
      </x:c>
      <x:c r="O630" s="20" t="str">
        <x:v>Prototype retrieval heuristic; association is not proof of causality.</x:v>
      </x:c>
      <x:c r="P630" s="20" t="str">
        <x:v>YES</x:v>
      </x:c>
    </x:row>
    <x:row r="631">
      <x:c r="A631" s="20" t="str">
        <x:v>REC-S03</x:v>
      </x:c>
      <x:c r="B631" s="20" t="str">
        <x:v>Cobertura financiera del plan operativo</x:v>
      </x:c>
      <x:c r="C631" s="20" t="n">
        <x:v>6</x:v>
      </x:c>
      <x:c r="D631" s="20" t="str">
        <x:v>FND-012</x:v>
      </x:c>
      <x:c r="E631" s="20" t="str">
        <x:v>Participación de empresarios EOS en voluntariado</x:v>
      </x:c>
      <x:c r="F631" s="20" t="str">
        <x:v>Strategic-map adjacent objective</x:v>
      </x:c>
      <x:c r="G631" s="20" t="n">
        <x:v>42</x:v>
      </x:c>
      <x:c r="H631" s="20" t="str">
        <x:v>Procuración de Fondos</x:v>
      </x:c>
      <x:c r="I631" s="20" t="str">
        <x:v>Beneficiarios y grupos de interés</x:v>
      </x:c>
      <x:c r="J631" s="20" t="str">
        <x:v>C4. Fortalecer relación con donantes, aliados y comunidades</x:v>
      </x:c>
      <x:c r="K631" s="20" t="n">
        <x:v>15</x:v>
      </x:c>
      <x:c r="L631" s="20" t="n">
        <x:v>12</x:v>
      </x:c>
      <x:c r="M631" s="52" t="n">
        <x:v>0.25</x:v>
      </x:c>
      <x:c r="N631" s="20" t="str">
        <x:v>Strong improvement</x:v>
      </x:c>
      <x:c r="O631" s="20" t="str">
        <x:v>Prototype retrieval heuristic; association is not proof of causality.</x:v>
      </x:c>
      <x:c r="P631" s="20" t="str">
        <x:v>YES</x:v>
      </x:c>
    </x:row>
    <x:row r="632">
      <x:c r="A632" s="20" t="str">
        <x:v>REC-S03</x:v>
      </x:c>
      <x:c r="B632" s="20" t="str">
        <x:v>Cobertura financiera del plan operativo</x:v>
      </x:c>
      <x:c r="C632" s="20" t="n">
        <x:v>7</x:v>
      </x:c>
      <x:c r="D632" s="20" t="str">
        <x:v>LEG-003</x:v>
      </x:c>
      <x:c r="E632" s="20" t="str">
        <x:v>Reducción de cargas regulatorias duplicadas con cumplimiento íntegro</x:v>
      </x:c>
      <x:c r="F632" s="20" t="str">
        <x:v>Strategic-map adjacent objective</x:v>
      </x:c>
      <x:c r="G632" s="20" t="n">
        <x:v>42</x:v>
      </x:c>
      <x:c r="H632" s="20" t="str">
        <x:v>Jurídico</x:v>
      </x:c>
      <x:c r="I632" s="20" t="str">
        <x:v>Procesos internos</x:v>
      </x:c>
      <x:c r="J632" s="20" t="str">
        <x:v>P5. Fortalecer cumplimiento, transparencia y gobierno</x:v>
      </x:c>
      <x:c r="K632" s="20" t="n">
        <x:v>52</x:v>
      </x:c>
      <x:c r="L632" s="20" t="n">
        <x:v>41</x:v>
      </x:c>
      <x:c r="M632" s="52" t="n">
        <x:v>0.2682926829268293</x:v>
      </x:c>
      <x:c r="N632" s="20" t="str">
        <x:v>Strong improvement</x:v>
      </x:c>
      <x:c r="O632" s="20" t="str">
        <x:v>Prototype retrieval heuristic; association is not proof of causality.</x:v>
      </x:c>
      <x:c r="P632" s="20" t="str">
        <x:v>YES</x:v>
      </x:c>
    </x:row>
    <x:row r="633">
      <x:c r="A633" s="20" t="str">
        <x:v>REC-S03</x:v>
      </x:c>
      <x:c r="B633" s="20" t="str">
        <x:v>Cobertura financiera del plan operativo</x:v>
      </x:c>
      <x:c r="C633" s="20" t="n">
        <x:v>8</x:v>
      </x:c>
      <x:c r="D633" s="20" t="str">
        <x:v>LEG-010</x:v>
      </x:c>
      <x:c r="E633" s="20" t="str">
        <x:v>Cumplimiento jurídico-fiscal de comunicaciones institucionales</x:v>
      </x:c>
      <x:c r="F633" s="20" t="str">
        <x:v>Strategic-map adjacent objective</x:v>
      </x:c>
      <x:c r="G633" s="20" t="n">
        <x:v>42</x:v>
      </x:c>
      <x:c r="H633" s="20" t="str">
        <x:v>Jurídico</x:v>
      </x:c>
      <x:c r="I633" s="20" t="str">
        <x:v>Beneficiarios y grupos de interés</x:v>
      </x:c>
      <x:c r="J633" s="20" t="str">
        <x:v>C3. Fortalecer confianza y credibilidad institucional</x:v>
      </x:c>
      <x:c r="K633" s="20" t="n">
        <x:v>100</x:v>
      </x:c>
      <x:c r="L633" s="20" t="n">
        <x:v>89.21401340466089</x:v>
      </x:c>
      <x:c r="M633" s="52" t="n">
        <x:v>0.12090013870820443</x:v>
      </x:c>
      <x:c r="N633" s="20" t="str">
        <x:v>Strong improvement</x:v>
      </x:c>
      <x:c r="O633" s="20" t="str">
        <x:v>Prototype retrieval heuristic; association is not proof of causality.</x:v>
      </x:c>
      <x:c r="P633" s="20" t="str">
        <x:v>YES</x:v>
      </x:c>
    </x:row>
    <x:row r="634">
      <x:c r="A634" s="20" t="str">
        <x:v>REC-C01</x:v>
      </x:c>
      <x:c r="B634" s="20" t="str">
        <x:v>Tasa de finalización/retención de participantes</x:v>
      </x:c>
      <x:c r="C634" s="20" t="n">
        <x:v>1</x:v>
      </x:c>
      <x:c r="D634" s="20" t="str">
        <x:v>OPS-002</x:v>
      </x:c>
      <x:c r="E634" s="20" t="str">
        <x:v>Asistencia regular de beneficiarios</x:v>
      </x:c>
      <x:c r="F634" s="20" t="str">
        <x:v>Same strategic objective; Same department; Same BSC perspective</x:v>
      </x:c>
      <x:c r="G634" s="20" t="n">
        <x:v>85</x:v>
      </x:c>
      <x:c r="H634" s="20" t="str">
        <x:v>Operaciones</x:v>
      </x:c>
      <x:c r="I634" s="20" t="str">
        <x:v>Beneficiarios y grupos de interés</x:v>
      </x:c>
      <x:c r="J634" s="20" t="str">
        <x:v>C1. Incrementar alcance y acceso</x:v>
      </x:c>
      <x:c r="K634" s="20" t="n">
        <x:v>81.95555555555556</x:v>
      </x:c>
      <x:c r="L634" s="20" t="n">
        <x:v>70.98183624237264</x:v>
      </x:c>
      <x:c r="M634" s="52" t="n">
        <x:v>0.15459897762735192</x:v>
      </x:c>
      <x:c r="N634" s="20" t="str">
        <x:v>Strong improvement</x:v>
      </x:c>
      <x:c r="O634" s="20" t="str">
        <x:v>Prototype retrieval heuristic; association is not proof of causality.</x:v>
      </x:c>
      <x:c r="P634" s="20" t="str">
        <x:v>YES</x:v>
      </x:c>
    </x:row>
    <x:row r="635">
      <x:c r="A635" s="20" t="str">
        <x:v>REC-C01</x:v>
      </x:c>
      <x:c r="B635" s="20" t="str">
        <x:v>Tasa de finalización/retención de participantes</x:v>
      </x:c>
      <x:c r="C635" s="20" t="n">
        <x:v>2</x:v>
      </x:c>
      <x:c r="D635" s="20" t="str">
        <x:v>OPS-008</x:v>
      </x:c>
      <x:c r="E635" s="20" t="str">
        <x:v>Cobertura del piloto de nutrición infantil</x:v>
      </x:c>
      <x:c r="F635" s="20" t="str">
        <x:v>Same strategic objective; Same department; Same BSC perspective</x:v>
      </x:c>
      <x:c r="G635" s="20" t="n">
        <x:v>85</x:v>
      </x:c>
      <x:c r="H635" s="20" t="str">
        <x:v>Operaciones</x:v>
      </x:c>
      <x:c r="I635" s="20" t="str">
        <x:v>Beneficiarios y grupos de interés</x:v>
      </x:c>
      <x:c r="J635" s="20" t="str">
        <x:v>C1. Incrementar alcance y acceso</x:v>
      </x:c>
      <x:c r="K635" s="20" t="n">
        <x:v>100</x:v>
      </x:c>
      <x:c r="L635" s="20" t="n">
        <x:v>88.9514687100894</x:v>
      </x:c>
      <x:c r="M635" s="52" t="n">
        <x:v>0.12420853135005526</x:v>
      </x:c>
      <x:c r="N635" s="20" t="str">
        <x:v>Strong improvement</x:v>
      </x:c>
      <x:c r="O635" s="20" t="str">
        <x:v>Prototype retrieval heuristic; association is not proof of causality.</x:v>
      </x:c>
      <x:c r="P635" s="20" t="str">
        <x:v>YES</x:v>
      </x:c>
    </x:row>
    <x:row r="636">
      <x:c r="A636" s="20" t="str">
        <x:v>REC-C01</x:v>
      </x:c>
      <x:c r="B636" s="20" t="str">
        <x:v>Tasa de finalización/retención de participantes</x:v>
      </x:c>
      <x:c r="C636" s="20" t="n">
        <x:v>3</x:v>
      </x:c>
      <x:c r="D636" s="20" t="str">
        <x:v>OPS-013</x:v>
      </x:c>
      <x:c r="E636" s="20" t="str">
        <x:v>Cumplimiento de cobertura — Sueña Chivas Estadio</x:v>
      </x:c>
      <x:c r="F636" s="20" t="str">
        <x:v>Same strategic objective; Same department; Same BSC perspective</x:v>
      </x:c>
      <x:c r="G636" s="20" t="n">
        <x:v>85</x:v>
      </x:c>
      <x:c r="H636" s="20" t="str">
        <x:v>Operaciones</x:v>
      </x:c>
      <x:c r="I636" s="20" t="str">
        <x:v>Beneficiarios y grupos de interés</x:v>
      </x:c>
      <x:c r="J636" s="20" t="str">
        <x:v>C1. Incrementar alcance y acceso</x:v>
      </x:c>
      <x:c r="K636" s="20" t="n">
        <x:v>100</x:v>
      </x:c>
      <x:c r="L636" s="20" t="n">
        <x:v>88.9514687100894</x:v>
      </x:c>
      <x:c r="M636" s="52" t="n">
        <x:v>0.12420853135005526</x:v>
      </x:c>
      <x:c r="N636" s="20" t="str">
        <x:v>Strong improvement</x:v>
      </x:c>
      <x:c r="O636" s="20" t="str">
        <x:v>Prototype retrieval heuristic; association is not proof of causality.</x:v>
      </x:c>
      <x:c r="P636" s="20" t="str">
        <x:v>YES</x:v>
      </x:c>
    </x:row>
    <x:row r="637">
      <x:c r="A637" s="20" t="str">
        <x:v>REC-C01</x:v>
      </x:c>
      <x:c r="B637" s="20" t="str">
        <x:v>Tasa de finalización/retención de participantes</x:v>
      </x:c>
      <x:c r="C637" s="20" t="n">
        <x:v>4</x:v>
      </x:c>
      <x:c r="D637" s="20" t="str">
        <x:v>REC-P01</x:v>
      </x:c>
      <x:c r="E637" s="20" t="str">
        <x:v>Programas ejecutados conforme al plan</x:v>
      </x:c>
      <x:c r="F637" s="20" t="str">
        <x:v>Strategic-map adjacent objective; Same department</x:v>
      </x:c>
      <x:c r="G637" s="20" t="n">
        <x:v>67</x:v>
      </x:c>
      <x:c r="H637" s="20" t="str">
        <x:v>Operaciones</x:v>
      </x:c>
      <x:c r="I637" s="20" t="str">
        <x:v>Procesos internos</x:v>
      </x:c>
      <x:c r="J637" s="20" t="str">
        <x:v>P1. Estandarizar y escalar programas</x:v>
      </x:c>
      <x:c r="K637" s="20" t="n">
        <x:v>93.33333333333333</x:v>
      </x:c>
      <x:c r="L637" s="20" t="n">
        <x:v>81.77655677655677</x:v>
      </x:c>
      <x:c r="M637" s="52" t="n">
        <x:v>0.14132138857782753</x:v>
      </x:c>
      <x:c r="N637" s="20" t="str">
        <x:v>Strong improvement</x:v>
      </x:c>
      <x:c r="O637" s="20" t="str">
        <x:v>Prototype retrieval heuristic; association is not proof of causality.</x:v>
      </x:c>
      <x:c r="P637" s="20" t="str">
        <x:v>YES</x:v>
      </x:c>
    </x:row>
    <x:row r="638">
      <x:c r="A638" s="20" t="str">
        <x:v>REC-C01</x:v>
      </x:c>
      <x:c r="B638" s="20" t="str">
        <x:v>Tasa de finalización/retención de participantes</x:v>
      </x:c>
      <x:c r="C638" s="20" t="n">
        <x:v>5</x:v>
      </x:c>
      <x:c r="D638" s="20" t="str">
        <x:v>REC-S02</x:v>
      </x:c>
      <x:c r="E638" s="20" t="str">
        <x:v>Cumplimiento de cobertura total de beneficiarios</x:v>
      </x:c>
      <x:c r="F638" s="20" t="str">
        <x:v>Strategic-map adjacent objective; Same department</x:v>
      </x:c>
      <x:c r="G638" s="20" t="n">
        <x:v>67</x:v>
      </x:c>
      <x:c r="H638" s="20" t="str">
        <x:v>Operaciones</x:v>
      </x:c>
      <x:c r="I638" s="20" t="str">
        <x:v>Resultados estratégicos</x:v>
      </x:c>
      <x:c r="J638" s="20" t="str">
        <x:v>S2. Ampliar alcance geográfico y poblacional</x:v>
      </x:c>
      <x:c r="K638" s="20" t="n">
        <x:v>96</x:v>
      </x:c>
      <x:c r="L638" s="20" t="n">
        <x:v>83.97843053781752</x:v>
      </x:c>
      <x:c r="M638" s="52" t="n">
        <x:v>0.14315068030199588</x:v>
      </x:c>
      <x:c r="N638" s="20" t="str">
        <x:v>Strong improvement</x:v>
      </x:c>
      <x:c r="O638" s="20" t="str">
        <x:v>Prototype retrieval heuristic; association is not proof of causality.</x:v>
      </x:c>
      <x:c r="P638" s="20" t="str">
        <x:v>YES</x:v>
      </x:c>
    </x:row>
    <x:row r="639">
      <x:c r="A639" s="20" t="str">
        <x:v>REC-C01</x:v>
      </x:c>
      <x:c r="B639" s="20" t="str">
        <x:v>Tasa de finalización/retención de participantes</x:v>
      </x:c>
      <x:c r="C639" s="20" t="n">
        <x:v>6</x:v>
      </x:c>
      <x:c r="D639" s="20" t="str">
        <x:v>OPS-014</x:v>
      </x:c>
      <x:c r="E639" s="20" t="str">
        <x:v>Cumplimiento de cobertura — Sueña Chivas Tour</x:v>
      </x:c>
      <x:c r="F639" s="20" t="str">
        <x:v>Same strategic objective; Same department; Same BSC perspective</x:v>
      </x:c>
      <x:c r="G639" s="20" t="n">
        <x:v>85</x:v>
      </x:c>
      <x:c r="H639" s="20" t="str">
        <x:v>Operaciones</x:v>
      </x:c>
      <x:c r="I639" s="20" t="str">
        <x:v>Beneficiarios y grupos de interés</x:v>
      </x:c>
      <x:c r="J639" s="20" t="str">
        <x:v>C1. Incrementar alcance y acceso</x:v>
      </x:c>
      <x:c r="K639" s="20" t="n">
        <x:v>100</x:v>
      </x:c>
      <x:c r="L639" s="20" t="n">
        <x:v>88.9514687100894</x:v>
      </x:c>
      <x:c r="M639" s="52" t="n">
        <x:v>0.12420853135005526</x:v>
      </x:c>
      <x:c r="N639" s="20" t="str">
        <x:v>Strong improvement</x:v>
      </x:c>
      <x:c r="O639" s="20" t="str">
        <x:v>Prototype retrieval heuristic; association is not proof of causality.</x:v>
      </x:c>
      <x:c r="P639" s="20" t="str">
        <x:v>YES</x:v>
      </x:c>
    </x:row>
    <x:row r="640">
      <x:c r="A640" s="20" t="str">
        <x:v>REC-C01</x:v>
      </x:c>
      <x:c r="B640" s="20" t="str">
        <x:v>Tasa de finalización/retención de participantes</x:v>
      </x:c>
      <x:c r="C640" s="20" t="n">
        <x:v>7</x:v>
      </x:c>
      <x:c r="D640" s="20" t="str">
        <x:v>OPS-015</x:v>
      </x:c>
      <x:c r="E640" s="20" t="str">
        <x:v>Sueña Chivas Individuales completados</x:v>
      </x:c>
      <x:c r="F640" s="20" t="str">
        <x:v>Same strategic objective; Same department; Same BSC perspective</x:v>
      </x:c>
      <x:c r="G640" s="20" t="n">
        <x:v>85</x:v>
      </x:c>
      <x:c r="H640" s="20" t="str">
        <x:v>Operaciones</x:v>
      </x:c>
      <x:c r="I640" s="20" t="str">
        <x:v>Beneficiarios y grupos de interés</x:v>
      </x:c>
      <x:c r="J640" s="20" t="str">
        <x:v>C1. Incrementar alcance y acceso</x:v>
      </x:c>
      <x:c r="K640" s="20" t="n">
        <x:v>12</x:v>
      </x:c>
      <x:c r="L640" s="20" t="n">
        <x:v>9.333333333333334</x:v>
      </x:c>
      <x:c r="M640" s="52" t="n">
        <x:v>0.28571428571428564</x:v>
      </x:c>
      <x:c r="N640" s="20" t="str">
        <x:v>Strong improvement</x:v>
      </x:c>
      <x:c r="O640" s="20" t="str">
        <x:v>Prototype retrieval heuristic; association is not proof of causality.</x:v>
      </x:c>
      <x:c r="P640" s="20" t="str">
        <x:v>YES</x:v>
      </x:c>
    </x:row>
    <x:row r="641">
      <x:c r="A641" s="20" t="str">
        <x:v>REC-C01</x:v>
      </x:c>
      <x:c r="B641" s="20" t="str">
        <x:v>Tasa de finalización/retención de participantes</x:v>
      </x:c>
      <x:c r="C641" s="20" t="n">
        <x:v>8</x:v>
      </x:c>
      <x:c r="D641" s="20" t="str">
        <x:v>OPS-006</x:v>
      </x:c>
      <x:c r="E641" s="20" t="str">
        <x:v>Beneficiarios que alcanzan competencia deportiva inicial</x:v>
      </x:c>
      <x:c r="F641" s="20" t="str">
        <x:v>Same department; Same BSC perspective</x:v>
      </x:c>
      <x:c r="G641" s="20" t="n">
        <x:v>35</x:v>
      </x:c>
      <x:c r="H641" s="20" t="str">
        <x:v>Operaciones</x:v>
      </x:c>
      <x:c r="I641" s="20" t="str">
        <x:v>Beneficiarios y grupos de interés</x:v>
      </x:c>
      <x:c r="J641" s="20" t="str">
        <x:v>C2. Mejorar resultados obtenidos</x:v>
      </x:c>
      <x:c r="K641" s="20" t="n">
        <x:v>72</x:v>
      </x:c>
      <x:c r="L641" s="20" t="n">
        <x:v>61.00146634501679</x:v>
      </x:c>
      <x:c r="M641" s="52" t="n">
        <x:v>0.18029949629041472</x:v>
      </x:c>
      <x:c r="N641" s="20" t="str">
        <x:v>Strong improvement</x:v>
      </x:c>
      <x:c r="O641" s="20" t="str">
        <x:v>Prototype retrieval heuristic; association is not proof of causality.</x:v>
      </x:c>
      <x:c r="P641" s="20" t="str">
        <x:v>YES</x:v>
      </x:c>
    </x:row>
    <x:row r="642">
      <x:c r="A642" s="20" t="str">
        <x:v>REC-C02</x:v>
      </x:c>
      <x:c r="B642" s="20" t="str">
        <x:v>Beneficiarios con mejora significativa en el outcome principal</x:v>
      </x:c>
      <x:c r="C642" s="20" t="n">
        <x:v>1</x:v>
      </x:c>
      <x:c r="D642" s="20" t="str">
        <x:v>OPS-006</x:v>
      </x:c>
      <x:c r="E642" s="20" t="str">
        <x:v>Beneficiarios que alcanzan competencia deportiva inicial</x:v>
      </x:c>
      <x:c r="F642" s="20" t="str">
        <x:v>Same strategic objective; Same department; Same BSC perspective</x:v>
      </x:c>
      <x:c r="G642" s="20" t="n">
        <x:v>85</x:v>
      </x:c>
      <x:c r="H642" s="20" t="str">
        <x:v>Operaciones</x:v>
      </x:c>
      <x:c r="I642" s="20" t="str">
        <x:v>Beneficiarios y grupos de interés</x:v>
      </x:c>
      <x:c r="J642" s="20" t="str">
        <x:v>C2. Mejorar resultados obtenidos</x:v>
      </x:c>
      <x:c r="K642" s="20" t="n">
        <x:v>72</x:v>
      </x:c>
      <x:c r="L642" s="20" t="n">
        <x:v>61.00146634501679</x:v>
      </x:c>
      <x:c r="M642" s="52" t="n">
        <x:v>0.18029949629041472</x:v>
      </x:c>
      <x:c r="N642" s="20" t="str">
        <x:v>Strong improvement</x:v>
      </x:c>
      <x:c r="O642" s="20" t="str">
        <x:v>Prototype retrieval heuristic; association is not proof of causality.</x:v>
      </x:c>
      <x:c r="P642" s="20" t="str">
        <x:v>YES</x:v>
      </x:c>
    </x:row>
    <x:row r="643">
      <x:c r="A643" s="20" t="str">
        <x:v>REC-C02</x:v>
      </x:c>
      <x:c r="B643" s="20" t="str">
        <x:v>Beneficiarios con mejora significativa en el outcome principal</x:v>
      </x:c>
      <x:c r="C643" s="20" t="n">
        <x:v>2</x:v>
      </x:c>
      <x:c r="D643" s="20" t="str">
        <x:v>OPS-003</x:v>
      </x:c>
      <x:c r="E643" s="20" t="str">
        <x:v>Mejora de habilidades psicosociales</x:v>
      </x:c>
      <x:c r="F643" s="20" t="str">
        <x:v>Strategic-map adjacent objective; Same department</x:v>
      </x:c>
      <x:c r="G643" s="20" t="n">
        <x:v>67</x:v>
      </x:c>
      <x:c r="H643" s="20" t="str">
        <x:v>Operaciones</x:v>
      </x:c>
      <x:c r="I643" s="20" t="str">
        <x:v>Resultados estratégicos</x:v>
      </x:c>
      <x:c r="J643" s="20" t="str">
        <x:v>S1. Generar impacto integral y medible</x:v>
      </x:c>
      <x:c r="K643" s="20" t="n">
        <x:v>30.6</x:v>
      </x:c>
      <x:c r="L643" s="20" t="n">
        <x:v>23.3</x:v>
      </x:c>
      <x:c r="M643" s="52" t="n">
        <x:v>0.3133047210300429</x:v>
      </x:c>
      <x:c r="N643" s="20" t="str">
        <x:v>Strong improvement</x:v>
      </x:c>
      <x:c r="O643" s="20" t="str">
        <x:v>Prototype retrieval heuristic; association is not proof of causality.</x:v>
      </x:c>
      <x:c r="P643" s="20" t="str">
        <x:v>YES</x:v>
      </x:c>
    </x:row>
    <x:row r="644">
      <x:c r="A644" s="20" t="str">
        <x:v>REC-C02</x:v>
      </x:c>
      <x:c r="B644" s="20" t="str">
        <x:v>Beneficiarios con mejora significativa en el outcome principal</x:v>
      </x:c>
      <x:c r="C644" s="20" t="n">
        <x:v>3</x:v>
      </x:c>
      <x:c r="D644" s="20" t="str">
        <x:v>OPS-004</x:v>
      </x:c>
      <x:c r="E644" s="20" t="str">
        <x:v>Mejora de habilidades deportivas</x:v>
      </x:c>
      <x:c r="F644" s="20" t="str">
        <x:v>Strategic-map adjacent objective; Same department</x:v>
      </x:c>
      <x:c r="G644" s="20" t="n">
        <x:v>67</x:v>
      </x:c>
      <x:c r="H644" s="20" t="str">
        <x:v>Operaciones</x:v>
      </x:c>
      <x:c r="I644" s="20" t="str">
        <x:v>Resultados estratégicos</x:v>
      </x:c>
      <x:c r="J644" s="20" t="str">
        <x:v>S1. Generar impacto integral y medible</x:v>
      </x:c>
      <x:c r="K644" s="20" t="n">
        <x:v>30.6</x:v>
      </x:c>
      <x:c r="L644" s="20" t="n">
        <x:v>23.3</x:v>
      </x:c>
      <x:c r="M644" s="52" t="n">
        <x:v>0.3133047210300429</x:v>
      </x:c>
      <x:c r="N644" s="20" t="str">
        <x:v>Strong improvement</x:v>
      </x:c>
      <x:c r="O644" s="20" t="str">
        <x:v>Prototype retrieval heuristic; association is not proof of causality.</x:v>
      </x:c>
      <x:c r="P644" s="20" t="str">
        <x:v>YES</x:v>
      </x:c>
    </x:row>
    <x:row r="645">
      <x:c r="A645" s="20" t="str">
        <x:v>REC-C02</x:v>
      </x:c>
      <x:c r="B645" s="20" t="str">
        <x:v>Beneficiarios con mejora significativa en el outcome principal</x:v>
      </x:c>
      <x:c r="C645" s="20" t="n">
        <x:v>4</x:v>
      </x:c>
      <x:c r="D645" s="20" t="str">
        <x:v>OPS-005</x:v>
      </x:c>
      <x:c r="E645" s="20" t="str">
        <x:v>Incremento del tiempo de actividad física de beneficiarios</x:v>
      </x:c>
      <x:c r="F645" s="20" t="str">
        <x:v>Strategic-map adjacent objective; Same department</x:v>
      </x:c>
      <x:c r="G645" s="20" t="n">
        <x:v>67</x:v>
      </x:c>
      <x:c r="H645" s="20" t="str">
        <x:v>Operaciones</x:v>
      </x:c>
      <x:c r="I645" s="20" t="str">
        <x:v>Resultados estratégicos</x:v>
      </x:c>
      <x:c r="J645" s="20" t="str">
        <x:v>S1. Generar impacto integral y medible</x:v>
      </x:c>
      <x:c r="K645" s="20" t="n">
        <x:v>30.596330275229356</x:v>
      </x:c>
      <x:c r="L645" s="20" t="n">
        <x:v>23.29935275080906</x:v>
      </x:c>
      <x:c r="M645" s="52" t="n">
        <x:v>0.31318370095782644</x:v>
      </x:c>
      <x:c r="N645" s="20" t="str">
        <x:v>Strong improvement</x:v>
      </x:c>
      <x:c r="O645" s="20" t="str">
        <x:v>Prototype retrieval heuristic; association is not proof of causality.</x:v>
      </x:c>
      <x:c r="P645" s="20" t="str">
        <x:v>YES</x:v>
      </x:c>
    </x:row>
    <x:row r="646">
      <x:c r="A646" s="20" t="str">
        <x:v>REC-C02</x:v>
      </x:c>
      <x:c r="B646" s="20" t="str">
        <x:v>Beneficiarios con mejora significativa en el outcome principal</x:v>
      </x:c>
      <x:c r="C646" s="20" t="n">
        <x:v>5</x:v>
      </x:c>
      <x:c r="D646" s="20" t="str">
        <x:v>OPS-010</x:v>
      </x:c>
      <x:c r="E646" s="20" t="str">
        <x:v>Incremento de actividad física — programa de nutrición</x:v>
      </x:c>
      <x:c r="F646" s="20" t="str">
        <x:v>Strategic-map adjacent objective; Same department</x:v>
      </x:c>
      <x:c r="G646" s="20" t="n">
        <x:v>67</x:v>
      </x:c>
      <x:c r="H646" s="20" t="str">
        <x:v>Operaciones</x:v>
      </x:c>
      <x:c r="I646" s="20" t="str">
        <x:v>Resultados estratégicos</x:v>
      </x:c>
      <x:c r="J646" s="20" t="str">
        <x:v>S1. Generar impacto integral y medible</x:v>
      </x:c>
      <x:c r="K646" s="20" t="n">
        <x:v>62.000000000000014</x:v>
      </x:c>
      <x:c r="L646" s="20" t="n">
        <x:v>51</x:v>
      </x:c>
      <x:c r="M646" s="52" t="n">
        <x:v>0.2156862745098042</x:v>
      </x:c>
      <x:c r="N646" s="20" t="str">
        <x:v>Strong improvement</x:v>
      </x:c>
      <x:c r="O646" s="20" t="str">
        <x:v>Prototype retrieval heuristic; association is not proof of causality.</x:v>
      </x:c>
      <x:c r="P646" s="20" t="str">
        <x:v>YES</x:v>
      </x:c>
    </x:row>
    <x:row r="647">
      <x:c r="A647" s="20" t="str">
        <x:v>REC-C02</x:v>
      </x:c>
      <x:c r="B647" s="20" t="str">
        <x:v>Beneficiarios con mejora significativa en el outcome principal</x:v>
      </x:c>
      <x:c r="C647" s="20" t="n">
        <x:v>6</x:v>
      </x:c>
      <x:c r="D647" s="20" t="str">
        <x:v>OPS-002</x:v>
      </x:c>
      <x:c r="E647" s="20" t="str">
        <x:v>Asistencia regular de beneficiarios</x:v>
      </x:c>
      <x:c r="F647" s="20" t="str">
        <x:v>Same department; Same BSC perspective</x:v>
      </x:c>
      <x:c r="G647" s="20" t="n">
        <x:v>35</x:v>
      </x:c>
      <x:c r="H647" s="20" t="str">
        <x:v>Operaciones</x:v>
      </x:c>
      <x:c r="I647" s="20" t="str">
        <x:v>Beneficiarios y grupos de interés</x:v>
      </x:c>
      <x:c r="J647" s="20" t="str">
        <x:v>C1. Incrementar alcance y acceso</x:v>
      </x:c>
      <x:c r="K647" s="20" t="n">
        <x:v>81.95555555555556</x:v>
      </x:c>
      <x:c r="L647" s="20" t="n">
        <x:v>70.98183624237264</x:v>
      </x:c>
      <x:c r="M647" s="52" t="n">
        <x:v>0.15459897762735192</x:v>
      </x:c>
      <x:c r="N647" s="20" t="str">
        <x:v>Strong improvement</x:v>
      </x:c>
      <x:c r="O647" s="20" t="str">
        <x:v>Prototype retrieval heuristic; association is not proof of causality.</x:v>
      </x:c>
      <x:c r="P647" s="20" t="str">
        <x:v>YES</x:v>
      </x:c>
    </x:row>
    <x:row r="648">
      <x:c r="A648" s="20" t="str">
        <x:v>REC-C02</x:v>
      </x:c>
      <x:c r="B648" s="20" t="str">
        <x:v>Beneficiarios con mejora significativa en el outcome principal</x:v>
      </x:c>
      <x:c r="C648" s="20" t="n">
        <x:v>7</x:v>
      </x:c>
      <x:c r="D648" s="20" t="str">
        <x:v>OPS-010B</x:v>
      </x:c>
      <x:c r="E648" s="20" t="str">
        <x:v>Cobertura de acceso al suplemento nutricional</x:v>
      </x:c>
      <x:c r="F648" s="20" t="str">
        <x:v>Strategic-map adjacent objective; Same department</x:v>
      </x:c>
      <x:c r="G648" s="20" t="n">
        <x:v>67</x:v>
      </x:c>
      <x:c r="H648" s="20" t="str">
        <x:v>Operaciones</x:v>
      </x:c>
      <x:c r="I648" s="20" t="str">
        <x:v>Resultados estratégicos</x:v>
      </x:c>
      <x:c r="J648" s="20" t="str">
        <x:v>S1. Generar impacto integral y medible</x:v>
      </x:c>
      <x:c r="K648" s="20" t="n">
        <x:v>100</x:v>
      </x:c>
      <x:c r="L648" s="20" t="n">
        <x:v>88.9514687100894</x:v>
      </x:c>
      <x:c r="M648" s="52" t="n">
        <x:v>0.12420853135005526</x:v>
      </x:c>
      <x:c r="N648" s="20" t="str">
        <x:v>Strong improvement</x:v>
      </x:c>
      <x:c r="O648" s="20" t="str">
        <x:v>Prototype retrieval heuristic; association is not proof of causality.</x:v>
      </x:c>
      <x:c r="P648" s="20" t="str">
        <x:v>YES</x:v>
      </x:c>
    </x:row>
    <x:row r="649">
      <x:c r="A649" s="20" t="str">
        <x:v>REC-C02</x:v>
      </x:c>
      <x:c r="B649" s="20" t="str">
        <x:v>Beneficiarios con mejora significativa en el outcome principal</x:v>
      </x:c>
      <x:c r="C649" s="20" t="n">
        <x:v>8</x:v>
      </x:c>
      <x:c r="D649" s="20" t="str">
        <x:v>OPS-009</x:v>
      </x:c>
      <x:c r="E649" s="20" t="str">
        <x:v>Cobertura de seguimiento nutricional con registros completos</x:v>
      </x:c>
      <x:c r="F649" s="20" t="str">
        <x:v>Strategic-map adjacent objective; Same department</x:v>
      </x:c>
      <x:c r="G649" s="20" t="n">
        <x:v>65</x:v>
      </x:c>
      <x:c r="H649" s="20" t="str">
        <x:v>Operaciones</x:v>
      </x:c>
      <x:c r="I649" s="20" t="str">
        <x:v>Procesos internos</x:v>
      </x:c>
      <x:c r="J649" s="20" t="str">
        <x:v>P2. Fortalecer medición de impacto</x:v>
      </x:c>
      <x:c r="K649" s="20" t="n">
        <x:v>96</x:v>
      </x:c>
      <x:c r="L649" s="20" t="n">
        <x:v>84.01745423584504</x:v>
      </x:c>
      <x:c r="M649" s="52" t="n">
        <x:v>0.14261971959444059</x:v>
      </x:c>
      <x:c r="N649" s="20" t="str">
        <x:v>Strong improvement</x:v>
      </x:c>
      <x:c r="O649" s="20" t="str">
        <x:v>Prototype retrieval heuristic; association is not proof of causality.</x:v>
      </x:c>
      <x:c r="P649" s="20" t="str">
        <x:v>YES</x:v>
      </x:c>
    </x:row>
    <x:row r="650">
      <x:c r="A650" s="20" t="str">
        <x:v>REC-C03</x:v>
      </x:c>
      <x:c r="B650" s="20" t="str">
        <x:v>Cumplimiento institucional en plazo</x:v>
      </x:c>
      <x:c r="C650" s="20" t="n">
        <x:v>1</x:v>
      </x:c>
      <x:c r="D650" s="20" t="str">
        <x:v>REC-M03</x:v>
      </x:c>
      <x:c r="E650" s="20" t="str">
        <x:v>Contenido de impacto con evidencia verificable</x:v>
      </x:c>
      <x:c r="F650" s="20" t="str">
        <x:v>Same strategic objective; Same BSC perspective</x:v>
      </x:c>
      <x:c r="G650" s="20" t="n">
        <x:v>62</x:v>
      </x:c>
      <x:c r="H650" s="20" t="str">
        <x:v>Marketing y Comunicación</x:v>
      </x:c>
      <x:c r="I650" s="20" t="str">
        <x:v>Beneficiarios y grupos de interés</x:v>
      </x:c>
      <x:c r="J650" s="20" t="str">
        <x:v>C3. Fortalecer confianza y credibilidad institucional</x:v>
      </x:c>
      <x:c r="K650" s="20" t="n">
        <x:v>100</x:v>
      </x:c>
      <x:c r="L650" s="20" t="n">
        <x:v>89.21401340466089</x:v>
      </x:c>
      <x:c r="M650" s="52" t="n">
        <x:v>0.12090013870820443</x:v>
      </x:c>
      <x:c r="N650" s="20" t="str">
        <x:v>Strong improvement</x:v>
      </x:c>
      <x:c r="O650" s="20" t="str">
        <x:v>Prototype retrieval heuristic; association is not proof of causality.</x:v>
      </x:c>
      <x:c r="P650" s="20" t="str">
        <x:v>YES</x:v>
      </x:c>
    </x:row>
    <x:row r="651">
      <x:c r="A651" s="20" t="str">
        <x:v>REC-C03</x:v>
      </x:c>
      <x:c r="B651" s="20" t="str">
        <x:v>Cumplimiento institucional en plazo</x:v>
      </x:c>
      <x:c r="C651" s="20" t="n">
        <x:v>2</x:v>
      </x:c>
      <x:c r="D651" s="20" t="str">
        <x:v>ADM-006</x:v>
      </x:c>
      <x:c r="E651" s="20" t="str">
        <x:v>Informes regulatorios presentados en tiempo y forma</x:v>
      </x:c>
      <x:c r="F651" s="20" t="str">
        <x:v>Same strategic objective; Same BSC perspective</x:v>
      </x:c>
      <x:c r="G651" s="20" t="n">
        <x:v>60</x:v>
      </x:c>
      <x:c r="H651" s="20" t="str">
        <x:v>Administración</x:v>
      </x:c>
      <x:c r="I651" s="20" t="str">
        <x:v>Beneficiarios y grupos de interés</x:v>
      </x:c>
      <x:c r="J651" s="20" t="str">
        <x:v>C3. Fortalecer confianza y credibilidad institucional</x:v>
      </x:c>
      <x:c r="K651" s="20" t="n">
        <x:v>100</x:v>
      </x:c>
      <x:c r="L651" s="20" t="n">
        <x:v>88.9514687100894</x:v>
      </x:c>
      <x:c r="M651" s="52" t="n">
        <x:v>0.12420853135005526</x:v>
      </x:c>
      <x:c r="N651" s="20" t="str">
        <x:v>Strong improvement</x:v>
      </x:c>
      <x:c r="O651" s="20" t="str">
        <x:v>Prototype retrieval heuristic; association is not proof of causality.</x:v>
      </x:c>
      <x:c r="P651" s="20" t="str">
        <x:v>YES</x:v>
      </x:c>
    </x:row>
    <x:row r="652">
      <x:c r="A652" s="20" t="str">
        <x:v>REC-C03</x:v>
      </x:c>
      <x:c r="B652" s="20" t="str">
        <x:v>Cumplimiento institucional en plazo</x:v>
      </x:c>
      <x:c r="C652" s="20" t="n">
        <x:v>3</x:v>
      </x:c>
      <x:c r="D652" s="20" t="str">
        <x:v>ADM-008</x:v>
      </x:c>
      <x:c r="E652" s="20" t="str">
        <x:v>Acreditaciones institucionales renovadas antes de vencimiento</x:v>
      </x:c>
      <x:c r="F652" s="20" t="str">
        <x:v>Same strategic objective; Same BSC perspective</x:v>
      </x:c>
      <x:c r="G652" s="20" t="n">
        <x:v>60</x:v>
      </x:c>
      <x:c r="H652" s="20" t="str">
        <x:v>Administración</x:v>
      </x:c>
      <x:c r="I652" s="20" t="str">
        <x:v>Beneficiarios y grupos de interés</x:v>
      </x:c>
      <x:c r="J652" s="20" t="str">
        <x:v>C3. Fortalecer confianza y credibilidad institucional</x:v>
      </x:c>
      <x:c r="K652" s="20" t="n">
        <x:v>100</x:v>
      </x:c>
      <x:c r="L652" s="20" t="n">
        <x:v>89.3483709273183</x:v>
      </x:c>
      <x:c r="M652" s="52" t="n">
        <x:v>0.11921458625525942</x:v>
      </x:c>
      <x:c r="N652" s="20" t="str">
        <x:v>Strong improvement</x:v>
      </x:c>
      <x:c r="O652" s="20" t="str">
        <x:v>Prototype retrieval heuristic; association is not proof of causality.</x:v>
      </x:c>
      <x:c r="P652" s="20" t="str">
        <x:v>YES</x:v>
      </x:c>
    </x:row>
    <x:row r="653">
      <x:c r="A653" s="20" t="str">
        <x:v>REC-C03</x:v>
      </x:c>
      <x:c r="B653" s="20" t="str">
        <x:v>Cumplimiento institucional en plazo</x:v>
      </x:c>
      <x:c r="C653" s="20" t="n">
        <x:v>4</x:v>
      </x:c>
      <x:c r="D653" s="20" t="str">
        <x:v>REC-P02</x:v>
      </x:c>
      <x:c r="E653" s="20" t="str">
        <x:v>Cobertura de medición de impacto</x:v>
      </x:c>
      <x:c r="F653" s="20" t="str">
        <x:v>Strategic-map adjacent objective</x:v>
      </x:c>
      <x:c r="G653" s="20" t="n">
        <x:v>42</x:v>
      </x:c>
      <x:c r="H653" s="20" t="str">
        <x:v>Operaciones</x:v>
      </x:c>
      <x:c r="I653" s="20" t="str">
        <x:v>Procesos internos</x:v>
      </x:c>
      <x:c r="J653" s="20" t="str">
        <x:v>P2. Fortalecer medición de impacto</x:v>
      </x:c>
      <x:c r="K653" s="20" t="n">
        <x:v>100</x:v>
      </x:c>
      <x:c r="L653" s="20" t="n">
        <x:v>88.9514687100894</x:v>
      </x:c>
      <x:c r="M653" s="52" t="n">
        <x:v>0.12420853135005526</x:v>
      </x:c>
      <x:c r="N653" s="20" t="str">
        <x:v>Strong improvement</x:v>
      </x:c>
      <x:c r="O653" s="20" t="str">
        <x:v>Prototype retrieval heuristic; association is not proof of causality.</x:v>
      </x:c>
      <x:c r="P653" s="20" t="str">
        <x:v>YES</x:v>
      </x:c>
    </x:row>
    <x:row r="654">
      <x:c r="A654" s="20" t="str">
        <x:v>REC-C03</x:v>
      </x:c>
      <x:c r="B654" s="20" t="str">
        <x:v>Cumplimiento institucional en plazo</x:v>
      </x:c>
      <x:c r="C654" s="20" t="n">
        <x:v>5</x:v>
      </x:c>
      <x:c r="D654" s="20" t="str">
        <x:v>REC-P04</x:v>
      </x:c>
      <x:c r="E654" s="20" t="str">
        <x:v>Cumplimiento agregado de SLA administrativos</x:v>
      </x:c>
      <x:c r="F654" s="20" t="str">
        <x:v>Strategic-map adjacent objective</x:v>
      </x:c>
      <x:c r="G654" s="20" t="n">
        <x:v>42</x:v>
      </x:c>
      <x:c r="H654" s="20" t="str">
        <x:v>Administración</x:v>
      </x:c>
      <x:c r="I654" s="20" t="str">
        <x:v>Procesos internos</x:v>
      </x:c>
      <x:c r="J654" s="20" t="str">
        <x:v>P4. Simplificar y digitalizar procesos</x:v>
      </x:c>
      <x:c r="K654" s="20" t="n">
        <x:v>96</x:v>
      </x:c>
      <x:c r="L654" s="20" t="n">
        <x:v>84.01745423584504</x:v>
      </x:c>
      <x:c r="M654" s="52" t="n">
        <x:v>0.14261971959444059</x:v>
      </x:c>
      <x:c r="N654" s="20" t="str">
        <x:v>Strong improvement</x:v>
      </x:c>
      <x:c r="O654" s="20" t="str">
        <x:v>Prototype retrieval heuristic; association is not proof of causality.</x:v>
      </x:c>
      <x:c r="P654" s="20" t="str">
        <x:v>YES</x:v>
      </x:c>
    </x:row>
    <x:row r="655">
      <x:c r="A655" s="20" t="str">
        <x:v>REC-C03</x:v>
      </x:c>
      <x:c r="B655" s="20" t="str">
        <x:v>Cumplimiento institucional en plazo</x:v>
      </x:c>
      <x:c r="C655" s="20" t="n">
        <x:v>6</x:v>
      </x:c>
      <x:c r="D655" s="20" t="str">
        <x:v>ADM-010</x:v>
      </x:c>
      <x:c r="E655" s="20" t="str">
        <x:v>Países con ruta de acreditación regulatoria definida y validada</x:v>
      </x:c>
      <x:c r="F655" s="20" t="str">
        <x:v>Same strategic objective; Same BSC perspective</x:v>
      </x:c>
      <x:c r="G655" s="20" t="n">
        <x:v>60</x:v>
      </x:c>
      <x:c r="H655" s="20" t="str">
        <x:v>Administración</x:v>
      </x:c>
      <x:c r="I655" s="20" t="str">
        <x:v>Beneficiarios y grupos de interés</x:v>
      </x:c>
      <x:c r="J655" s="20" t="str">
        <x:v>C3. Fortalecer confianza y credibilidad institucional</x:v>
      </x:c>
      <x:c r="K655" s="20" t="n">
        <x:v>100</x:v>
      </x:c>
      <x:c r="L655" s="20" t="n">
        <x:v>91.66666666666667</x:v>
      </x:c>
      <x:c r="M655" s="52" t="n">
        <x:v>0.09090909090909086</x:v>
      </x:c>
      <x:c r="N655" s="20" t="str">
        <x:v>Improving</x:v>
      </x:c>
      <x:c r="O655" s="20" t="str">
        <x:v>Prototype retrieval heuristic; association is not proof of causality.</x:v>
      </x:c>
      <x:c r="P655" s="20" t="str">
        <x:v>YES</x:v>
      </x:c>
    </x:row>
    <x:row r="656">
      <x:c r="A656" s="20" t="str">
        <x:v>REC-C03</x:v>
      </x:c>
      <x:c r="B656" s="20" t="str">
        <x:v>Cumplimiento institucional en plazo</x:v>
      </x:c>
      <x:c r="C656" s="20" t="n">
        <x:v>7</x:v>
      </x:c>
      <x:c r="D656" s="20" t="str">
        <x:v>LEG-010</x:v>
      </x:c>
      <x:c r="E656" s="20" t="str">
        <x:v>Cumplimiento jurídico-fiscal de comunicaciones institucionales</x:v>
      </x:c>
      <x:c r="F656" s="20" t="str">
        <x:v>Same strategic objective; Same BSC perspective</x:v>
      </x:c>
      <x:c r="G656" s="20" t="n">
        <x:v>60</x:v>
      </x:c>
      <x:c r="H656" s="20" t="str">
        <x:v>Jurídico</x:v>
      </x:c>
      <x:c r="I656" s="20" t="str">
        <x:v>Beneficiarios y grupos de interés</x:v>
      </x:c>
      <x:c r="J656" s="20" t="str">
        <x:v>C3. Fortalecer confianza y credibilidad institucional</x:v>
      </x:c>
      <x:c r="K656" s="20" t="n">
        <x:v>100</x:v>
      </x:c>
      <x:c r="L656" s="20" t="n">
        <x:v>89.21401340466089</x:v>
      </x:c>
      <x:c r="M656" s="52" t="n">
        <x:v>0.12090013870820443</x:v>
      </x:c>
      <x:c r="N656" s="20" t="str">
        <x:v>Strong improvement</x:v>
      </x:c>
      <x:c r="O656" s="20" t="str">
        <x:v>Prototype retrieval heuristic; association is not proof of causality.</x:v>
      </x:c>
      <x:c r="P656" s="20" t="str">
        <x:v>YES</x:v>
      </x:c>
    </x:row>
    <x:row r="657">
      <x:c r="A657" s="20" t="str">
        <x:v>REC-C03</x:v>
      </x:c>
      <x:c r="B657" s="20" t="str">
        <x:v>Cumplimiento institucional en plazo</x:v>
      </x:c>
      <x:c r="C657" s="20" t="n">
        <x:v>8</x:v>
      </x:c>
      <x:c r="D657" s="20" t="str">
        <x:v>LEG-012</x:v>
      </x:c>
      <x:c r="E657" s="20" t="str">
        <x:v>Países objetivo con autorización fiscal para recibir donativos deducibles</x:v>
      </x:c>
      <x:c r="F657" s="20" t="str">
        <x:v>Same strategic objective; Same BSC perspective</x:v>
      </x:c>
      <x:c r="G657" s="20" t="n">
        <x:v>60</x:v>
      </x:c>
      <x:c r="H657" s="20" t="str">
        <x:v>Jurídico</x:v>
      </x:c>
      <x:c r="I657" s="20" t="str">
        <x:v>Beneficiarios y grupos de interés</x:v>
      </x:c>
      <x:c r="J657" s="20" t="str">
        <x:v>C3. Fortalecer confianza y credibilidad institucional</x:v>
      </x:c>
      <x:c r="K657" s="20" t="n">
        <x:v>100</x:v>
      </x:c>
      <x:c r="L657" s="20" t="n">
        <x:v>91.66666666666667</x:v>
      </x:c>
      <x:c r="M657" s="52" t="n">
        <x:v>0.09090909090909086</x:v>
      </x:c>
      <x:c r="N657" s="20" t="str">
        <x:v>Improving</x:v>
      </x:c>
      <x:c r="O657" s="20" t="str">
        <x:v>Prototype retrieval heuristic; association is not proof of causality.</x:v>
      </x:c>
      <x:c r="P657" s="20" t="str">
        <x:v>YES</x:v>
      </x:c>
    </x:row>
    <x:row r="658">
      <x:c r="A658" s="20" t="str">
        <x:v>REC-C04</x:v>
      </x:c>
      <x:c r="B658" s="20" t="str">
        <x:v>Retención de aliados estratégicos activos</x:v>
      </x:c>
      <x:c r="C658" s="20" t="n">
        <x:v>1</x:v>
      </x:c>
      <x:c r="D658" s="20" t="str">
        <x:v>FND-010</x:v>
      </x:c>
      <x:c r="E658" s="20" t="str">
        <x:v>Participación de staff en voluntariado corporativo</x:v>
      </x:c>
      <x:c r="F658" s="20" t="str">
        <x:v>Same strategic objective; Same department; Same BSC perspective</x:v>
      </x:c>
      <x:c r="G658" s="20" t="n">
        <x:v>85</x:v>
      </x:c>
      <x:c r="H658" s="20" t="str">
        <x:v>Procuración de Fondos</x:v>
      </x:c>
      <x:c r="I658" s="20" t="str">
        <x:v>Beneficiarios y grupos de interés</x:v>
      </x:c>
      <x:c r="J658" s="20" t="str">
        <x:v>C4. Fortalecer relación con donantes, aliados y comunidades</x:v>
      </x:c>
      <x:c r="K658" s="20" t="n">
        <x:v>26</x:v>
      </x:c>
      <x:c r="L658" s="20" t="n">
        <x:v>19.333333333333332</x:v>
      </x:c>
      <x:c r="M658" s="52" t="n">
        <x:v>0.34482758620689663</x:v>
      </x:c>
      <x:c r="N658" s="20" t="str">
        <x:v>Strong improvement</x:v>
      </x:c>
      <x:c r="O658" s="20" t="str">
        <x:v>Prototype retrieval heuristic; association is not proof of causality.</x:v>
      </x:c>
      <x:c r="P658" s="20" t="str">
        <x:v>YES</x:v>
      </x:c>
    </x:row>
    <x:row r="659">
      <x:c r="A659" s="20" t="str">
        <x:v>REC-C04</x:v>
      </x:c>
      <x:c r="B659" s="20" t="str">
        <x:v>Retención de aliados estratégicos activos</x:v>
      </x:c>
      <x:c r="C659" s="20" t="n">
        <x:v>2</x:v>
      </x:c>
      <x:c r="D659" s="20" t="str">
        <x:v>FND-012</x:v>
      </x:c>
      <x:c r="E659" s="20" t="str">
        <x:v>Participación de empresarios EOS en voluntariado</x:v>
      </x:c>
      <x:c r="F659" s="20" t="str">
        <x:v>Same strategic objective; Same department; Same BSC perspective</x:v>
      </x:c>
      <x:c r="G659" s="20" t="n">
        <x:v>85</x:v>
      </x:c>
      <x:c r="H659" s="20" t="str">
        <x:v>Procuración de Fondos</x:v>
      </x:c>
      <x:c r="I659" s="20" t="str">
        <x:v>Beneficiarios y grupos de interés</x:v>
      </x:c>
      <x:c r="J659" s="20" t="str">
        <x:v>C4. Fortalecer relación con donantes, aliados y comunidades</x:v>
      </x:c>
      <x:c r="K659" s="20" t="n">
        <x:v>15</x:v>
      </x:c>
      <x:c r="L659" s="20" t="n">
        <x:v>12</x:v>
      </x:c>
      <x:c r="M659" s="52" t="n">
        <x:v>0.25</x:v>
      </x:c>
      <x:c r="N659" s="20" t="str">
        <x:v>Strong improvement</x:v>
      </x:c>
      <x:c r="O659" s="20" t="str">
        <x:v>Prototype retrieval heuristic; association is not proof of causality.</x:v>
      </x:c>
      <x:c r="P659" s="20" t="str">
        <x:v>YES</x:v>
      </x:c>
    </x:row>
    <x:row r="660">
      <x:c r="A660" s="20" t="str">
        <x:v>REC-C04</x:v>
      </x:c>
      <x:c r="B660" s="20" t="str">
        <x:v>Retención de aliados estratégicos activos</x:v>
      </x:c>
      <x:c r="C660" s="20" t="n">
        <x:v>3</x:v>
      </x:c>
      <x:c r="D660" s="20" t="str">
        <x:v>MKT-007</x:v>
      </x:c>
      <x:c r="E660" s="20" t="str">
        <x:v>Embajadores Omnilife activos en campaña de nutrición</x:v>
      </x:c>
      <x:c r="F660" s="20" t="str">
        <x:v>Same strategic objective; Same BSC perspective</x:v>
      </x:c>
      <x:c r="G660" s="20" t="n">
        <x:v>60</x:v>
      </x:c>
      <x:c r="H660" s="20" t="str">
        <x:v>Marketing y Comunicación</x:v>
      </x:c>
      <x:c r="I660" s="20" t="str">
        <x:v>Beneficiarios y grupos de interés</x:v>
      </x:c>
      <x:c r="J660" s="20" t="str">
        <x:v>C4. Fortalecer relación con donantes, aliados y comunidades</x:v>
      </x:c>
      <x:c r="K660" s="20" t="n">
        <x:v>100</x:v>
      </x:c>
      <x:c r="L660" s="20" t="n">
        <x:v>88.71031746031747</x:v>
      </x:c>
      <x:c r="M660" s="52" t="n">
        <x:v>0.12726459405054785</x:v>
      </x:c>
      <x:c r="N660" s="20" t="str">
        <x:v>Strong improvement</x:v>
      </x:c>
      <x:c r="O660" s="20" t="str">
        <x:v>Prototype retrieval heuristic; association is not proof of causality.</x:v>
      </x:c>
      <x:c r="P660" s="20" t="str">
        <x:v>YES</x:v>
      </x:c>
    </x:row>
    <x:row r="661">
      <x:c r="A661" s="20" t="str">
        <x:v>REC-C04</x:v>
      </x:c>
      <x:c r="B661" s="20" t="str">
        <x:v>Retención de aliados estratégicos activos</x:v>
      </x:c>
      <x:c r="C661" s="20" t="n">
        <x:v>4</x:v>
      </x:c>
      <x:c r="D661" s="20" t="str">
        <x:v>REC-P07</x:v>
      </x:c>
      <x:c r="E661" s="20" t="str">
        <x:v>Conversión de alianzas estratégicas a recursos o capacidad programática</x:v>
      </x:c>
      <x:c r="F661" s="20" t="str">
        <x:v>Strategic-map adjacent objective; Same department</x:v>
      </x:c>
      <x:c r="G661" s="20" t="n">
        <x:v>67</x:v>
      </x:c>
      <x:c r="H661" s="20" t="str">
        <x:v>Procuración de Fondos</x:v>
      </x:c>
      <x:c r="I661" s="20" t="str">
        <x:v>Procesos internos</x:v>
      </x:c>
      <x:c r="J661" s="20" t="str">
        <x:v>P6. Construir ecosistema de alianzas</x:v>
      </x:c>
      <x:c r="K661" s="20" t="n">
        <x:v>72</x:v>
      </x:c>
      <x:c r="L661" s="20" t="n">
        <x:v>61.16347381864623</x:v>
      </x:c>
      <x:c r="M661" s="52" t="n">
        <x:v>0.17717316406005307</x:v>
      </x:c>
      <x:c r="N661" s="20" t="str">
        <x:v>Strong improvement</x:v>
      </x:c>
      <x:c r="O661" s="20" t="str">
        <x:v>Prototype retrieval heuristic; association is not proof of causality.</x:v>
      </x:c>
      <x:c r="P661" s="20" t="str">
        <x:v>YES</x:v>
      </x:c>
    </x:row>
    <x:row r="662">
      <x:c r="A662" s="20" t="str">
        <x:v>REC-C04</x:v>
      </x:c>
      <x:c r="B662" s="20" t="str">
        <x:v>Retención de aliados estratégicos activos</x:v>
      </x:c>
      <x:c r="C662" s="20" t="n">
        <x:v>5</x:v>
      </x:c>
      <x:c r="D662" s="20" t="str">
        <x:v>FND-016</x:v>
      </x:c>
      <x:c r="E662" s="20" t="str">
        <x:v>Nuevas alianzas estratégicas activas por país</x:v>
      </x:c>
      <x:c r="F662" s="20" t="str">
        <x:v>Strategic-map adjacent objective; Same department</x:v>
      </x:c>
      <x:c r="G662" s="20" t="n">
        <x:v>65</x:v>
      </x:c>
      <x:c r="H662" s="20" t="str">
        <x:v>Procuración de Fondos</x:v>
      </x:c>
      <x:c r="I662" s="20" t="str">
        <x:v>Procesos internos</x:v>
      </x:c>
      <x:c r="J662" s="20" t="str">
        <x:v>P6. Construir ecosistema de alianzas</x:v>
      </x:c>
      <x:c r="K662" s="20" t="n">
        <x:v>4</x:v>
      </x:c>
      <x:c r="L662" s="20" t="n">
        <x:v>2.6666666666666665</x:v>
      </x:c>
      <x:c r="M662" s="52" t="n">
        <x:v>0.5000000000000001</x:v>
      </x:c>
      <x:c r="N662" s="20" t="str">
        <x:v>Strong improvement</x:v>
      </x:c>
      <x:c r="O662" s="20" t="str">
        <x:v>Prototype retrieval heuristic; association is not proof of causality.</x:v>
      </x:c>
      <x:c r="P662" s="20" t="str">
        <x:v>YES</x:v>
      </x:c>
    </x:row>
    <x:row r="663">
      <x:c r="A663" s="20" t="str">
        <x:v>REC-C04</x:v>
      </x:c>
      <x:c r="B663" s="20" t="str">
        <x:v>Retención de aliados estratégicos activos</x:v>
      </x:c>
      <x:c r="C663" s="20" t="n">
        <x:v>6</x:v>
      </x:c>
      <x:c r="D663" s="20" t="str">
        <x:v>FND-001</x:v>
      </x:c>
      <x:c r="E663" s="20" t="str">
        <x:v>Fondos recaudados — Tu Donativo x2 (Chivas)</x:v>
      </x:c>
      <x:c r="F663" s="20" t="str">
        <x:v>Same department</x:v>
      </x:c>
      <x:c r="G663" s="20" t="n">
        <x:v>27</x:v>
      </x:c>
      <x:c r="H663" s="20" t="str">
        <x:v>Procuración de Fondos</x:v>
      </x:c>
      <x:c r="I663" s="20" t="str">
        <x:v>Sostenibilidad financiera</x:v>
      </x:c>
      <x:c r="J663" s="20" t="str">
        <x:v>F1. Diversificar y aumentar fuentes</x:v>
      </x:c>
      <x:c r="K663" s="20" t="n">
        <x:v>40800</x:v>
      </x:c>
      <x:c r="L663" s="20" t="n">
        <x:v>31333.333333333332</x:v>
      </x:c>
      <x:c r="M663" s="52" t="n">
        <x:v>0.30212765957446813</x:v>
      </x:c>
      <x:c r="N663" s="20" t="str">
        <x:v>Strong improvement</x:v>
      </x:c>
      <x:c r="O663" s="20" t="str">
        <x:v>Prototype retrieval heuristic; association is not proof of causality.</x:v>
      </x:c>
      <x:c r="P663" s="20" t="str">
        <x:v>YES</x:v>
      </x:c>
    </x:row>
    <x:row r="664">
      <x:c r="A664" s="20" t="str">
        <x:v>REC-C04</x:v>
      </x:c>
      <x:c r="B664" s="20" t="str">
        <x:v>Retención de aliados estratégicos activos</x:v>
      </x:c>
      <x:c r="C664" s="20" t="n">
        <x:v>7</x:v>
      </x:c>
      <x:c r="D664" s="20" t="str">
        <x:v>FND-002</x:v>
      </x:c>
      <x:c r="E664" s="20" t="str">
        <x:v>Fondos recaudados — ¿Cuánto vale una sonrisa? México</x:v>
      </x:c>
      <x:c r="F664" s="20" t="str">
        <x:v>Same department</x:v>
      </x:c>
      <x:c r="G664" s="20" t="n">
        <x:v>27</x:v>
      </x:c>
      <x:c r="H664" s="20" t="str">
        <x:v>Procuración de Fondos</x:v>
      </x:c>
      <x:c r="I664" s="20" t="str">
        <x:v>Sostenibilidad financiera</x:v>
      </x:c>
      <x:c r="J664" s="20" t="str">
        <x:v>F1. Diversificar y aumentar fuentes</x:v>
      </x:c>
      <x:c r="K664" s="20" t="n">
        <x:v>100</x:v>
      </x:c>
      <x:c r="L664" s="20" t="n">
        <x:v>359989</x:v>
      </x:c>
      <x:c r="M664" s="52" t="n">
        <x:v>-0.9997222137343086</x:v>
      </x:c>
      <x:c r="N664" s="20" t="str">
        <x:v>Deteriorating</x:v>
      </x:c>
      <x:c r="O664" s="20" t="str">
        <x:v>Prototype retrieval heuristic; association is not proof of causality.</x:v>
      </x:c>
      <x:c r="P664" s="20" t="str">
        <x:v>YES</x:v>
      </x:c>
    </x:row>
    <x:row r="665">
      <x:c r="A665" s="20" t="str">
        <x:v>REC-C04</x:v>
      </x:c>
      <x:c r="B665" s="20" t="str">
        <x:v>Retención de aliados estratégicos activos</x:v>
      </x:c>
      <x:c r="C665" s="20" t="n">
        <x:v>8</x:v>
      </x:c>
      <x:c r="D665" s="20" t="str">
        <x:v>REC-C02</x:v>
      </x:c>
      <x:c r="E665" s="20" t="str">
        <x:v>Beneficiarios con mejora significativa en el outcome principal</x:v>
      </x:c>
      <x:c r="F665" s="20" t="str">
        <x:v>Same BSC perspective</x:v>
      </x:c>
      <x:c r="G665" s="20" t="n">
        <x:v>12</x:v>
      </x:c>
      <x:c r="H665" s="20" t="str">
        <x:v>Operaciones</x:v>
      </x:c>
      <x:c r="I665" s="20" t="str">
        <x:v>Beneficiarios y grupos de interés</x:v>
      </x:c>
      <x:c r="J665" s="20" t="str">
        <x:v>C2. Mejorar resultados obtenidos</x:v>
      </x:c>
      <x:c r="K665" s="20" t="n">
        <x:v>88</x:v>
      </x:c>
      <x:c r="L665" s="20" t="n">
        <x:v>74.33522539141951</x:v>
      </x:c>
      <x:c r="M665" s="52" t="n">
        <x:v>0.18382636948535852</x:v>
      </x:c>
      <x:c r="N665" s="20" t="str">
        <x:v>Strong improvement</x:v>
      </x:c>
      <x:c r="O665" s="20" t="str">
        <x:v>Prototype retrieval heuristic; association is not proof of causality.</x:v>
      </x:c>
      <x:c r="P665" s="20" t="str">
        <x:v>YES</x:v>
      </x:c>
    </x:row>
    <x:row r="666">
      <x:c r="A666" s="20" t="str">
        <x:v>REC-F01</x:v>
      </x:c>
      <x:c r="B666" s="20" t="str">
        <x:v>Cumplimiento de meta total de procuración</x:v>
      </x:c>
      <x:c r="C666" s="20" t="n">
        <x:v>1</x:v>
      </x:c>
      <x:c r="D666" s="20" t="str">
        <x:v>FND-001</x:v>
      </x:c>
      <x:c r="E666" s="20" t="str">
        <x:v>Fondos recaudados — Tu Donativo x2 (Chivas)</x:v>
      </x:c>
      <x:c r="F666" s="20" t="str">
        <x:v>Same strategic objective; Same department; Same BSC perspective</x:v>
      </x:c>
      <x:c r="G666" s="20" t="n">
        <x:v>87</x:v>
      </x:c>
      <x:c r="H666" s="20" t="str">
        <x:v>Procuración de Fondos</x:v>
      </x:c>
      <x:c r="I666" s="20" t="str">
        <x:v>Sostenibilidad financiera</x:v>
      </x:c>
      <x:c r="J666" s="20" t="str">
        <x:v>F1. Diversificar y aumentar fuentes</x:v>
      </x:c>
      <x:c r="K666" s="20" t="n">
        <x:v>40800</x:v>
      </x:c>
      <x:c r="L666" s="20" t="n">
        <x:v>31333.333333333332</x:v>
      </x:c>
      <x:c r="M666" s="52" t="n">
        <x:v>0.30212765957446813</x:v>
      </x:c>
      <x:c r="N666" s="20" t="str">
        <x:v>Strong improvement</x:v>
      </x:c>
      <x:c r="O666" s="20" t="str">
        <x:v>Prototype retrieval heuristic; association is not proof of causality.</x:v>
      </x:c>
      <x:c r="P666" s="20" t="str">
        <x:v>YES</x:v>
      </x:c>
    </x:row>
    <x:row r="667">
      <x:c r="A667" s="20" t="str">
        <x:v>REC-F01</x:v>
      </x:c>
      <x:c r="B667" s="20" t="str">
        <x:v>Cumplimiento de meta total de procuración</x:v>
      </x:c>
      <x:c r="C667" s="20" t="n">
        <x:v>2</x:v>
      </x:c>
      <x:c r="D667" s="20" t="str">
        <x:v>FND-002</x:v>
      </x:c>
      <x:c r="E667" s="20" t="str">
        <x:v>Fondos recaudados — ¿Cuánto vale una sonrisa? México</x:v>
      </x:c>
      <x:c r="F667" s="20" t="str">
        <x:v>Same strategic objective; Same department; Same BSC perspective</x:v>
      </x:c>
      <x:c r="G667" s="20" t="n">
        <x:v>87</x:v>
      </x:c>
      <x:c r="H667" s="20" t="str">
        <x:v>Procuración de Fondos</x:v>
      </x:c>
      <x:c r="I667" s="20" t="str">
        <x:v>Sostenibilidad financiera</x:v>
      </x:c>
      <x:c r="J667" s="20" t="str">
        <x:v>F1. Diversificar y aumentar fuentes</x:v>
      </x:c>
      <x:c r="K667" s="20" t="n">
        <x:v>100</x:v>
      </x:c>
      <x:c r="L667" s="20" t="n">
        <x:v>359989</x:v>
      </x:c>
      <x:c r="M667" s="52" t="n">
        <x:v>-0.9997222137343086</x:v>
      </x:c>
      <x:c r="N667" s="20" t="str">
        <x:v>Deteriorating</x:v>
      </x:c>
      <x:c r="O667" s="20" t="str">
        <x:v>Prototype retrieval heuristic; association is not proof of causality.</x:v>
      </x:c>
      <x:c r="P667" s="20" t="str">
        <x:v>YES</x:v>
      </x:c>
    </x:row>
    <x:row r="668">
      <x:c r="A668" s="20" t="str">
        <x:v>REC-F01</x:v>
      </x:c>
      <x:c r="B668" s="20" t="str">
        <x:v>Cumplimiento de meta total de procuración</x:v>
      </x:c>
      <x:c r="C668" s="20" t="n">
        <x:v>3</x:v>
      </x:c>
      <x:c r="D668" s="20" t="str">
        <x:v>FND-003</x:v>
      </x:c>
      <x:c r="E668" s="20" t="str">
        <x:v>Fondos recaudados — ¿Cuánto vale una sonrisa? USA</x:v>
      </x:c>
      <x:c r="F668" s="20" t="str">
        <x:v>Same strategic objective; Same department; Same BSC perspective</x:v>
      </x:c>
      <x:c r="G668" s="20" t="n">
        <x:v>87</x:v>
      </x:c>
      <x:c r="H668" s="20" t="str">
        <x:v>Procuración de Fondos</x:v>
      </x:c>
      <x:c r="I668" s="20" t="str">
        <x:v>Sostenibilidad financiera</x:v>
      </x:c>
      <x:c r="J668" s="20" t="str">
        <x:v>F1. Diversificar y aumentar fuentes</x:v>
      </x:c>
      <x:c r="K668" s="20" t="n">
        <x:v>100</x:v>
      </x:c>
      <x:c r="L668" s="20" t="n">
        <x:v>29989</x:v>
      </x:c>
      <x:c r="M668" s="52" t="n">
        <x:v>-0.9966654439961319</x:v>
      </x:c>
      <x:c r="N668" s="20" t="str">
        <x:v>Deteriorating</x:v>
      </x:c>
      <x:c r="O668" s="20" t="str">
        <x:v>Prototype retrieval heuristic; association is not proof of causality.</x:v>
      </x:c>
      <x:c r="P668" s="20" t="str">
        <x:v>YES</x:v>
      </x:c>
    </x:row>
    <x:row r="669">
      <x:c r="A669" s="20" t="str">
        <x:v>REC-F01</x:v>
      </x:c>
      <x:c r="B669" s="20" t="str">
        <x:v>Cumplimiento de meta total de procuración</x:v>
      </x:c>
      <x:c r="C669" s="20" t="n">
        <x:v>4</x:v>
      </x:c>
      <x:c r="D669" s="20" t="str">
        <x:v>REC-P07</x:v>
      </x:c>
      <x:c r="E669" s="20" t="str">
        <x:v>Conversión de alianzas estratégicas a recursos o capacidad programática</x:v>
      </x:c>
      <x:c r="F669" s="20" t="str">
        <x:v>Strategic-map adjacent objective; Same department</x:v>
      </x:c>
      <x:c r="G669" s="20" t="n">
        <x:v>67</x:v>
      </x:c>
      <x:c r="H669" s="20" t="str">
        <x:v>Procuración de Fondos</x:v>
      </x:c>
      <x:c r="I669" s="20" t="str">
        <x:v>Procesos internos</x:v>
      </x:c>
      <x:c r="J669" s="20" t="str">
        <x:v>P6. Construir ecosistema de alianzas</x:v>
      </x:c>
      <x:c r="K669" s="20" t="n">
        <x:v>72</x:v>
      </x:c>
      <x:c r="L669" s="20" t="n">
        <x:v>61.16347381864623</x:v>
      </x:c>
      <x:c r="M669" s="52" t="n">
        <x:v>0.17717316406005307</x:v>
      </x:c>
      <x:c r="N669" s="20" t="str">
        <x:v>Strong improvement</x:v>
      </x:c>
      <x:c r="O669" s="20" t="str">
        <x:v>Prototype retrieval heuristic; association is not proof of causality.</x:v>
      </x:c>
      <x:c r="P669" s="20" t="str">
        <x:v>YES</x:v>
      </x:c>
    </x:row>
    <x:row r="670">
      <x:c r="A670" s="20" t="str">
        <x:v>REC-F01</x:v>
      </x:c>
      <x:c r="B670" s="20" t="str">
        <x:v>Cumplimiento de meta total de procuración</x:v>
      </x:c>
      <x:c r="C670" s="20" t="n">
        <x:v>5</x:v>
      </x:c>
      <x:c r="D670" s="20" t="str">
        <x:v>FND-016</x:v>
      </x:c>
      <x:c r="E670" s="20" t="str">
        <x:v>Nuevas alianzas estratégicas activas por país</x:v>
      </x:c>
      <x:c r="F670" s="20" t="str">
        <x:v>Strategic-map adjacent objective; Same department</x:v>
      </x:c>
      <x:c r="G670" s="20" t="n">
        <x:v>65</x:v>
      </x:c>
      <x:c r="H670" s="20" t="str">
        <x:v>Procuración de Fondos</x:v>
      </x:c>
      <x:c r="I670" s="20" t="str">
        <x:v>Procesos internos</x:v>
      </x:c>
      <x:c r="J670" s="20" t="str">
        <x:v>P6. Construir ecosistema de alianzas</x:v>
      </x:c>
      <x:c r="K670" s="20" t="n">
        <x:v>4</x:v>
      </x:c>
      <x:c r="L670" s="20" t="n">
        <x:v>2.6666666666666665</x:v>
      </x:c>
      <x:c r="M670" s="52" t="n">
        <x:v>0.5000000000000001</x:v>
      </x:c>
      <x:c r="N670" s="20" t="str">
        <x:v>Strong improvement</x:v>
      </x:c>
      <x:c r="O670" s="20" t="str">
        <x:v>Prototype retrieval heuristic; association is not proof of causality.</x:v>
      </x:c>
      <x:c r="P670" s="20" t="str">
        <x:v>YES</x:v>
      </x:c>
    </x:row>
    <x:row r="671">
      <x:c r="A671" s="20" t="str">
        <x:v>REC-F01</x:v>
      </x:c>
      <x:c r="B671" s="20" t="str">
        <x:v>Cumplimiento de meta total de procuración</x:v>
      </x:c>
      <x:c r="C671" s="20" t="n">
        <x:v>6</x:v>
      </x:c>
      <x:c r="D671" s="20" t="str">
        <x:v>FND-004</x:v>
      </x:c>
      <x:c r="E671" s="20" t="str">
        <x:v>Fondos recaudados — ¿Cuánto vale una sonrisa? Perú</x:v>
      </x:c>
      <x:c r="F671" s="20" t="str">
        <x:v>Same strategic objective; Same department; Same BSC perspective</x:v>
      </x:c>
      <x:c r="G671" s="20" t="n">
        <x:v>87</x:v>
      </x:c>
      <x:c r="H671" s="20" t="str">
        <x:v>Procuración de Fondos</x:v>
      </x:c>
      <x:c r="I671" s="20" t="str">
        <x:v>Sostenibilidad financiera</x:v>
      </x:c>
      <x:c r="J671" s="20" t="str">
        <x:v>F1. Diversificar y aumentar fuentes</x:v>
      </x:c>
      <x:c r="K671" s="20" t="n">
        <x:v>100</x:v>
      </x:c>
      <x:c r="L671" s="20" t="n">
        <x:v>2989</x:v>
      </x:c>
      <x:c r="M671" s="52" t="n">
        <x:v>-0.9665439946470391</x:v>
      </x:c>
      <x:c r="N671" s="20" t="str">
        <x:v>Deteriorating</x:v>
      </x:c>
      <x:c r="O671" s="20" t="str">
        <x:v>Prototype retrieval heuristic; association is not proof of causality.</x:v>
      </x:c>
      <x:c r="P671" s="20" t="str">
        <x:v>YES</x:v>
      </x:c>
    </x:row>
    <x:row r="672">
      <x:c r="A672" s="20" t="str">
        <x:v>REC-F01</x:v>
      </x:c>
      <x:c r="B672" s="20" t="str">
        <x:v>Cumplimiento de meta total de procuración</x:v>
      </x:c>
      <x:c r="C672" s="20" t="n">
        <x:v>7</x:v>
      </x:c>
      <x:c r="D672" s="20" t="str">
        <x:v>FND-005</x:v>
      </x:c>
      <x:c r="E672" s="20" t="str">
        <x:v>Sell-through de artículos Mes de Fundación</x:v>
      </x:c>
      <x:c r="F672" s="20" t="str">
        <x:v>Same strategic objective; Same department; Same BSC perspective</x:v>
      </x:c>
      <x:c r="G672" s="20" t="n">
        <x:v>87</x:v>
      </x:c>
      <x:c r="H672" s="20" t="str">
        <x:v>Procuración de Fondos</x:v>
      </x:c>
      <x:c r="I672" s="20" t="str">
        <x:v>Sostenibilidad financiera</x:v>
      </x:c>
      <x:c r="J672" s="20" t="str">
        <x:v>F1. Diversificar y aumentar fuentes</x:v>
      </x:c>
      <x:c r="K672" s="20" t="n">
        <x:v>100</x:v>
      </x:c>
      <x:c r="L672" s="20" t="n">
        <x:v>88.9514687100894</x:v>
      </x:c>
      <x:c r="M672" s="52" t="n">
        <x:v>0.12420853135005526</x:v>
      </x:c>
      <x:c r="N672" s="20" t="str">
        <x:v>Strong improvement</x:v>
      </x:c>
      <x:c r="O672" s="20" t="str">
        <x:v>Prototype retrieval heuristic; association is not proof of causality.</x:v>
      </x:c>
      <x:c r="P672" s="20" t="str">
        <x:v>YES</x:v>
      </x:c>
    </x:row>
    <x:row r="673">
      <x:c r="A673" s="20" t="str">
        <x:v>REC-F01</x:v>
      </x:c>
      <x:c r="B673" s="20" t="str">
        <x:v>Cumplimiento de meta total de procuración</x:v>
      </x:c>
      <x:c r="C673" s="20" t="n">
        <x:v>8</x:v>
      </x:c>
      <x:c r="D673" s="20" t="str">
        <x:v>FND-017</x:v>
      </x:c>
      <x:c r="E673" s="20" t="str">
        <x:v>Fondos recaudados — Subasta Omnilife</x:v>
      </x:c>
      <x:c r="F673" s="20" t="str">
        <x:v>Same strategic objective; Same department; Same BSC perspective</x:v>
      </x:c>
      <x:c r="G673" s="20" t="n">
        <x:v>87</x:v>
      </x:c>
      <x:c r="H673" s="20" t="str">
        <x:v>Procuración de Fondos</x:v>
      </x:c>
      <x:c r="I673" s="20" t="str">
        <x:v>Sostenibilidad financiera</x:v>
      </x:c>
      <x:c r="J673" s="20" t="str">
        <x:v>F1. Diversificar y aumentar fuentes</x:v>
      </x:c>
      <x:c r="K673" s="20" t="n">
        <x:v>100</x:v>
      </x:c>
      <x:c r="L673" s="20" t="n">
        <x:v>1599989</x:v>
      </x:c>
      <x:c r="M673" s="52" t="n">
        <x:v>-0.9999374995703095</x:v>
      </x:c>
      <x:c r="N673" s="20" t="str">
        <x:v>Deteriorating</x:v>
      </x:c>
      <x:c r="O673" s="20" t="str">
        <x:v>Prototype retrieval heuristic; association is not proof of causality.</x:v>
      </x:c>
      <x:c r="P673" s="20" t="str">
        <x:v>YES</x:v>
      </x:c>
    </x:row>
    <x:row r="674">
      <x:c r="A674" s="20" t="str">
        <x:v>REC-F02</x:v>
      </x:c>
      <x:c r="B674" s="20" t="str">
        <x:v>Concentración de financiamiento en la mayor fuente</x:v>
      </x:c>
      <x:c r="C674" s="20" t="n">
        <x:v>1</x:v>
      </x:c>
      <x:c r="D674" s="20" t="str">
        <x:v>FND-001</x:v>
      </x:c>
      <x:c r="E674" s="20" t="str">
        <x:v>Fondos recaudados — Tu Donativo x2 (Chivas)</x:v>
      </x:c>
      <x:c r="F674" s="20" t="str">
        <x:v>Same strategic objective; Same BSC perspective</x:v>
      </x:c>
      <x:c r="G674" s="20" t="n">
        <x:v>62</x:v>
      </x:c>
      <x:c r="H674" s="20" t="str">
        <x:v>Procuración de Fondos</x:v>
      </x:c>
      <x:c r="I674" s="20" t="str">
        <x:v>Sostenibilidad financiera</x:v>
      </x:c>
      <x:c r="J674" s="20" t="str">
        <x:v>F1. Diversificar y aumentar fuentes</x:v>
      </x:c>
      <x:c r="K674" s="20" t="n">
        <x:v>40800</x:v>
      </x:c>
      <x:c r="L674" s="20" t="n">
        <x:v>31333.333333333332</x:v>
      </x:c>
      <x:c r="M674" s="52" t="n">
        <x:v>0.30212765957446813</x:v>
      </x:c>
      <x:c r="N674" s="20" t="str">
        <x:v>Strong improvement</x:v>
      </x:c>
      <x:c r="O674" s="20" t="str">
        <x:v>Prototype retrieval heuristic; association is not proof of causality.</x:v>
      </x:c>
      <x:c r="P674" s="20" t="str">
        <x:v>YES</x:v>
      </x:c>
    </x:row>
    <x:row r="675">
      <x:c r="A675" s="20" t="str">
        <x:v>REC-F02</x:v>
      </x:c>
      <x:c r="B675" s="20" t="str">
        <x:v>Concentración de financiamiento en la mayor fuente</x:v>
      </x:c>
      <x:c r="C675" s="20" t="n">
        <x:v>2</x:v>
      </x:c>
      <x:c r="D675" s="20" t="str">
        <x:v>FND-002</x:v>
      </x:c>
      <x:c r="E675" s="20" t="str">
        <x:v>Fondos recaudados — ¿Cuánto vale una sonrisa? México</x:v>
      </x:c>
      <x:c r="F675" s="20" t="str">
        <x:v>Same strategic objective; Same BSC perspective</x:v>
      </x:c>
      <x:c r="G675" s="20" t="n">
        <x:v>62</x:v>
      </x:c>
      <x:c r="H675" s="20" t="str">
        <x:v>Procuración de Fondos</x:v>
      </x:c>
      <x:c r="I675" s="20" t="str">
        <x:v>Sostenibilidad financiera</x:v>
      </x:c>
      <x:c r="J675" s="20" t="str">
        <x:v>F1. Diversificar y aumentar fuentes</x:v>
      </x:c>
      <x:c r="K675" s="20" t="n">
        <x:v>100</x:v>
      </x:c>
      <x:c r="L675" s="20" t="n">
        <x:v>359989</x:v>
      </x:c>
      <x:c r="M675" s="52" t="n">
        <x:v>-0.9997222137343086</x:v>
      </x:c>
      <x:c r="N675" s="20" t="str">
        <x:v>Deteriorating</x:v>
      </x:c>
      <x:c r="O675" s="20" t="str">
        <x:v>Prototype retrieval heuristic; association is not proof of causality.</x:v>
      </x:c>
      <x:c r="P675" s="20" t="str">
        <x:v>YES</x:v>
      </x:c>
    </x:row>
    <x:row r="676">
      <x:c r="A676" s="20" t="str">
        <x:v>REC-F02</x:v>
      </x:c>
      <x:c r="B676" s="20" t="str">
        <x:v>Concentración de financiamiento en la mayor fuente</x:v>
      </x:c>
      <x:c r="C676" s="20" t="n">
        <x:v>3</x:v>
      </x:c>
      <x:c r="D676" s="20" t="str">
        <x:v>FND-003</x:v>
      </x:c>
      <x:c r="E676" s="20" t="str">
        <x:v>Fondos recaudados — ¿Cuánto vale una sonrisa? USA</x:v>
      </x:c>
      <x:c r="F676" s="20" t="str">
        <x:v>Same strategic objective; Same BSC perspective</x:v>
      </x:c>
      <x:c r="G676" s="20" t="n">
        <x:v>62</x:v>
      </x:c>
      <x:c r="H676" s="20" t="str">
        <x:v>Procuración de Fondos</x:v>
      </x:c>
      <x:c r="I676" s="20" t="str">
        <x:v>Sostenibilidad financiera</x:v>
      </x:c>
      <x:c r="J676" s="20" t="str">
        <x:v>F1. Diversificar y aumentar fuentes</x:v>
      </x:c>
      <x:c r="K676" s="20" t="n">
        <x:v>100</x:v>
      </x:c>
      <x:c r="L676" s="20" t="n">
        <x:v>29989</x:v>
      </x:c>
      <x:c r="M676" s="52" t="n">
        <x:v>-0.9966654439961319</x:v>
      </x:c>
      <x:c r="N676" s="20" t="str">
        <x:v>Deteriorating</x:v>
      </x:c>
      <x:c r="O676" s="20" t="str">
        <x:v>Prototype retrieval heuristic; association is not proof of causality.</x:v>
      </x:c>
      <x:c r="P676" s="20" t="str">
        <x:v>YES</x:v>
      </x:c>
    </x:row>
    <x:row r="677">
      <x:c r="A677" s="20" t="str">
        <x:v>REC-F02</x:v>
      </x:c>
      <x:c r="B677" s="20" t="str">
        <x:v>Concentración de financiamiento en la mayor fuente</x:v>
      </x:c>
      <x:c r="C677" s="20" t="n">
        <x:v>4</x:v>
      </x:c>
      <x:c r="D677" s="20" t="str">
        <x:v>REC-M02</x:v>
      </x:c>
      <x:c r="E677" s="20" t="str">
        <x:v>Costo de adquisición de nuevo donante</x:v>
      </x:c>
      <x:c r="F677" s="20" t="str">
        <x:v>Strategic-map adjacent objective</x:v>
      </x:c>
      <x:c r="G677" s="20" t="n">
        <x:v>42</x:v>
      </x:c>
      <x:c r="H677" s="20" t="str">
        <x:v>Marketing y Comunicación</x:v>
      </x:c>
      <x:c r="I677" s="20" t="str">
        <x:v>Procesos internos</x:v>
      </x:c>
      <x:c r="J677" s="20" t="str">
        <x:v>P3. Integrar Marketing + Procuración</x:v>
      </x:c>
      <x:c r="K677" s="20" t="n">
        <x:v>760</x:v>
      </x:c>
      <x:c r="L677" s="20" t="n">
        <x:v>896.6666666666666</x:v>
      </x:c>
      <x:c r="M677" s="52" t="n">
        <x:v>0.15241635687732338</x:v>
      </x:c>
      <x:c r="N677" s="20" t="str">
        <x:v>Strong improvement</x:v>
      </x:c>
      <x:c r="O677" s="20" t="str">
        <x:v>Prototype retrieval heuristic; association is not proof of causality.</x:v>
      </x:c>
      <x:c r="P677" s="20" t="str">
        <x:v>YES</x:v>
      </x:c>
    </x:row>
    <x:row r="678">
      <x:c r="A678" s="20" t="str">
        <x:v>REC-F02</x:v>
      </x:c>
      <x:c r="B678" s="20" t="str">
        <x:v>Concentración de financiamiento en la mayor fuente</x:v>
      </x:c>
      <x:c r="C678" s="20" t="n">
        <x:v>5</x:v>
      </x:c>
      <x:c r="D678" s="20" t="str">
        <x:v>REC-P03</x:v>
      </x:c>
      <x:c r="E678" s="20" t="str">
        <x:v>Conversión de campaña a nuevo donante</x:v>
      </x:c>
      <x:c r="F678" s="20" t="str">
        <x:v>Strategic-map adjacent objective</x:v>
      </x:c>
      <x:c r="G678" s="20" t="n">
        <x:v>42</x:v>
      </x:c>
      <x:c r="H678" s="20" t="str">
        <x:v>Marketing + Procuración de Fondos</x:v>
      </x:c>
      <x:c r="I678" s="20" t="str">
        <x:v>Procesos internos</x:v>
      </x:c>
      <x:c r="J678" s="20" t="str">
        <x:v>P3. Integrar Marketing + Procuración</x:v>
      </x:c>
      <x:c r="K678" s="20" t="n">
        <x:v>100</x:v>
      </x:c>
      <x:c r="L678" s="20" t="n">
        <x:v>2015.0147157960507</x:v>
      </x:c>
      <x:c r="M678" s="52" t="n">
        <x:v>-0.9503725708720226</x:v>
      </x:c>
      <x:c r="N678" s="20" t="str">
        <x:v>Deteriorating</x:v>
      </x:c>
      <x:c r="O678" s="20" t="str">
        <x:v>Prototype retrieval heuristic; association is not proof of causality.</x:v>
      </x:c>
      <x:c r="P678" s="20" t="str">
        <x:v>YES</x:v>
      </x:c>
    </x:row>
    <x:row r="679">
      <x:c r="A679" s="20" t="str">
        <x:v>REC-F02</x:v>
      </x:c>
      <x:c r="B679" s="20" t="str">
        <x:v>Concentración de financiamiento en la mayor fuente</x:v>
      </x:c>
      <x:c r="C679" s="20" t="n">
        <x:v>6</x:v>
      </x:c>
      <x:c r="D679" s="20" t="str">
        <x:v>FND-004</x:v>
      </x:c>
      <x:c r="E679" s="20" t="str">
        <x:v>Fondos recaudados — ¿Cuánto vale una sonrisa? Perú</x:v>
      </x:c>
      <x:c r="F679" s="20" t="str">
        <x:v>Same strategic objective; Same BSC perspective</x:v>
      </x:c>
      <x:c r="G679" s="20" t="n">
        <x:v>62</x:v>
      </x:c>
      <x:c r="H679" s="20" t="str">
        <x:v>Procuración de Fondos</x:v>
      </x:c>
      <x:c r="I679" s="20" t="str">
        <x:v>Sostenibilidad financiera</x:v>
      </x:c>
      <x:c r="J679" s="20" t="str">
        <x:v>F1. Diversificar y aumentar fuentes</x:v>
      </x:c>
      <x:c r="K679" s="20" t="n">
        <x:v>100</x:v>
      </x:c>
      <x:c r="L679" s="20" t="n">
        <x:v>2989</x:v>
      </x:c>
      <x:c r="M679" s="52" t="n">
        <x:v>-0.9665439946470391</x:v>
      </x:c>
      <x:c r="N679" s="20" t="str">
        <x:v>Deteriorating</x:v>
      </x:c>
      <x:c r="O679" s="20" t="str">
        <x:v>Prototype retrieval heuristic; association is not proof of causality.</x:v>
      </x:c>
      <x:c r="P679" s="20" t="str">
        <x:v>YES</x:v>
      </x:c>
    </x:row>
    <x:row r="680">
      <x:c r="A680" s="20" t="str">
        <x:v>REC-F02</x:v>
      </x:c>
      <x:c r="B680" s="20" t="str">
        <x:v>Concentración de financiamiento en la mayor fuente</x:v>
      </x:c>
      <x:c r="C680" s="20" t="n">
        <x:v>7</x:v>
      </x:c>
      <x:c r="D680" s="20" t="str">
        <x:v>FND-005</x:v>
      </x:c>
      <x:c r="E680" s="20" t="str">
        <x:v>Sell-through de artículos Mes de Fundación</x:v>
      </x:c>
      <x:c r="F680" s="20" t="str">
        <x:v>Same strategic objective; Same BSC perspective</x:v>
      </x:c>
      <x:c r="G680" s="20" t="n">
        <x:v>62</x:v>
      </x:c>
      <x:c r="H680" s="20" t="str">
        <x:v>Procuración de Fondos</x:v>
      </x:c>
      <x:c r="I680" s="20" t="str">
        <x:v>Sostenibilidad financiera</x:v>
      </x:c>
      <x:c r="J680" s="20" t="str">
        <x:v>F1. Diversificar y aumentar fuentes</x:v>
      </x:c>
      <x:c r="K680" s="20" t="n">
        <x:v>100</x:v>
      </x:c>
      <x:c r="L680" s="20" t="n">
        <x:v>88.9514687100894</x:v>
      </x:c>
      <x:c r="M680" s="52" t="n">
        <x:v>0.12420853135005526</x:v>
      </x:c>
      <x:c r="N680" s="20" t="str">
        <x:v>Strong improvement</x:v>
      </x:c>
      <x:c r="O680" s="20" t="str">
        <x:v>Prototype retrieval heuristic; association is not proof of causality.</x:v>
      </x:c>
      <x:c r="P680" s="20" t="str">
        <x:v>YES</x:v>
      </x:c>
    </x:row>
    <x:row r="681">
      <x:c r="A681" s="20" t="str">
        <x:v>REC-F02</x:v>
      </x:c>
      <x:c r="B681" s="20" t="str">
        <x:v>Concentración de financiamiento en la mayor fuente</x:v>
      </x:c>
      <x:c r="C681" s="20" t="n">
        <x:v>8</x:v>
      </x:c>
      <x:c r="D681" s="20" t="str">
        <x:v>FND-017</x:v>
      </x:c>
      <x:c r="E681" s="20" t="str">
        <x:v>Fondos recaudados — Subasta Omnilife</x:v>
      </x:c>
      <x:c r="F681" s="20" t="str">
        <x:v>Same strategic objective; Same BSC perspective</x:v>
      </x:c>
      <x:c r="G681" s="20" t="n">
        <x:v>62</x:v>
      </x:c>
      <x:c r="H681" s="20" t="str">
        <x:v>Procuración de Fondos</x:v>
      </x:c>
      <x:c r="I681" s="20" t="str">
        <x:v>Sostenibilidad financiera</x:v>
      </x:c>
      <x:c r="J681" s="20" t="str">
        <x:v>F1. Diversificar y aumentar fuentes</x:v>
      </x:c>
      <x:c r="K681" s="20" t="n">
        <x:v>100</x:v>
      </x:c>
      <x:c r="L681" s="20" t="n">
        <x:v>1599989</x:v>
      </x:c>
      <x:c r="M681" s="52" t="n">
        <x:v>-0.9999374995703095</x:v>
      </x:c>
      <x:c r="N681" s="20" t="str">
        <x:v>Deteriorating</x:v>
      </x:c>
      <x:c r="O681" s="20" t="str">
        <x:v>Prototype retrieval heuristic; association is not proof of causality.</x:v>
      </x:c>
      <x:c r="P681" s="20" t="str">
        <x:v>YES</x:v>
      </x:c>
    </x:row>
    <x:row r="682">
      <x:c r="A682" s="20" t="str">
        <x:v>REC-F03</x:v>
      </x:c>
      <x:c r="B682" s="20" t="str">
        <x:v>Retención de donantes recurrentes</x:v>
      </x:c>
      <x:c r="C682" s="20" t="n">
        <x:v>1</x:v>
      </x:c>
      <x:c r="D682" s="20" t="str">
        <x:v>FND-006</x:v>
      </x:c>
      <x:c r="E682" s="20" t="str">
        <x:v>Nuevos donantes recurrentes — USA</x:v>
      </x:c>
      <x:c r="F682" s="20" t="str">
        <x:v>Same strategic objective; Same department; Same BSC perspective</x:v>
      </x:c>
      <x:c r="G682" s="20" t="n">
        <x:v>87</x:v>
      </x:c>
      <x:c r="H682" s="20" t="str">
        <x:v>Procuración de Fondos</x:v>
      </x:c>
      <x:c r="I682" s="20" t="str">
        <x:v>Sostenibilidad financiera</x:v>
      </x:c>
      <x:c r="J682" s="20" t="str">
        <x:v>F2. Incrementar y retener donantes recurrentes</x:v>
      </x:c>
      <x:c r="K682" s="20" t="n">
        <x:v>73</x:v>
      </x:c>
      <x:c r="L682" s="20" t="n">
        <x:v>62</x:v>
      </x:c>
      <x:c r="M682" s="52" t="n">
        <x:v>0.1774193548387097</x:v>
      </x:c>
      <x:c r="N682" s="20" t="str">
        <x:v>Strong improvement</x:v>
      </x:c>
      <x:c r="O682" s="20" t="str">
        <x:v>Prototype retrieval heuristic; association is not proof of causality.</x:v>
      </x:c>
      <x:c r="P682" s="20" t="str">
        <x:v>YES</x:v>
      </x:c>
    </x:row>
    <x:row r="683">
      <x:c r="A683" s="20" t="str">
        <x:v>REC-F03</x:v>
      </x:c>
      <x:c r="B683" s="20" t="str">
        <x:v>Retención de donantes recurrentes</x:v>
      </x:c>
      <x:c r="C683" s="20" t="n">
        <x:v>2</x:v>
      </x:c>
      <x:c r="D683" s="20" t="str">
        <x:v>FND-007</x:v>
      </x:c>
      <x:c r="E683" s="20" t="str">
        <x:v>Nuevos donantes recurrentes — México</x:v>
      </x:c>
      <x:c r="F683" s="20" t="str">
        <x:v>Same strategic objective; Same department; Same BSC perspective</x:v>
      </x:c>
      <x:c r="G683" s="20" t="n">
        <x:v>87</x:v>
      </x:c>
      <x:c r="H683" s="20" t="str">
        <x:v>Procuración de Fondos</x:v>
      </x:c>
      <x:c r="I683" s="20" t="str">
        <x:v>Sostenibilidad financiera</x:v>
      </x:c>
      <x:c r="J683" s="20" t="str">
        <x:v>F2. Incrementar y retener donantes recurrentes</x:v>
      </x:c>
      <x:c r="K683" s="20" t="n">
        <x:v>15</x:v>
      </x:c>
      <x:c r="L683" s="20" t="n">
        <x:v>12</x:v>
      </x:c>
      <x:c r="M683" s="52" t="n">
        <x:v>0.25</x:v>
      </x:c>
      <x:c r="N683" s="20" t="str">
        <x:v>Strong improvement</x:v>
      </x:c>
      <x:c r="O683" s="20" t="str">
        <x:v>Prototype retrieval heuristic; association is not proof of causality.</x:v>
      </x:c>
      <x:c r="P683" s="20" t="str">
        <x:v>YES</x:v>
      </x:c>
    </x:row>
    <x:row r="684">
      <x:c r="A684" s="20" t="str">
        <x:v>REC-F03</x:v>
      </x:c>
      <x:c r="B684" s="20" t="str">
        <x:v>Retención de donantes recurrentes</x:v>
      </x:c>
      <x:c r="C684" s="20" t="n">
        <x:v>3</x:v>
      </x:c>
      <x:c r="D684" s="20" t="str">
        <x:v>FND-008</x:v>
      </x:c>
      <x:c r="E684" s="20" t="str">
        <x:v>Nuevos donantes recurrentes — Perú</x:v>
      </x:c>
      <x:c r="F684" s="20" t="str">
        <x:v>Same strategic objective; Same department; Same BSC perspective</x:v>
      </x:c>
      <x:c r="G684" s="20" t="n">
        <x:v>87</x:v>
      </x:c>
      <x:c r="H684" s="20" t="str">
        <x:v>Procuración de Fondos</x:v>
      </x:c>
      <x:c r="I684" s="20" t="str">
        <x:v>Sostenibilidad financiera</x:v>
      </x:c>
      <x:c r="J684" s="20" t="str">
        <x:v>F2. Incrementar y retener donantes recurrentes</x:v>
      </x:c>
      <x:c r="K684" s="20" t="n">
        <x:v>8</x:v>
      </x:c>
      <x:c r="L684" s="20" t="n">
        <x:v>5.666666666666667</x:v>
      </x:c>
      <x:c r="M684" s="52" t="n">
        <x:v>0.41176470588235287</x:v>
      </x:c>
      <x:c r="N684" s="20" t="str">
        <x:v>Strong improvement</x:v>
      </x:c>
      <x:c r="O684" s="20" t="str">
        <x:v>Prototype retrieval heuristic; association is not proof of causality.</x:v>
      </x:c>
      <x:c r="P684" s="20" t="str">
        <x:v>YES</x:v>
      </x:c>
    </x:row>
    <x:row r="685">
      <x:c r="A685" s="20" t="str">
        <x:v>REC-F03</x:v>
      </x:c>
      <x:c r="B685" s="20" t="str">
        <x:v>Retención de donantes recurrentes</x:v>
      </x:c>
      <x:c r="C685" s="20" t="n">
        <x:v>4</x:v>
      </x:c>
      <x:c r="D685" s="20" t="str">
        <x:v>REC-M02</x:v>
      </x:c>
      <x:c r="E685" s="20" t="str">
        <x:v>Costo de adquisición de nuevo donante</x:v>
      </x:c>
      <x:c r="F685" s="20" t="str">
        <x:v>Strategic-map adjacent objective</x:v>
      </x:c>
      <x:c r="G685" s="20" t="n">
        <x:v>42</x:v>
      </x:c>
      <x:c r="H685" s="20" t="str">
        <x:v>Marketing y Comunicación</x:v>
      </x:c>
      <x:c r="I685" s="20" t="str">
        <x:v>Procesos internos</x:v>
      </x:c>
      <x:c r="J685" s="20" t="str">
        <x:v>P3. Integrar Marketing + Procuración</x:v>
      </x:c>
      <x:c r="K685" s="20" t="n">
        <x:v>760</x:v>
      </x:c>
      <x:c r="L685" s="20" t="n">
        <x:v>896.6666666666666</x:v>
      </x:c>
      <x:c r="M685" s="52" t="n">
        <x:v>0.15241635687732338</x:v>
      </x:c>
      <x:c r="N685" s="20" t="str">
        <x:v>Strong improvement</x:v>
      </x:c>
      <x:c r="O685" s="20" t="str">
        <x:v>Prototype retrieval heuristic; association is not proof of causality.</x:v>
      </x:c>
      <x:c r="P685" s="20" t="str">
        <x:v>YES</x:v>
      </x:c>
    </x:row>
    <x:row r="686">
      <x:c r="A686" s="20" t="str">
        <x:v>REC-F03</x:v>
      </x:c>
      <x:c r="B686" s="20" t="str">
        <x:v>Retención de donantes recurrentes</x:v>
      </x:c>
      <x:c r="C686" s="20" t="n">
        <x:v>5</x:v>
      </x:c>
      <x:c r="D686" s="20" t="str">
        <x:v>REC-P03</x:v>
      </x:c>
      <x:c r="E686" s="20" t="str">
        <x:v>Conversión de campaña a nuevo donante</x:v>
      </x:c>
      <x:c r="F686" s="20" t="str">
        <x:v>Strategic-map adjacent objective</x:v>
      </x:c>
      <x:c r="G686" s="20" t="n">
        <x:v>42</x:v>
      </x:c>
      <x:c r="H686" s="20" t="str">
        <x:v>Marketing + Procuración de Fondos</x:v>
      </x:c>
      <x:c r="I686" s="20" t="str">
        <x:v>Procesos internos</x:v>
      </x:c>
      <x:c r="J686" s="20" t="str">
        <x:v>P3. Integrar Marketing + Procuración</x:v>
      </x:c>
      <x:c r="K686" s="20" t="n">
        <x:v>100</x:v>
      </x:c>
      <x:c r="L686" s="20" t="n">
        <x:v>2015.0147157960507</x:v>
      </x:c>
      <x:c r="M686" s="52" t="n">
        <x:v>-0.9503725708720226</x:v>
      </x:c>
      <x:c r="N686" s="20" t="str">
        <x:v>Deteriorating</x:v>
      </x:c>
      <x:c r="O686" s="20" t="str">
        <x:v>Prototype retrieval heuristic; association is not proof of causality.</x:v>
      </x:c>
      <x:c r="P686" s="20" t="str">
        <x:v>YES</x:v>
      </x:c>
    </x:row>
    <x:row r="687">
      <x:c r="A687" s="20" t="str">
        <x:v>REC-F03</x:v>
      </x:c>
      <x:c r="B687" s="20" t="str">
        <x:v>Retención de donantes recurrentes</x:v>
      </x:c>
      <x:c r="C687" s="20" t="n">
        <x:v>6</x:v>
      </x:c>
      <x:c r="D687" s="20" t="str">
        <x:v>FND-009</x:v>
      </x:c>
      <x:c r="E687" s="20" t="str">
        <x:v>Nuevos donantes recurrentes — Colombia</x:v>
      </x:c>
      <x:c r="F687" s="20" t="str">
        <x:v>Same strategic objective; Same department; Same BSC perspective</x:v>
      </x:c>
      <x:c r="G687" s="20" t="n">
        <x:v>87</x:v>
      </x:c>
      <x:c r="H687" s="20" t="str">
        <x:v>Procuración de Fondos</x:v>
      </x:c>
      <x:c r="I687" s="20" t="str">
        <x:v>Sostenibilidad financiera</x:v>
      </x:c>
      <x:c r="J687" s="20" t="str">
        <x:v>F2. Incrementar y retener donantes recurrentes</x:v>
      </x:c>
      <x:c r="K687" s="20" t="n">
        <x:v>5</x:v>
      </x:c>
      <x:c r="L687" s="20" t="n">
        <x:v>3.3333333333333335</x:v>
      </x:c>
      <x:c r="M687" s="52" t="n">
        <x:v>0.49999999999999994</x:v>
      </x:c>
      <x:c r="N687" s="20" t="str">
        <x:v>Strong improvement</x:v>
      </x:c>
      <x:c r="O687" s="20" t="str">
        <x:v>Prototype retrieval heuristic; association is not proof of causality.</x:v>
      </x:c>
      <x:c r="P687" s="20" t="str">
        <x:v>YES</x:v>
      </x:c>
    </x:row>
    <x:row r="688">
      <x:c r="A688" s="20" t="str">
        <x:v>REC-F03</x:v>
      </x:c>
      <x:c r="B688" s="20" t="str">
        <x:v>Retención de donantes recurrentes</x:v>
      </x:c>
      <x:c r="C688" s="20" t="n">
        <x:v>7</x:v>
      </x:c>
      <x:c r="D688" s="20" t="str">
        <x:v>FND-011</x:v>
      </x:c>
      <x:c r="E688" s="20" t="str">
        <x:v>Conversión de voluntarios staff a donantes recurrentes</x:v>
      </x:c>
      <x:c r="F688" s="20" t="str">
        <x:v>Same strategic objective; Same department; Same BSC perspective</x:v>
      </x:c>
      <x:c r="G688" s="20" t="n">
        <x:v>87</x:v>
      </x:c>
      <x:c r="H688" s="20" t="str">
        <x:v>Procuración de Fondos</x:v>
      </x:c>
      <x:c r="I688" s="20" t="str">
        <x:v>Sostenibilidad financiera</x:v>
      </x:c>
      <x:c r="J688" s="20" t="str">
        <x:v>F2. Incrementar y retener donantes recurrentes</x:v>
      </x:c>
      <x:c r="K688" s="20" t="n">
        <x:v>4</x:v>
      </x:c>
      <x:c r="L688" s="20" t="n">
        <x:v>3.232770826368222</x:v>
      </x:c>
      <x:c r="M688" s="52" t="n">
        <x:v>0.23732866164648694</x:v>
      </x:c>
      <x:c r="N688" s="20" t="str">
        <x:v>Strong improvement</x:v>
      </x:c>
      <x:c r="O688" s="20" t="str">
        <x:v>Prototype retrieval heuristic; association is not proof of causality.</x:v>
      </x:c>
      <x:c r="P688" s="20" t="str">
        <x:v>YES</x:v>
      </x:c>
    </x:row>
    <x:row r="689">
      <x:c r="A689" s="20" t="str">
        <x:v>REC-F03</x:v>
      </x:c>
      <x:c r="B689" s="20" t="str">
        <x:v>Retención de donantes recurrentes</x:v>
      </x:c>
      <x:c r="C689" s="20" t="n">
        <x:v>8</x:v>
      </x:c>
      <x:c r="D689" s="20" t="str">
        <x:v>FND-013</x:v>
      </x:c>
      <x:c r="E689" s="20" t="str">
        <x:v>Nuevos donantes recurrentes EOS — Perú</x:v>
      </x:c>
      <x:c r="F689" s="20" t="str">
        <x:v>Same strategic objective; Same department; Same BSC perspective</x:v>
      </x:c>
      <x:c r="G689" s="20" t="n">
        <x:v>87</x:v>
      </x:c>
      <x:c r="H689" s="20" t="str">
        <x:v>Procuración de Fondos</x:v>
      </x:c>
      <x:c r="I689" s="20" t="str">
        <x:v>Sostenibilidad financiera</x:v>
      </x:c>
      <x:c r="J689" s="20" t="str">
        <x:v>F2. Incrementar y retener donantes recurrentes</x:v>
      </x:c>
      <x:c r="K689" s="20" t="n">
        <x:v>2</x:v>
      </x:c>
      <x:c r="L689" s="20" t="n">
        <x:v>1.3333333333333333</x:v>
      </x:c>
      <x:c r="M689" s="52" t="n">
        <x:v>0.5000000000000001</x:v>
      </x:c>
      <x:c r="N689" s="20" t="str">
        <x:v>Strong improvement</x:v>
      </x:c>
      <x:c r="O689" s="20" t="str">
        <x:v>Prototype retrieval heuristic; association is not proof of causality.</x:v>
      </x:c>
      <x:c r="P689" s="20" t="str">
        <x:v>YES</x:v>
      </x:c>
    </x:row>
    <x:row r="690">
      <x:c r="A690" s="20" t="str">
        <x:v>REC-F04</x:v>
      </x:c>
      <x:c r="B690" s="20" t="str">
        <x:v>Cobertura de pipeline ponderado de procuración</x:v>
      </x:c>
      <x:c r="C690" s="20" t="n">
        <x:v>1</x:v>
      </x:c>
      <x:c r="D690" s="20" t="str">
        <x:v>FND-016</x:v>
      </x:c>
      <x:c r="E690" s="20" t="str">
        <x:v>Nuevas alianzas estratégicas activas por país</x:v>
      </x:c>
      <x:c r="F690" s="20" t="str">
        <x:v>Strategic-map adjacent objective; Same department</x:v>
      </x:c>
      <x:c r="G690" s="20" t="n">
        <x:v>65</x:v>
      </x:c>
      <x:c r="H690" s="20" t="str">
        <x:v>Procuración de Fondos</x:v>
      </x:c>
      <x:c r="I690" s="20" t="str">
        <x:v>Procesos internos</x:v>
      </x:c>
      <x:c r="J690" s="20" t="str">
        <x:v>P6. Construir ecosistema de alianzas</x:v>
      </x:c>
      <x:c r="K690" s="20" t="n">
        <x:v>4</x:v>
      </x:c>
      <x:c r="L690" s="20" t="n">
        <x:v>2.6666666666666665</x:v>
      </x:c>
      <x:c r="M690" s="52" t="n">
        <x:v>0.5000000000000001</x:v>
      </x:c>
      <x:c r="N690" s="20" t="str">
        <x:v>Strong improvement</x:v>
      </x:c>
      <x:c r="O690" s="20" t="str">
        <x:v>Prototype retrieval heuristic; association is not proof of causality.</x:v>
      </x:c>
      <x:c r="P690" s="20" t="str">
        <x:v>YES</x:v>
      </x:c>
    </x:row>
    <x:row r="691">
      <x:c r="A691" s="20" t="str">
        <x:v>REC-F04</x:v>
      </x:c>
      <x:c r="B691" s="20" t="str">
        <x:v>Cobertura de pipeline ponderado de procuración</x:v>
      </x:c>
      <x:c r="C691" s="20" t="n">
        <x:v>2</x:v>
      </x:c>
      <x:c r="D691" s="20" t="str">
        <x:v>REC-P07</x:v>
      </x:c>
      <x:c r="E691" s="20" t="str">
        <x:v>Conversión de alianzas estratégicas a recursos o capacidad programática</x:v>
      </x:c>
      <x:c r="F691" s="20" t="str">
        <x:v>Strategic-map adjacent objective; Same department</x:v>
      </x:c>
      <x:c r="G691" s="20" t="n">
        <x:v>65</x:v>
      </x:c>
      <x:c r="H691" s="20" t="str">
        <x:v>Procuración de Fondos</x:v>
      </x:c>
      <x:c r="I691" s="20" t="str">
        <x:v>Procesos internos</x:v>
      </x:c>
      <x:c r="J691" s="20" t="str">
        <x:v>P6. Construir ecosistema de alianzas</x:v>
      </x:c>
      <x:c r="K691" s="20" t="n">
        <x:v>72</x:v>
      </x:c>
      <x:c r="L691" s="20" t="n">
        <x:v>61.16347381864623</x:v>
      </x:c>
      <x:c r="M691" s="52" t="n">
        <x:v>0.17717316406005307</x:v>
      </x:c>
      <x:c r="N691" s="20" t="str">
        <x:v>Strong improvement</x:v>
      </x:c>
      <x:c r="O691" s="20" t="str">
        <x:v>Prototype retrieval heuristic; association is not proof of causality.</x:v>
      </x:c>
      <x:c r="P691" s="20" t="str">
        <x:v>YES</x:v>
      </x:c>
    </x:row>
    <x:row r="692">
      <x:c r="A692" s="20" t="str">
        <x:v>REC-F04</x:v>
      </x:c>
      <x:c r="B692" s="20" t="str">
        <x:v>Cobertura de pipeline ponderado de procuración</x:v>
      </x:c>
      <x:c r="C692" s="20" t="n">
        <x:v>3</x:v>
      </x:c>
      <x:c r="D692" s="20" t="str">
        <x:v>FND-001</x:v>
      </x:c>
      <x:c r="E692" s="20" t="str">
        <x:v>Fondos recaudados — Tu Donativo x2 (Chivas)</x:v>
      </x:c>
      <x:c r="F692" s="20" t="str">
        <x:v>Same department; Same BSC perspective</x:v>
      </x:c>
      <x:c r="G692" s="20" t="n">
        <x:v>35</x:v>
      </x:c>
      <x:c r="H692" s="20" t="str">
        <x:v>Procuración de Fondos</x:v>
      </x:c>
      <x:c r="I692" s="20" t="str">
        <x:v>Sostenibilidad financiera</x:v>
      </x:c>
      <x:c r="J692" s="20" t="str">
        <x:v>F1. Diversificar y aumentar fuentes</x:v>
      </x:c>
      <x:c r="K692" s="20" t="n">
        <x:v>40800</x:v>
      </x:c>
      <x:c r="L692" s="20" t="n">
        <x:v>31333.333333333332</x:v>
      </x:c>
      <x:c r="M692" s="52" t="n">
        <x:v>0.30212765957446813</x:v>
      </x:c>
      <x:c r="N692" s="20" t="str">
        <x:v>Strong improvement</x:v>
      </x:c>
      <x:c r="O692" s="20" t="str">
        <x:v>Prototype retrieval heuristic; association is not proof of causality.</x:v>
      </x:c>
      <x:c r="P692" s="20" t="str">
        <x:v>YES</x:v>
      </x:c>
    </x:row>
    <x:row r="693">
      <x:c r="A693" s="20" t="str">
        <x:v>REC-F04</x:v>
      </x:c>
      <x:c r="B693" s="20" t="str">
        <x:v>Cobertura de pipeline ponderado de procuración</x:v>
      </x:c>
      <x:c r="C693" s="20" t="n">
        <x:v>4</x:v>
      </x:c>
      <x:c r="D693" s="20" t="str">
        <x:v>FND-002</x:v>
      </x:c>
      <x:c r="E693" s="20" t="str">
        <x:v>Fondos recaudados — ¿Cuánto vale una sonrisa? México</x:v>
      </x:c>
      <x:c r="F693" s="20" t="str">
        <x:v>Same department; Same BSC perspective</x:v>
      </x:c>
      <x:c r="G693" s="20" t="n">
        <x:v>35</x:v>
      </x:c>
      <x:c r="H693" s="20" t="str">
        <x:v>Procuración de Fondos</x:v>
      </x:c>
      <x:c r="I693" s="20" t="str">
        <x:v>Sostenibilidad financiera</x:v>
      </x:c>
      <x:c r="J693" s="20" t="str">
        <x:v>F1. Diversificar y aumentar fuentes</x:v>
      </x:c>
      <x:c r="K693" s="20" t="n">
        <x:v>100</x:v>
      </x:c>
      <x:c r="L693" s="20" t="n">
        <x:v>359989</x:v>
      </x:c>
      <x:c r="M693" s="52" t="n">
        <x:v>-0.9997222137343086</x:v>
      </x:c>
      <x:c r="N693" s="20" t="str">
        <x:v>Deteriorating</x:v>
      </x:c>
      <x:c r="O693" s="20" t="str">
        <x:v>Prototype retrieval heuristic; association is not proof of causality.</x:v>
      </x:c>
      <x:c r="P693" s="20" t="str">
        <x:v>YES</x:v>
      </x:c>
    </x:row>
    <x:row r="694">
      <x:c r="A694" s="20" t="str">
        <x:v>REC-F04</x:v>
      </x:c>
      <x:c r="B694" s="20" t="str">
        <x:v>Cobertura de pipeline ponderado de procuración</x:v>
      </x:c>
      <x:c r="C694" s="20" t="n">
        <x:v>5</x:v>
      </x:c>
      <x:c r="D694" s="20" t="str">
        <x:v>FND-003</x:v>
      </x:c>
      <x:c r="E694" s="20" t="str">
        <x:v>Fondos recaudados — ¿Cuánto vale una sonrisa? USA</x:v>
      </x:c>
      <x:c r="F694" s="20" t="str">
        <x:v>Same department; Same BSC perspective</x:v>
      </x:c>
      <x:c r="G694" s="20" t="n">
        <x:v>35</x:v>
      </x:c>
      <x:c r="H694" s="20" t="str">
        <x:v>Procuración de Fondos</x:v>
      </x:c>
      <x:c r="I694" s="20" t="str">
        <x:v>Sostenibilidad financiera</x:v>
      </x:c>
      <x:c r="J694" s="20" t="str">
        <x:v>F1. Diversificar y aumentar fuentes</x:v>
      </x:c>
      <x:c r="K694" s="20" t="n">
        <x:v>100</x:v>
      </x:c>
      <x:c r="L694" s="20" t="n">
        <x:v>29989</x:v>
      </x:c>
      <x:c r="M694" s="52" t="n">
        <x:v>-0.9966654439961319</x:v>
      </x:c>
      <x:c r="N694" s="20" t="str">
        <x:v>Deteriorating</x:v>
      </x:c>
      <x:c r="O694" s="20" t="str">
        <x:v>Prototype retrieval heuristic; association is not proof of causality.</x:v>
      </x:c>
      <x:c r="P694" s="20" t="str">
        <x:v>YES</x:v>
      </x:c>
    </x:row>
    <x:row r="695">
      <x:c r="A695" s="20" t="str">
        <x:v>REC-F04</x:v>
      </x:c>
      <x:c r="B695" s="20" t="str">
        <x:v>Cobertura de pipeline ponderado de procuración</x:v>
      </x:c>
      <x:c r="C695" s="20" t="n">
        <x:v>6</x:v>
      </x:c>
      <x:c r="D695" s="20" t="str">
        <x:v>OPS-016</x:v>
      </x:c>
      <x:c r="E695" s="20" t="str">
        <x:v>Proyectos OSC financiados conforme a reglas de operación</x:v>
      </x:c>
      <x:c r="F695" s="20" t="str">
        <x:v>Strategic-map adjacent objective</x:v>
      </x:c>
      <x:c r="G695" s="20" t="n">
        <x:v>40</x:v>
      </x:c>
      <x:c r="H695" s="20" t="str">
        <x:v>Operaciones</x:v>
      </x:c>
      <x:c r="I695" s="20" t="str">
        <x:v>Procesos internos</x:v>
      </x:c>
      <x:c r="J695" s="20" t="str">
        <x:v>P6. Construir ecosistema de alianzas</x:v>
      </x:c>
      <x:c r="K695" s="20" t="n">
        <x:v>4</x:v>
      </x:c>
      <x:c r="L695" s="20" t="n">
        <x:v>2.6666666666666665</x:v>
      </x:c>
      <x:c r="M695" s="52" t="n">
        <x:v>0.5000000000000001</x:v>
      </x:c>
      <x:c r="N695" s="20" t="str">
        <x:v>Strong improvement</x:v>
      </x:c>
      <x:c r="O695" s="20" t="str">
        <x:v>Prototype retrieval heuristic; association is not proof of causality.</x:v>
      </x:c>
      <x:c r="P695" s="20" t="str">
        <x:v>YES</x:v>
      </x:c>
    </x:row>
    <x:row r="696">
      <x:c r="A696" s="20" t="str">
        <x:v>REC-F04</x:v>
      </x:c>
      <x:c r="B696" s="20" t="str">
        <x:v>Cobertura de pipeline ponderado de procuración</x:v>
      </x:c>
      <x:c r="C696" s="20" t="n">
        <x:v>7</x:v>
      </x:c>
      <x:c r="D696" s="20" t="str">
        <x:v>OPS-020</x:v>
      </x:c>
      <x:c r="E696" s="20" t="str">
        <x:v>Donativos en especie asignados a organizaciones elegibles</x:v>
      </x:c>
      <x:c r="F696" s="20" t="str">
        <x:v>Strategic-map adjacent objective</x:v>
      </x:c>
      <x:c r="G696" s="20" t="n">
        <x:v>40</x:v>
      </x:c>
      <x:c r="H696" s="20" t="str">
        <x:v>Operaciones</x:v>
      </x:c>
      <x:c r="I696" s="20" t="str">
        <x:v>Procesos internos</x:v>
      </x:c>
      <x:c r="J696" s="20" t="str">
        <x:v>P6. Construir ecosistema de alianzas</x:v>
      </x:c>
      <x:c r="K696" s="20" t="n">
        <x:v>100</x:v>
      </x:c>
      <x:c r="L696" s="20" t="n">
        <x:v>88.9514687100894</x:v>
      </x:c>
      <x:c r="M696" s="52" t="n">
        <x:v>0.12420853135005526</x:v>
      </x:c>
      <x:c r="N696" s="20" t="str">
        <x:v>Strong improvement</x:v>
      </x:c>
      <x:c r="O696" s="20" t="str">
        <x:v>Prototype retrieval heuristic; association is not proof of causality.</x:v>
      </x:c>
      <x:c r="P696" s="20" t="str">
        <x:v>YES</x:v>
      </x:c>
    </x:row>
    <x:row r="697">
      <x:c r="A697" s="20" t="str">
        <x:v>REC-F04</x:v>
      </x:c>
      <x:c r="B697" s="20" t="str">
        <x:v>Cobertura de pipeline ponderado de procuración</x:v>
      </x:c>
      <x:c r="C697" s="20" t="n">
        <x:v>8</x:v>
      </x:c>
      <x:c r="D697" s="20" t="str">
        <x:v>REC-S03</x:v>
      </x:c>
      <x:c r="E697" s="20" t="str">
        <x:v>Cobertura financiera del plan operativo</x:v>
      </x:c>
      <x:c r="F697" s="20" t="str">
        <x:v>Strategic-map adjacent objective</x:v>
      </x:c>
      <x:c r="G697" s="20" t="n">
        <x:v>40</x:v>
      </x:c>
      <x:c r="H697" s="20" t="str">
        <x:v>Dirección</x:v>
      </x:c>
      <x:c r="I697" s="20" t="str">
        <x:v>Resultados estratégicos</x:v>
      </x:c>
      <x:c r="J697" s="20" t="str">
        <x:v>S3. Construir un modelo sostenible y escalable</x:v>
      </x:c>
      <x:c r="K697" s="20" t="n">
        <x:v>104</x:v>
      </x:c>
      <x:c r="L697" s="20" t="n">
        <x:v>89.16815666240954</x:v>
      </x:c>
      <x:c r="M697" s="52" t="n">
        <x:v>0.1663356504468718</x:v>
      </x:c>
      <x:c r="N697" s="20" t="str">
        <x:v>Strong improvement</x:v>
      </x:c>
      <x:c r="O697" s="20" t="str">
        <x:v>Prototype retrieval heuristic; association is not proof of causality.</x:v>
      </x:c>
      <x:c r="P697" s="20" t="str">
        <x:v>YES</x:v>
      </x:c>
    </x:row>
    <x:row r="698">
      <x:c r="A698" s="20" t="str">
        <x:v>REC-F05</x:v>
      </x:c>
      <x:c r="B698" s="20" t="str">
        <x:v>Variación presupuestal</x:v>
      </x:c>
      <x:c r="C698" s="20" t="n">
        <x:v>1</x:v>
      </x:c>
      <x:c r="D698" s="20" t="str">
        <x:v>ADM-015</x:v>
      </x:c>
      <x:c r="E698" s="20" t="str">
        <x:v>Reportes financieros mensuales entregados en tiempo</x:v>
      </x:c>
      <x:c r="F698" s="20" t="str">
        <x:v>Same strategic objective; Same BSC perspective</x:v>
      </x:c>
      <x:c r="G698" s="20" t="n">
        <x:v>62</x:v>
      </x:c>
      <x:c r="H698" s="20" t="str">
        <x:v>Administración</x:v>
      </x:c>
      <x:c r="I698" s="20" t="str">
        <x:v>Sostenibilidad financiera</x:v>
      </x:c>
      <x:c r="J698" s="20" t="str">
        <x:v>F4. Mejorar eficiencia y control presupuestal</x:v>
      </x:c>
      <x:c r="K698" s="20" t="n">
        <x:v>100</x:v>
      </x:c>
      <x:c r="L698" s="20" t="n">
        <x:v>88.9514687100894</x:v>
      </x:c>
      <x:c r="M698" s="52" t="n">
        <x:v>0.12420853135005526</x:v>
      </x:c>
      <x:c r="N698" s="20" t="str">
        <x:v>Strong improvement</x:v>
      </x:c>
      <x:c r="O698" s="20" t="str">
        <x:v>Prototype retrieval heuristic; association is not proof of causality.</x:v>
      </x:c>
      <x:c r="P698" s="20" t="str">
        <x:v>YES</x:v>
      </x:c>
    </x:row>
    <x:row r="699">
      <x:c r="A699" s="20" t="str">
        <x:v>REC-F05</x:v>
      </x:c>
      <x:c r="B699" s="20" t="str">
        <x:v>Variación presupuestal</x:v>
      </x:c>
      <x:c r="C699" s="20" t="n">
        <x:v>2</x:v>
      </x:c>
      <x:c r="D699" s="20" t="str">
        <x:v>LEG-005</x:v>
      </x:c>
      <x:c r="E699" s="20" t="str">
        <x:v>Ahorro en costos internos derivados de la simplificación</x:v>
      </x:c>
      <x:c r="F699" s="20" t="str">
        <x:v>Same strategic objective; Same BSC perspective</x:v>
      </x:c>
      <x:c r="G699" s="20" t="n">
        <x:v>62</x:v>
      </x:c>
      <x:c r="H699" s="20" t="str">
        <x:v>Jurídico</x:v>
      </x:c>
      <x:c r="I699" s="20" t="str">
        <x:v>Sostenibilidad financiera</x:v>
      </x:c>
      <x:c r="J699" s="20" t="str">
        <x:v>F4. Mejorar eficiencia y control presupuestal</x:v>
      </x:c>
      <x:c r="K699" s="20" t="n">
        <x:v>20.4</x:v>
      </x:c>
      <x:c r="L699" s="20" t="n">
        <x:v>15.533333333333333</x:v>
      </x:c>
      <x:c r="M699" s="52" t="n">
        <x:v>0.3133047210300428</x:v>
      </x:c>
      <x:c r="N699" s="20" t="str">
        <x:v>Strong improvement</x:v>
      </x:c>
      <x:c r="O699" s="20" t="str">
        <x:v>Prototype retrieval heuristic; association is not proof of causality.</x:v>
      </x:c>
      <x:c r="P699" s="20" t="str">
        <x:v>YES</x:v>
      </x:c>
    </x:row>
    <x:row r="700">
      <x:c r="A700" s="20" t="str">
        <x:v>REC-F05</x:v>
      </x:c>
      <x:c r="B700" s="20" t="str">
        <x:v>Variación presupuestal</x:v>
      </x:c>
      <x:c r="C700" s="20" t="n">
        <x:v>3</x:v>
      </x:c>
      <x:c r="D700" s="20" t="str">
        <x:v>REC-F06</x:v>
      </x:c>
      <x:c r="E700" s="20" t="str">
        <x:v>Costo por beneficiario</x:v>
      </x:c>
      <x:c r="F700" s="20" t="str">
        <x:v>Same strategic objective; Same BSC perspective</x:v>
      </x:c>
      <x:c r="G700" s="20" t="n">
        <x:v>62</x:v>
      </x:c>
      <x:c r="H700" s="20" t="str">
        <x:v>Administración + Operaciones</x:v>
      </x:c>
      <x:c r="I700" s="20" t="str">
        <x:v>Sostenibilidad financiera</x:v>
      </x:c>
      <x:c r="J700" s="20" t="str">
        <x:v>F4. Mejorar eficiencia y control presupuestal</x:v>
      </x:c>
      <x:c r="K700" s="20" t="n">
        <x:v>3550</x:v>
      </x:c>
      <x:c r="L700" s="20" t="n">
        <x:v>3958.3333333333335</x:v>
      </x:c>
      <x:c r="M700" s="52"/>
      <x:c r="N700" s="20" t="str">
        <x:v>No data</x:v>
      </x:c>
      <x:c r="O700" s="20" t="str">
        <x:v>Prototype retrieval heuristic; association is not proof of causality.</x:v>
      </x:c>
      <x:c r="P700" s="20" t="str">
        <x:v>YES</x:v>
      </x:c>
    </x:row>
    <x:row r="701">
      <x:c r="A701" s="20" t="str">
        <x:v>REC-F05</x:v>
      </x:c>
      <x:c r="B701" s="20" t="str">
        <x:v>Variación presupuestal</x:v>
      </x:c>
      <x:c r="C701" s="20" t="n">
        <x:v>4</x:v>
      </x:c>
      <x:c r="D701" s="20" t="str">
        <x:v>ADM-001</x:v>
      </x:c>
      <x:c r="E701" s="20" t="str">
        <x:v>Facturación de donativos emitida dentro del SLA</x:v>
      </x:c>
      <x:c r="F701" s="20" t="str">
        <x:v>Strategic-map adjacent objective</x:v>
      </x:c>
      <x:c r="G701" s="20" t="n">
        <x:v>40</x:v>
      </x:c>
      <x:c r="H701" s="20" t="str">
        <x:v>Administración</x:v>
      </x:c>
      <x:c r="I701" s="20" t="str">
        <x:v>Procesos internos</x:v>
      </x:c>
      <x:c r="J701" s="20" t="str">
        <x:v>P4. Simplificar y digitalizar procesos</x:v>
      </x:c>
      <x:c r="K701" s="20" t="n">
        <x:v>100</x:v>
      </x:c>
      <x:c r="L701" s="20" t="n">
        <x:v>89.08024931406226</x:v>
      </x:c>
      <x:c r="M701" s="52" t="n">
        <x:v>0.12258329730801444</x:v>
      </x:c>
      <x:c r="N701" s="20" t="str">
        <x:v>Strong improvement</x:v>
      </x:c>
      <x:c r="O701" s="20" t="str">
        <x:v>Prototype retrieval heuristic; association is not proof of causality.</x:v>
      </x:c>
      <x:c r="P701" s="20" t="str">
        <x:v>YES</x:v>
      </x:c>
    </x:row>
    <x:row r="702">
      <x:c r="A702" s="20" t="str">
        <x:v>REC-F05</x:v>
      </x:c>
      <x:c r="B702" s="20" t="str">
        <x:v>Variación presupuestal</x:v>
      </x:c>
      <x:c r="C702" s="20" t="n">
        <x:v>5</x:v>
      </x:c>
      <x:c r="D702" s="20" t="str">
        <x:v>ADM-002</x:v>
      </x:c>
      <x:c r="E702" s="20" t="str">
        <x:v>Solicitudes de compra procesadas dentro del SLA</x:v>
      </x:c>
      <x:c r="F702" s="20" t="str">
        <x:v>Strategic-map adjacent objective</x:v>
      </x:c>
      <x:c r="G702" s="20" t="n">
        <x:v>40</x:v>
      </x:c>
      <x:c r="H702" s="20" t="str">
        <x:v>Administración</x:v>
      </x:c>
      <x:c r="I702" s="20" t="str">
        <x:v>Procesos internos</x:v>
      </x:c>
      <x:c r="J702" s="20" t="str">
        <x:v>P4. Simplificar y digitalizar procesos</x:v>
      </x:c>
      <x:c r="K702" s="20" t="n">
        <x:v>100</x:v>
      </x:c>
      <x:c r="L702" s="20" t="n">
        <x:v>89.08024931406226</x:v>
      </x:c>
      <x:c r="M702" s="52" t="n">
        <x:v>0.12258329730801444</x:v>
      </x:c>
      <x:c r="N702" s="20" t="str">
        <x:v>Strong improvement</x:v>
      </x:c>
      <x:c r="O702" s="20" t="str">
        <x:v>Prototype retrieval heuristic; association is not proof of causality.</x:v>
      </x:c>
      <x:c r="P702" s="20" t="str">
        <x:v>YES</x:v>
      </x:c>
    </x:row>
    <x:row r="703">
      <x:c r="A703" s="20" t="str">
        <x:v>REC-F05</x:v>
      </x:c>
      <x:c r="B703" s="20" t="str">
        <x:v>Variación presupuestal</x:v>
      </x:c>
      <x:c r="C703" s="20" t="n">
        <x:v>6</x:v>
      </x:c>
      <x:c r="D703" s="20" t="str">
        <x:v>FND-001</x:v>
      </x:c>
      <x:c r="E703" s="20" t="str">
        <x:v>Fondos recaudados — Tu Donativo x2 (Chivas)</x:v>
      </x:c>
      <x:c r="F703" s="20" t="str">
        <x:v>Same BSC perspective</x:v>
      </x:c>
      <x:c r="G703" s="20" t="n">
        <x:v>12</x:v>
      </x:c>
      <x:c r="H703" s="20" t="str">
        <x:v>Procuración de Fondos</x:v>
      </x:c>
      <x:c r="I703" s="20" t="str">
        <x:v>Sostenibilidad financiera</x:v>
      </x:c>
      <x:c r="J703" s="20" t="str">
        <x:v>F1. Diversificar y aumentar fuentes</x:v>
      </x:c>
      <x:c r="K703" s="20" t="n">
        <x:v>40800</x:v>
      </x:c>
      <x:c r="L703" s="20" t="n">
        <x:v>31333.333333333332</x:v>
      </x:c>
      <x:c r="M703" s="52" t="n">
        <x:v>0.30212765957446813</x:v>
      </x:c>
      <x:c r="N703" s="20" t="str">
        <x:v>Strong improvement</x:v>
      </x:c>
      <x:c r="O703" s="20" t="str">
        <x:v>Prototype retrieval heuristic; association is not proof of causality.</x:v>
      </x:c>
      <x:c r="P703" s="20" t="str">
        <x:v>YES</x:v>
      </x:c>
    </x:row>
    <x:row r="704">
      <x:c r="A704" s="20" t="str">
        <x:v>REC-F05</x:v>
      </x:c>
      <x:c r="B704" s="20" t="str">
        <x:v>Variación presupuestal</x:v>
      </x:c>
      <x:c r="C704" s="20" t="n">
        <x:v>7</x:v>
      </x:c>
      <x:c r="D704" s="20" t="str">
        <x:v>ADM-003</x:v>
      </x:c>
      <x:c r="E704" s="20" t="str">
        <x:v>Pagos realizados en la fecha programada</x:v>
      </x:c>
      <x:c r="F704" s="20" t="str">
        <x:v>Strategic-map adjacent objective</x:v>
      </x:c>
      <x:c r="G704" s="20" t="n">
        <x:v>40</x:v>
      </x:c>
      <x:c r="H704" s="20" t="str">
        <x:v>Administración</x:v>
      </x:c>
      <x:c r="I704" s="20" t="str">
        <x:v>Procesos internos</x:v>
      </x:c>
      <x:c r="J704" s="20" t="str">
        <x:v>P4. Simplificar y digitalizar procesos</x:v>
      </x:c>
      <x:c r="K704" s="20" t="n">
        <x:v>100</x:v>
      </x:c>
      <x:c r="L704" s="20" t="n">
        <x:v>89.49938949938951</x:v>
      </x:c>
      <x:c r="M704" s="52" t="n">
        <x:v>0.11732605729877206</x:v>
      </x:c>
      <x:c r="N704" s="20" t="str">
        <x:v>Strong improvement</x:v>
      </x:c>
      <x:c r="O704" s="20" t="str">
        <x:v>Prototype retrieval heuristic; association is not proof of causality.</x:v>
      </x:c>
      <x:c r="P704" s="20" t="str">
        <x:v>YES</x:v>
      </x:c>
    </x:row>
    <x:row r="705">
      <x:c r="A705" s="20" t="str">
        <x:v>REC-F05</x:v>
      </x:c>
      <x:c r="B705" s="20" t="str">
        <x:v>Variación presupuestal</x:v>
      </x:c>
      <x:c r="C705" s="20" t="n">
        <x:v>8</x:v>
      </x:c>
      <x:c r="D705" s="20" t="str">
        <x:v>ADM-016</x:v>
      </x:c>
      <x:c r="E705" s="20" t="str">
        <x:v>Viajes gestionados dentro de una semana</x:v>
      </x:c>
      <x:c r="F705" s="20" t="str">
        <x:v>Strategic-map adjacent objective</x:v>
      </x:c>
      <x:c r="G705" s="20" t="n">
        <x:v>40</x:v>
      </x:c>
      <x:c r="H705" s="20" t="str">
        <x:v>Administración</x:v>
      </x:c>
      <x:c r="I705" s="20" t="str">
        <x:v>Procesos internos</x:v>
      </x:c>
      <x:c r="J705" s="20" t="str">
        <x:v>P4. Simplificar y digitalizar procesos</x:v>
      </x:c>
      <x:c r="K705" s="20" t="n">
        <x:v>100</x:v>
      </x:c>
      <x:c r="L705" s="20" t="n">
        <x:v>88.9514687100894</x:v>
      </x:c>
      <x:c r="M705" s="52" t="n">
        <x:v>0.12420853135005526</x:v>
      </x:c>
      <x:c r="N705" s="20" t="str">
        <x:v>Strong improvement</x:v>
      </x:c>
      <x:c r="O705" s="20" t="str">
        <x:v>Prototype retrieval heuristic; association is not proof of causality.</x:v>
      </x:c>
      <x:c r="P705" s="20" t="str">
        <x:v>YES</x:v>
      </x:c>
    </x:row>
    <x:row r="706">
      <x:c r="A706" s="20" t="str">
        <x:v>REC-F06</x:v>
      </x:c>
      <x:c r="B706" s="20" t="str">
        <x:v>Costo por beneficiario</x:v>
      </x:c>
      <x:c r="C706" s="20" t="n">
        <x:v>1</x:v>
      </x:c>
      <x:c r="D706" s="20" t="str">
        <x:v>ADM-015</x:v>
      </x:c>
      <x:c r="E706" s="20" t="str">
        <x:v>Reportes financieros mensuales entregados en tiempo</x:v>
      </x:c>
      <x:c r="F706" s="20" t="str">
        <x:v>Same strategic objective; Same BSC perspective</x:v>
      </x:c>
      <x:c r="G706" s="20" t="n">
        <x:v>62</x:v>
      </x:c>
      <x:c r="H706" s="20" t="str">
        <x:v>Administración</x:v>
      </x:c>
      <x:c r="I706" s="20" t="str">
        <x:v>Sostenibilidad financiera</x:v>
      </x:c>
      <x:c r="J706" s="20" t="str">
        <x:v>F4. Mejorar eficiencia y control presupuestal</x:v>
      </x:c>
      <x:c r="K706" s="20" t="n">
        <x:v>100</x:v>
      </x:c>
      <x:c r="L706" s="20" t="n">
        <x:v>88.9514687100894</x:v>
      </x:c>
      <x:c r="M706" s="52" t="n">
        <x:v>0.12420853135005526</x:v>
      </x:c>
      <x:c r="N706" s="20" t="str">
        <x:v>Strong improvement</x:v>
      </x:c>
      <x:c r="O706" s="20" t="str">
        <x:v>Prototype retrieval heuristic; association is not proof of causality.</x:v>
      </x:c>
      <x:c r="P706" s="20" t="str">
        <x:v>YES</x:v>
      </x:c>
    </x:row>
    <x:row r="707">
      <x:c r="A707" s="20" t="str">
        <x:v>REC-F06</x:v>
      </x:c>
      <x:c r="B707" s="20" t="str">
        <x:v>Costo por beneficiario</x:v>
      </x:c>
      <x:c r="C707" s="20" t="n">
        <x:v>2</x:v>
      </x:c>
      <x:c r="D707" s="20" t="str">
        <x:v>LEG-005</x:v>
      </x:c>
      <x:c r="E707" s="20" t="str">
        <x:v>Ahorro en costos internos derivados de la simplificación</x:v>
      </x:c>
      <x:c r="F707" s="20" t="str">
        <x:v>Same strategic objective; Same BSC perspective</x:v>
      </x:c>
      <x:c r="G707" s="20" t="n">
        <x:v>62</x:v>
      </x:c>
      <x:c r="H707" s="20" t="str">
        <x:v>Jurídico</x:v>
      </x:c>
      <x:c r="I707" s="20" t="str">
        <x:v>Sostenibilidad financiera</x:v>
      </x:c>
      <x:c r="J707" s="20" t="str">
        <x:v>F4. Mejorar eficiencia y control presupuestal</x:v>
      </x:c>
      <x:c r="K707" s="20" t="n">
        <x:v>20.4</x:v>
      </x:c>
      <x:c r="L707" s="20" t="n">
        <x:v>15.533333333333333</x:v>
      </x:c>
      <x:c r="M707" s="52" t="n">
        <x:v>0.3133047210300428</x:v>
      </x:c>
      <x:c r="N707" s="20" t="str">
        <x:v>Strong improvement</x:v>
      </x:c>
      <x:c r="O707" s="20" t="str">
        <x:v>Prototype retrieval heuristic; association is not proof of causality.</x:v>
      </x:c>
      <x:c r="P707" s="20" t="str">
        <x:v>YES</x:v>
      </x:c>
    </x:row>
    <x:row r="708">
      <x:c r="A708" s="20" t="str">
        <x:v>REC-F06</x:v>
      </x:c>
      <x:c r="B708" s="20" t="str">
        <x:v>Costo por beneficiario</x:v>
      </x:c>
      <x:c r="C708" s="20" t="n">
        <x:v>3</x:v>
      </x:c>
      <x:c r="D708" s="20" t="str">
        <x:v>REC-F05</x:v>
      </x:c>
      <x:c r="E708" s="20" t="str">
        <x:v>Variación presupuestal</x:v>
      </x:c>
      <x:c r="F708" s="20" t="str">
        <x:v>Same strategic objective; Same BSC perspective</x:v>
      </x:c>
      <x:c r="G708" s="20" t="n">
        <x:v>62</x:v>
      </x:c>
      <x:c r="H708" s="20" t="str">
        <x:v>Administración + Finanzas</x:v>
      </x:c>
      <x:c r="I708" s="20" t="str">
        <x:v>Sostenibilidad financiera</x:v>
      </x:c>
      <x:c r="J708" s="20" t="str">
        <x:v>F4. Mejorar eficiencia y control presupuestal</x:v>
      </x:c>
      <x:c r="K708" s="20" t="n">
        <x:v>4.2</x:v>
      </x:c>
      <x:c r="L708" s="20" t="n">
        <x:v>7.5</x:v>
      </x:c>
      <x:c r="M708" s="52" t="n">
        <x:v>0.44</x:v>
      </x:c>
      <x:c r="N708" s="20" t="str">
        <x:v>Strong improvement</x:v>
      </x:c>
      <x:c r="O708" s="20" t="str">
        <x:v>Prototype retrieval heuristic; association is not proof of causality.</x:v>
      </x:c>
      <x:c r="P708" s="20" t="str">
        <x:v>YES</x:v>
      </x:c>
    </x:row>
    <x:row r="709">
      <x:c r="A709" s="20" t="str">
        <x:v>REC-F06</x:v>
      </x:c>
      <x:c r="B709" s="20" t="str">
        <x:v>Costo por beneficiario</x:v>
      </x:c>
      <x:c r="C709" s="20" t="n">
        <x:v>4</x:v>
      </x:c>
      <x:c r="D709" s="20" t="str">
        <x:v>ADM-001</x:v>
      </x:c>
      <x:c r="E709" s="20" t="str">
        <x:v>Facturación de donativos emitida dentro del SLA</x:v>
      </x:c>
      <x:c r="F709" s="20" t="str">
        <x:v>Strategic-map adjacent objective</x:v>
      </x:c>
      <x:c r="G709" s="20" t="n">
        <x:v>40</x:v>
      </x:c>
      <x:c r="H709" s="20" t="str">
        <x:v>Administración</x:v>
      </x:c>
      <x:c r="I709" s="20" t="str">
        <x:v>Procesos internos</x:v>
      </x:c>
      <x:c r="J709" s="20" t="str">
        <x:v>P4. Simplificar y digitalizar procesos</x:v>
      </x:c>
      <x:c r="K709" s="20" t="n">
        <x:v>100</x:v>
      </x:c>
      <x:c r="L709" s="20" t="n">
        <x:v>89.08024931406226</x:v>
      </x:c>
      <x:c r="M709" s="52" t="n">
        <x:v>0.12258329730801444</x:v>
      </x:c>
      <x:c r="N709" s="20" t="str">
        <x:v>Strong improvement</x:v>
      </x:c>
      <x:c r="O709" s="20" t="str">
        <x:v>Prototype retrieval heuristic; association is not proof of causality.</x:v>
      </x:c>
      <x:c r="P709" s="20" t="str">
        <x:v>YES</x:v>
      </x:c>
    </x:row>
    <x:row r="710">
      <x:c r="A710" s="20" t="str">
        <x:v>REC-F06</x:v>
      </x:c>
      <x:c r="B710" s="20" t="str">
        <x:v>Costo por beneficiario</x:v>
      </x:c>
      <x:c r="C710" s="20" t="n">
        <x:v>5</x:v>
      </x:c>
      <x:c r="D710" s="20" t="str">
        <x:v>ADM-002</x:v>
      </x:c>
      <x:c r="E710" s="20" t="str">
        <x:v>Solicitudes de compra procesadas dentro del SLA</x:v>
      </x:c>
      <x:c r="F710" s="20" t="str">
        <x:v>Strategic-map adjacent objective</x:v>
      </x:c>
      <x:c r="G710" s="20" t="n">
        <x:v>40</x:v>
      </x:c>
      <x:c r="H710" s="20" t="str">
        <x:v>Administración</x:v>
      </x:c>
      <x:c r="I710" s="20" t="str">
        <x:v>Procesos internos</x:v>
      </x:c>
      <x:c r="J710" s="20" t="str">
        <x:v>P4. Simplificar y digitalizar procesos</x:v>
      </x:c>
      <x:c r="K710" s="20" t="n">
        <x:v>100</x:v>
      </x:c>
      <x:c r="L710" s="20" t="n">
        <x:v>89.08024931406226</x:v>
      </x:c>
      <x:c r="M710" s="52" t="n">
        <x:v>0.12258329730801444</x:v>
      </x:c>
      <x:c r="N710" s="20" t="str">
        <x:v>Strong improvement</x:v>
      </x:c>
      <x:c r="O710" s="20" t="str">
        <x:v>Prototype retrieval heuristic; association is not proof of causality.</x:v>
      </x:c>
      <x:c r="P710" s="20" t="str">
        <x:v>YES</x:v>
      </x:c>
    </x:row>
    <x:row r="711">
      <x:c r="A711" s="20" t="str">
        <x:v>REC-F06</x:v>
      </x:c>
      <x:c r="B711" s="20" t="str">
        <x:v>Costo por beneficiario</x:v>
      </x:c>
      <x:c r="C711" s="20" t="n">
        <x:v>6</x:v>
      </x:c>
      <x:c r="D711" s="20" t="str">
        <x:v>FND-001</x:v>
      </x:c>
      <x:c r="E711" s="20" t="str">
        <x:v>Fondos recaudados — Tu Donativo x2 (Chivas)</x:v>
      </x:c>
      <x:c r="F711" s="20" t="str">
        <x:v>Same BSC perspective</x:v>
      </x:c>
      <x:c r="G711" s="20" t="n">
        <x:v>12</x:v>
      </x:c>
      <x:c r="H711" s="20" t="str">
        <x:v>Procuración de Fondos</x:v>
      </x:c>
      <x:c r="I711" s="20" t="str">
        <x:v>Sostenibilidad financiera</x:v>
      </x:c>
      <x:c r="J711" s="20" t="str">
        <x:v>F1. Diversificar y aumentar fuentes</x:v>
      </x:c>
      <x:c r="K711" s="20" t="n">
        <x:v>40800</x:v>
      </x:c>
      <x:c r="L711" s="20" t="n">
        <x:v>31333.333333333332</x:v>
      </x:c>
      <x:c r="M711" s="52" t="n">
        <x:v>0.30212765957446813</x:v>
      </x:c>
      <x:c r="N711" s="20" t="str">
        <x:v>Strong improvement</x:v>
      </x:c>
      <x:c r="O711" s="20" t="str">
        <x:v>Prototype retrieval heuristic; association is not proof of causality.</x:v>
      </x:c>
      <x:c r="P711" s="20" t="str">
        <x:v>YES</x:v>
      </x:c>
    </x:row>
    <x:row r="712">
      <x:c r="A712" s="20" t="str">
        <x:v>REC-F06</x:v>
      </x:c>
      <x:c r="B712" s="20" t="str">
        <x:v>Costo por beneficiario</x:v>
      </x:c>
      <x:c r="C712" s="20" t="n">
        <x:v>7</x:v>
      </x:c>
      <x:c r="D712" s="20" t="str">
        <x:v>ADM-003</x:v>
      </x:c>
      <x:c r="E712" s="20" t="str">
        <x:v>Pagos realizados en la fecha programada</x:v>
      </x:c>
      <x:c r="F712" s="20" t="str">
        <x:v>Strategic-map adjacent objective</x:v>
      </x:c>
      <x:c r="G712" s="20" t="n">
        <x:v>40</x:v>
      </x:c>
      <x:c r="H712" s="20" t="str">
        <x:v>Administración</x:v>
      </x:c>
      <x:c r="I712" s="20" t="str">
        <x:v>Procesos internos</x:v>
      </x:c>
      <x:c r="J712" s="20" t="str">
        <x:v>P4. Simplificar y digitalizar procesos</x:v>
      </x:c>
      <x:c r="K712" s="20" t="n">
        <x:v>100</x:v>
      </x:c>
      <x:c r="L712" s="20" t="n">
        <x:v>89.49938949938951</x:v>
      </x:c>
      <x:c r="M712" s="52" t="n">
        <x:v>0.11732605729877206</x:v>
      </x:c>
      <x:c r="N712" s="20" t="str">
        <x:v>Strong improvement</x:v>
      </x:c>
      <x:c r="O712" s="20" t="str">
        <x:v>Prototype retrieval heuristic; association is not proof of causality.</x:v>
      </x:c>
      <x:c r="P712" s="20" t="str">
        <x:v>YES</x:v>
      </x:c>
    </x:row>
    <x:row r="713">
      <x:c r="A713" s="20" t="str">
        <x:v>REC-F06</x:v>
      </x:c>
      <x:c r="B713" s="20" t="str">
        <x:v>Costo por beneficiario</x:v>
      </x:c>
      <x:c r="C713" s="20" t="n">
        <x:v>8</x:v>
      </x:c>
      <x:c r="D713" s="20" t="str">
        <x:v>ADM-016</x:v>
      </x:c>
      <x:c r="E713" s="20" t="str">
        <x:v>Viajes gestionados dentro de una semana</x:v>
      </x:c>
      <x:c r="F713" s="20" t="str">
        <x:v>Strategic-map adjacent objective</x:v>
      </x:c>
      <x:c r="G713" s="20" t="n">
        <x:v>40</x:v>
      </x:c>
      <x:c r="H713" s="20" t="str">
        <x:v>Administración</x:v>
      </x:c>
      <x:c r="I713" s="20" t="str">
        <x:v>Procesos internos</x:v>
      </x:c>
      <x:c r="J713" s="20" t="str">
        <x:v>P4. Simplificar y digitalizar procesos</x:v>
      </x:c>
      <x:c r="K713" s="20" t="n">
        <x:v>100</x:v>
      </x:c>
      <x:c r="L713" s="20" t="n">
        <x:v>88.9514687100894</x:v>
      </x:c>
      <x:c r="M713" s="52" t="n">
        <x:v>0.12420853135005526</x:v>
      </x:c>
      <x:c r="N713" s="20" t="str">
        <x:v>Strong improvement</x:v>
      </x:c>
      <x:c r="O713" s="20" t="str">
        <x:v>Prototype retrieval heuristic; association is not proof of causality.</x:v>
      </x:c>
      <x:c r="P713" s="20" t="str">
        <x:v>YES</x:v>
      </x:c>
    </x:row>
    <x:row r="714">
      <x:c r="A714" s="20" t="str">
        <x:v>REC-P01</x:v>
      </x:c>
      <x:c r="B714" s="20" t="str">
        <x:v>Programas ejecutados conforme al plan</x:v>
      </x:c>
      <x:c r="C714" s="20" t="n">
        <x:v>1</x:v>
      </x:c>
      <x:c r="D714" s="20" t="str">
        <x:v>OPS-012</x:v>
      </x:c>
      <x:c r="E714" s="20" t="str">
        <x:v>Países con plan de escalamiento de nutrición listo para 2027</x:v>
      </x:c>
      <x:c r="F714" s="20" t="str">
        <x:v>Same strategic objective; Same department; Same BSC perspective</x:v>
      </x:c>
      <x:c r="G714" s="20" t="n">
        <x:v>85</x:v>
      </x:c>
      <x:c r="H714" s="20" t="str">
        <x:v>Operaciones</x:v>
      </x:c>
      <x:c r="I714" s="20" t="str">
        <x:v>Procesos internos</x:v>
      </x:c>
      <x:c r="J714" s="20" t="str">
        <x:v>P1. Estandarizar y escalar programas</x:v>
      </x:c>
      <x:c r="K714" s="20" t="n">
        <x:v>100</x:v>
      </x:c>
      <x:c r="L714" s="20" t="n">
        <x:v>91.66666666666667</x:v>
      </x:c>
      <x:c r="M714" s="52" t="n">
        <x:v>0.09090909090909086</x:v>
      </x:c>
      <x:c r="N714" s="20" t="str">
        <x:v>Improving</x:v>
      </x:c>
      <x:c r="O714" s="20" t="str">
        <x:v>Prototype retrieval heuristic; association is not proof of causality.</x:v>
      </x:c>
      <x:c r="P714" s="20" t="str">
        <x:v>YES</x:v>
      </x:c>
    </x:row>
    <x:row r="715">
      <x:c r="A715" s="20" t="str">
        <x:v>REC-P01</x:v>
      </x:c>
      <x:c r="B715" s="20" t="str">
        <x:v>Programas ejecutados conforme al plan</x:v>
      </x:c>
      <x:c r="C715" s="20" t="n">
        <x:v>2</x:v>
      </x:c>
      <x:c r="D715" s="20" t="str">
        <x:v>REC-C01</x:v>
      </x:c>
      <x:c r="E715" s="20" t="str">
        <x:v>Tasa de finalización/retención de participantes</x:v>
      </x:c>
      <x:c r="F715" s="20" t="str">
        <x:v>Strategic-map adjacent objective; Same department</x:v>
      </x:c>
      <x:c r="G715" s="20" t="n">
        <x:v>67</x:v>
      </x:c>
      <x:c r="H715" s="20" t="str">
        <x:v>Operaciones</x:v>
      </x:c>
      <x:c r="I715" s="20" t="str">
        <x:v>Beneficiarios y grupos de interés</x:v>
      </x:c>
      <x:c r="J715" s="20" t="str">
        <x:v>C1. Incrementar alcance y acceso</x:v>
      </x:c>
      <x:c r="K715" s="20" t="n">
        <x:v>87.02222222222223</x:v>
      </x:c>
      <x:c r="L715" s="20" t="n">
        <x:v>76.02109644766095</x:v>
      </x:c>
      <x:c r="M715" s="52" t="n">
        <x:v>0.14471148521430935</x:v>
      </x:c>
      <x:c r="N715" s="20" t="str">
        <x:v>Strong improvement</x:v>
      </x:c>
      <x:c r="O715" s="20" t="str">
        <x:v>Prototype retrieval heuristic; association is not proof of causality.</x:v>
      </x:c>
      <x:c r="P715" s="20" t="str">
        <x:v>YES</x:v>
      </x:c>
    </x:row>
    <x:row r="716">
      <x:c r="A716" s="20" t="str">
        <x:v>REC-P01</x:v>
      </x:c>
      <x:c r="B716" s="20" t="str">
        <x:v>Programas ejecutados conforme al plan</x:v>
      </x:c>
      <x:c r="C716" s="20" t="n">
        <x:v>3</x:v>
      </x:c>
      <x:c r="D716" s="20" t="str">
        <x:v>REC-S02</x:v>
      </x:c>
      <x:c r="E716" s="20" t="str">
        <x:v>Cumplimiento de cobertura total de beneficiarios</x:v>
      </x:c>
      <x:c r="F716" s="20" t="str">
        <x:v>Strategic-map adjacent objective; Same department</x:v>
      </x:c>
      <x:c r="G716" s="20" t="n">
        <x:v>67</x:v>
      </x:c>
      <x:c r="H716" s="20" t="str">
        <x:v>Operaciones</x:v>
      </x:c>
      <x:c r="I716" s="20" t="str">
        <x:v>Resultados estratégicos</x:v>
      </x:c>
      <x:c r="J716" s="20" t="str">
        <x:v>S2. Ampliar alcance geográfico y poblacional</x:v>
      </x:c>
      <x:c r="K716" s="20" t="n">
        <x:v>96</x:v>
      </x:c>
      <x:c r="L716" s="20" t="n">
        <x:v>83.97843053781752</x:v>
      </x:c>
      <x:c r="M716" s="52" t="n">
        <x:v>0.14315068030199588</x:v>
      </x:c>
      <x:c r="N716" s="20" t="str">
        <x:v>Strong improvement</x:v>
      </x:c>
      <x:c r="O716" s="20" t="str">
        <x:v>Prototype retrieval heuristic; association is not proof of causality.</x:v>
      </x:c>
      <x:c r="P716" s="20" t="str">
        <x:v>YES</x:v>
      </x:c>
    </x:row>
    <x:row r="717">
      <x:c r="A717" s="20" t="str">
        <x:v>REC-P01</x:v>
      </x:c>
      <x:c r="B717" s="20" t="str">
        <x:v>Programas ejecutados conforme al plan</x:v>
      </x:c>
      <x:c r="C717" s="20" t="n">
        <x:v>4</x:v>
      </x:c>
      <x:c r="D717" s="20" t="str">
        <x:v>OPS-001</x:v>
      </x:c>
      <x:c r="E717" s="20" t="str">
        <x:v>Países con operación programática activa según modelo definido</x:v>
      </x:c>
      <x:c r="F717" s="20" t="str">
        <x:v>Strategic-map adjacent objective; Same department</x:v>
      </x:c>
      <x:c r="G717" s="20" t="n">
        <x:v>65</x:v>
      </x:c>
      <x:c r="H717" s="20" t="str">
        <x:v>Operaciones</x:v>
      </x:c>
      <x:c r="I717" s="20" t="str">
        <x:v>Resultados estratégicos</x:v>
      </x:c>
      <x:c r="J717" s="20" t="str">
        <x:v>S2. Ampliar alcance geográfico y poblacional</x:v>
      </x:c>
      <x:c r="K717" s="20" t="n">
        <x:v>4</x:v>
      </x:c>
      <x:c r="L717" s="20" t="n">
        <x:v>2.6666666666666665</x:v>
      </x:c>
      <x:c r="M717" s="52" t="n">
        <x:v>0.5000000000000001</x:v>
      </x:c>
      <x:c r="N717" s="20" t="str">
        <x:v>Strong improvement</x:v>
      </x:c>
      <x:c r="O717" s="20" t="str">
        <x:v>Prototype retrieval heuristic; association is not proof of causality.</x:v>
      </x:c>
      <x:c r="P717" s="20" t="str">
        <x:v>YES</x:v>
      </x:c>
    </x:row>
    <x:row r="718">
      <x:c r="A718" s="20" t="str">
        <x:v>REC-P01</x:v>
      </x:c>
      <x:c r="B718" s="20" t="str">
        <x:v>Programas ejecutados conforme al plan</x:v>
      </x:c>
      <x:c r="C718" s="20" t="n">
        <x:v>5</x:v>
      </x:c>
      <x:c r="D718" s="20" t="str">
        <x:v>OPS-002</x:v>
      </x:c>
      <x:c r="E718" s="20" t="str">
        <x:v>Asistencia regular de beneficiarios</x:v>
      </x:c>
      <x:c r="F718" s="20" t="str">
        <x:v>Strategic-map adjacent objective; Same department</x:v>
      </x:c>
      <x:c r="G718" s="20" t="n">
        <x:v>65</x:v>
      </x:c>
      <x:c r="H718" s="20" t="str">
        <x:v>Operaciones</x:v>
      </x:c>
      <x:c r="I718" s="20" t="str">
        <x:v>Beneficiarios y grupos de interés</x:v>
      </x:c>
      <x:c r="J718" s="20" t="str">
        <x:v>C1. Incrementar alcance y acceso</x:v>
      </x:c>
      <x:c r="K718" s="20" t="n">
        <x:v>81.95555555555556</x:v>
      </x:c>
      <x:c r="L718" s="20" t="n">
        <x:v>70.98183624237264</x:v>
      </x:c>
      <x:c r="M718" s="52" t="n">
        <x:v>0.15459897762735192</x:v>
      </x:c>
      <x:c r="N718" s="20" t="str">
        <x:v>Strong improvement</x:v>
      </x:c>
      <x:c r="O718" s="20" t="str">
        <x:v>Prototype retrieval heuristic; association is not proof of causality.</x:v>
      </x:c>
      <x:c r="P718" s="20" t="str">
        <x:v>YES</x:v>
      </x:c>
    </x:row>
    <x:row r="719">
      <x:c r="A719" s="20" t="str">
        <x:v>REC-P01</x:v>
      </x:c>
      <x:c r="B719" s="20" t="str">
        <x:v>Programas ejecutados conforme al plan</x:v>
      </x:c>
      <x:c r="C719" s="20" t="n">
        <x:v>6</x:v>
      </x:c>
      <x:c r="D719" s="20" t="str">
        <x:v>REC-P02</x:v>
      </x:c>
      <x:c r="E719" s="20" t="str">
        <x:v>Cobertura de medición de impacto</x:v>
      </x:c>
      <x:c r="F719" s="20" t="str">
        <x:v>Same department; Same BSC perspective</x:v>
      </x:c>
      <x:c r="G719" s="20" t="n">
        <x:v>37</x:v>
      </x:c>
      <x:c r="H719" s="20" t="str">
        <x:v>Operaciones</x:v>
      </x:c>
      <x:c r="I719" s="20" t="str">
        <x:v>Procesos internos</x:v>
      </x:c>
      <x:c r="J719" s="20" t="str">
        <x:v>P2. Fortalecer medición de impacto</x:v>
      </x:c>
      <x:c r="K719" s="20" t="n">
        <x:v>100</x:v>
      </x:c>
      <x:c r="L719" s="20" t="n">
        <x:v>88.9514687100894</x:v>
      </x:c>
      <x:c r="M719" s="52" t="n">
        <x:v>0.12420853135005526</x:v>
      </x:c>
      <x:c r="N719" s="20" t="str">
        <x:v>Strong improvement</x:v>
      </x:c>
      <x:c r="O719" s="20" t="str">
        <x:v>Prototype retrieval heuristic; association is not proof of causality.</x:v>
      </x:c>
      <x:c r="P719" s="20" t="str">
        <x:v>YES</x:v>
      </x:c>
    </x:row>
    <x:row r="720">
      <x:c r="A720" s="20" t="str">
        <x:v>REC-P01</x:v>
      </x:c>
      <x:c r="B720" s="20" t="str">
        <x:v>Programas ejecutados conforme al plan</x:v>
      </x:c>
      <x:c r="C720" s="20" t="n">
        <x:v>7</x:v>
      </x:c>
      <x:c r="D720" s="20" t="str">
        <x:v>OPS-006</x:v>
      </x:c>
      <x:c r="E720" s="20" t="str">
        <x:v>Beneficiarios que alcanzan competencia deportiva inicial</x:v>
      </x:c>
      <x:c r="F720" s="20" t="str">
        <x:v>Strategic-map adjacent objective; Same department</x:v>
      </x:c>
      <x:c r="G720" s="20" t="n">
        <x:v>65</x:v>
      </x:c>
      <x:c r="H720" s="20" t="str">
        <x:v>Operaciones</x:v>
      </x:c>
      <x:c r="I720" s="20" t="str">
        <x:v>Beneficiarios y grupos de interés</x:v>
      </x:c>
      <x:c r="J720" s="20" t="str">
        <x:v>C2. Mejorar resultados obtenidos</x:v>
      </x:c>
      <x:c r="K720" s="20" t="n">
        <x:v>72</x:v>
      </x:c>
      <x:c r="L720" s="20" t="n">
        <x:v>61.00146634501679</x:v>
      </x:c>
      <x:c r="M720" s="52" t="n">
        <x:v>0.18029949629041472</x:v>
      </x:c>
      <x:c r="N720" s="20" t="str">
        <x:v>Strong improvement</x:v>
      </x:c>
      <x:c r="O720" s="20" t="str">
        <x:v>Prototype retrieval heuristic; association is not proof of causality.</x:v>
      </x:c>
      <x:c r="P720" s="20" t="str">
        <x:v>YES</x:v>
      </x:c>
    </x:row>
    <x:row r="721">
      <x:c r="A721" s="20" t="str">
        <x:v>REC-P01</x:v>
      </x:c>
      <x:c r="B721" s="20" t="str">
        <x:v>Programas ejecutados conforme al plan</x:v>
      </x:c>
      <x:c r="C721" s="20" t="n">
        <x:v>8</x:v>
      </x:c>
      <x:c r="D721" s="20" t="str">
        <x:v>OPS-008</x:v>
      </x:c>
      <x:c r="E721" s="20" t="str">
        <x:v>Cobertura del piloto de nutrición infantil</x:v>
      </x:c>
      <x:c r="F721" s="20" t="str">
        <x:v>Strategic-map adjacent objective; Same department</x:v>
      </x:c>
      <x:c r="G721" s="20" t="n">
        <x:v>65</x:v>
      </x:c>
      <x:c r="H721" s="20" t="str">
        <x:v>Operaciones</x:v>
      </x:c>
      <x:c r="I721" s="20" t="str">
        <x:v>Beneficiarios y grupos de interés</x:v>
      </x:c>
      <x:c r="J721" s="20" t="str">
        <x:v>C1. Incrementar alcance y acceso</x:v>
      </x:c>
      <x:c r="K721" s="20" t="n">
        <x:v>100</x:v>
      </x:c>
      <x:c r="L721" s="20" t="n">
        <x:v>88.9514687100894</x:v>
      </x:c>
      <x:c r="M721" s="52" t="n">
        <x:v>0.12420853135005526</x:v>
      </x:c>
      <x:c r="N721" s="20" t="str">
        <x:v>Strong improvement</x:v>
      </x:c>
      <x:c r="O721" s="20" t="str">
        <x:v>Prototype retrieval heuristic; association is not proof of causality.</x:v>
      </x:c>
      <x:c r="P721" s="20" t="str">
        <x:v>YES</x:v>
      </x:c>
    </x:row>
    <x:row r="722">
      <x:c r="A722" s="20" t="str">
        <x:v>REC-P02</x:v>
      </x:c>
      <x:c r="B722" s="20" t="str">
        <x:v>Cobertura de medición de impacto</x:v>
      </x:c>
      <x:c r="C722" s="20" t="n">
        <x:v>1</x:v>
      </x:c>
      <x:c r="D722" s="20" t="str">
        <x:v>OPS-009</x:v>
      </x:c>
      <x:c r="E722" s="20" t="str">
        <x:v>Cobertura de seguimiento nutricional con registros completos</x:v>
      </x:c>
      <x:c r="F722" s="20" t="str">
        <x:v>Same strategic objective; Same department; Same BSC perspective</x:v>
      </x:c>
      <x:c r="G722" s="20" t="n">
        <x:v>85</x:v>
      </x:c>
      <x:c r="H722" s="20" t="str">
        <x:v>Operaciones</x:v>
      </x:c>
      <x:c r="I722" s="20" t="str">
        <x:v>Procesos internos</x:v>
      </x:c>
      <x:c r="J722" s="20" t="str">
        <x:v>P2. Fortalecer medición de impacto</x:v>
      </x:c>
      <x:c r="K722" s="20" t="n">
        <x:v>96</x:v>
      </x:c>
      <x:c r="L722" s="20" t="n">
        <x:v>84.01745423584504</x:v>
      </x:c>
      <x:c r="M722" s="52" t="n">
        <x:v>0.14261971959444059</x:v>
      </x:c>
      <x:c r="N722" s="20" t="str">
        <x:v>Strong improvement</x:v>
      </x:c>
      <x:c r="O722" s="20" t="str">
        <x:v>Prototype retrieval heuristic; association is not proof of causality.</x:v>
      </x:c>
      <x:c r="P722" s="20" t="str">
        <x:v>YES</x:v>
      </x:c>
    </x:row>
    <x:row r="723">
      <x:c r="A723" s="20" t="str">
        <x:v>REC-P02</x:v>
      </x:c>
      <x:c r="B723" s="20" t="str">
        <x:v>Cobertura de medición de impacto</x:v>
      </x:c>
      <x:c r="C723" s="20" t="n">
        <x:v>2</x:v>
      </x:c>
      <x:c r="D723" s="20" t="str">
        <x:v>OPS-019</x:v>
      </x:c>
      <x:c r="E723" s="20" t="str">
        <x:v>Proyectos OSC con seguimiento y reporte de resultados aprobado</x:v>
      </x:c>
      <x:c r="F723" s="20" t="str">
        <x:v>Same strategic objective; Same department; Same BSC perspective</x:v>
      </x:c>
      <x:c r="G723" s="20" t="n">
        <x:v>85</x:v>
      </x:c>
      <x:c r="H723" s="20" t="str">
        <x:v>Operaciones</x:v>
      </x:c>
      <x:c r="I723" s="20" t="str">
        <x:v>Procesos internos</x:v>
      </x:c>
      <x:c r="J723" s="20" t="str">
        <x:v>P2. Fortalecer medición de impacto</x:v>
      </x:c>
      <x:c r="K723" s="20" t="n">
        <x:v>100</x:v>
      </x:c>
      <x:c r="L723" s="20" t="n">
        <x:v>88.9514687100894</x:v>
      </x:c>
      <x:c r="M723" s="52" t="n">
        <x:v>0.12420853135005526</x:v>
      </x:c>
      <x:c r="N723" s="20" t="str">
        <x:v>Strong improvement</x:v>
      </x:c>
      <x:c r="O723" s="20" t="str">
        <x:v>Prototype retrieval heuristic; association is not proof of causality.</x:v>
      </x:c>
      <x:c r="P723" s="20" t="str">
        <x:v>YES</x:v>
      </x:c>
    </x:row>
    <x:row r="724">
      <x:c r="A724" s="20" t="str">
        <x:v>REC-P02</x:v>
      </x:c>
      <x:c r="B724" s="20" t="str">
        <x:v>Cobertura de medición de impacto</x:v>
      </x:c>
      <x:c r="C724" s="20" t="n">
        <x:v>3</x:v>
      </x:c>
      <x:c r="D724" s="20" t="str">
        <x:v>MKT-002</x:v>
      </x:c>
      <x:c r="E724" s="20" t="str">
        <x:v>Acciones de mejora derivadas de analítica implementadas en plazo</x:v>
      </x:c>
      <x:c r="F724" s="20" t="str">
        <x:v>Same strategic objective; Same BSC perspective</x:v>
      </x:c>
      <x:c r="G724" s="20" t="n">
        <x:v>60</x:v>
      </x:c>
      <x:c r="H724" s="20" t="str">
        <x:v>Marketing y Comunicación</x:v>
      </x:c>
      <x:c r="I724" s="20" t="str">
        <x:v>Procesos internos</x:v>
      </x:c>
      <x:c r="J724" s="20" t="str">
        <x:v>P2. Fortalecer medición de impacto</x:v>
      </x:c>
      <x:c r="K724" s="20" t="n">
        <x:v>82.14285714285714</x:v>
      </x:c>
      <x:c r="L724" s="20" t="n">
        <x:v>71.67277167277167</x:v>
      </x:c>
      <x:c r="M724" s="52" t="n">
        <x:v>0.1460817717206132</x:v>
      </x:c>
      <x:c r="N724" s="20" t="str">
        <x:v>Strong improvement</x:v>
      </x:c>
      <x:c r="O724" s="20" t="str">
        <x:v>Prototype retrieval heuristic; association is not proof of causality.</x:v>
      </x:c>
      <x:c r="P724" s="20" t="str">
        <x:v>YES</x:v>
      </x:c>
    </x:row>
    <x:row r="725">
      <x:c r="A725" s="20" t="str">
        <x:v>REC-P02</x:v>
      </x:c>
      <x:c r="B725" s="20" t="str">
        <x:v>Cobertura de medición de impacto</x:v>
      </x:c>
      <x:c r="C725" s="20" t="n">
        <x:v>4</x:v>
      </x:c>
      <x:c r="D725" s="20" t="str">
        <x:v>OPS-003</x:v>
      </x:c>
      <x:c r="E725" s="20" t="str">
        <x:v>Mejora de habilidades psicosociales</x:v>
      </x:c>
      <x:c r="F725" s="20" t="str">
        <x:v>Strategic-map adjacent objective; Same department</x:v>
      </x:c>
      <x:c r="G725" s="20" t="n">
        <x:v>65</x:v>
      </x:c>
      <x:c r="H725" s="20" t="str">
        <x:v>Operaciones</x:v>
      </x:c>
      <x:c r="I725" s="20" t="str">
        <x:v>Resultados estratégicos</x:v>
      </x:c>
      <x:c r="J725" s="20" t="str">
        <x:v>S1. Generar impacto integral y medible</x:v>
      </x:c>
      <x:c r="K725" s="20" t="n">
        <x:v>30.6</x:v>
      </x:c>
      <x:c r="L725" s="20" t="n">
        <x:v>23.3</x:v>
      </x:c>
      <x:c r="M725" s="52" t="n">
        <x:v>0.3133047210300429</x:v>
      </x:c>
      <x:c r="N725" s="20" t="str">
        <x:v>Strong improvement</x:v>
      </x:c>
      <x:c r="O725" s="20" t="str">
        <x:v>Prototype retrieval heuristic; association is not proof of causality.</x:v>
      </x:c>
      <x:c r="P725" s="20" t="str">
        <x:v>YES</x:v>
      </x:c>
    </x:row>
    <x:row r="726">
      <x:c r="A726" s="20" t="str">
        <x:v>REC-P02</x:v>
      </x:c>
      <x:c r="B726" s="20" t="str">
        <x:v>Cobertura de medición de impacto</x:v>
      </x:c>
      <x:c r="C726" s="20" t="n">
        <x:v>5</x:v>
      </x:c>
      <x:c r="D726" s="20" t="str">
        <x:v>OPS-004</x:v>
      </x:c>
      <x:c r="E726" s="20" t="str">
        <x:v>Mejora de habilidades deportivas</x:v>
      </x:c>
      <x:c r="F726" s="20" t="str">
        <x:v>Strategic-map adjacent objective; Same department</x:v>
      </x:c>
      <x:c r="G726" s="20" t="n">
        <x:v>65</x:v>
      </x:c>
      <x:c r="H726" s="20" t="str">
        <x:v>Operaciones</x:v>
      </x:c>
      <x:c r="I726" s="20" t="str">
        <x:v>Resultados estratégicos</x:v>
      </x:c>
      <x:c r="J726" s="20" t="str">
        <x:v>S1. Generar impacto integral y medible</x:v>
      </x:c>
      <x:c r="K726" s="20" t="n">
        <x:v>30.6</x:v>
      </x:c>
      <x:c r="L726" s="20" t="n">
        <x:v>23.3</x:v>
      </x:c>
      <x:c r="M726" s="52" t="n">
        <x:v>0.3133047210300429</x:v>
      </x:c>
      <x:c r="N726" s="20" t="str">
        <x:v>Strong improvement</x:v>
      </x:c>
      <x:c r="O726" s="20" t="str">
        <x:v>Prototype retrieval heuristic; association is not proof of causality.</x:v>
      </x:c>
      <x:c r="P726" s="20" t="str">
        <x:v>YES</x:v>
      </x:c>
    </x:row>
    <x:row r="727">
      <x:c r="A727" s="20" t="str">
        <x:v>REC-P02</x:v>
      </x:c>
      <x:c r="B727" s="20" t="str">
        <x:v>Cobertura de medición de impacto</x:v>
      </x:c>
      <x:c r="C727" s="20" t="n">
        <x:v>6</x:v>
      </x:c>
      <x:c r="D727" s="20" t="str">
        <x:v>OPS-005</x:v>
      </x:c>
      <x:c r="E727" s="20" t="str">
        <x:v>Incremento del tiempo de actividad física de beneficiarios</x:v>
      </x:c>
      <x:c r="F727" s="20" t="str">
        <x:v>Strategic-map adjacent objective; Same department</x:v>
      </x:c>
      <x:c r="G727" s="20" t="n">
        <x:v>65</x:v>
      </x:c>
      <x:c r="H727" s="20" t="str">
        <x:v>Operaciones</x:v>
      </x:c>
      <x:c r="I727" s="20" t="str">
        <x:v>Resultados estratégicos</x:v>
      </x:c>
      <x:c r="J727" s="20" t="str">
        <x:v>S1. Generar impacto integral y medible</x:v>
      </x:c>
      <x:c r="K727" s="20" t="n">
        <x:v>30.596330275229356</x:v>
      </x:c>
      <x:c r="L727" s="20" t="n">
        <x:v>23.29935275080906</x:v>
      </x:c>
      <x:c r="M727" s="52" t="n">
        <x:v>0.31318370095782644</x:v>
      </x:c>
      <x:c r="N727" s="20" t="str">
        <x:v>Strong improvement</x:v>
      </x:c>
      <x:c r="O727" s="20" t="str">
        <x:v>Prototype retrieval heuristic; association is not proof of causality.</x:v>
      </x:c>
      <x:c r="P727" s="20" t="str">
        <x:v>YES</x:v>
      </x:c>
    </x:row>
    <x:row r="728">
      <x:c r="A728" s="20" t="str">
        <x:v>REC-P02</x:v>
      </x:c>
      <x:c r="B728" s="20" t="str">
        <x:v>Cobertura de medición de impacto</x:v>
      </x:c>
      <x:c r="C728" s="20" t="n">
        <x:v>7</x:v>
      </x:c>
      <x:c r="D728" s="20" t="str">
        <x:v>OPS-006</x:v>
      </x:c>
      <x:c r="E728" s="20" t="str">
        <x:v>Beneficiarios que alcanzan competencia deportiva inicial</x:v>
      </x:c>
      <x:c r="F728" s="20" t="str">
        <x:v>Strategic-map adjacent objective; Same department</x:v>
      </x:c>
      <x:c r="G728" s="20" t="n">
        <x:v>65</x:v>
      </x:c>
      <x:c r="H728" s="20" t="str">
        <x:v>Operaciones</x:v>
      </x:c>
      <x:c r="I728" s="20" t="str">
        <x:v>Beneficiarios y grupos de interés</x:v>
      </x:c>
      <x:c r="J728" s="20" t="str">
        <x:v>C2. Mejorar resultados obtenidos</x:v>
      </x:c>
      <x:c r="K728" s="20" t="n">
        <x:v>72</x:v>
      </x:c>
      <x:c r="L728" s="20" t="n">
        <x:v>61.00146634501679</x:v>
      </x:c>
      <x:c r="M728" s="52" t="n">
        <x:v>0.18029949629041472</x:v>
      </x:c>
      <x:c r="N728" s="20" t="str">
        <x:v>Strong improvement</x:v>
      </x:c>
      <x:c r="O728" s="20" t="str">
        <x:v>Prototype retrieval heuristic; association is not proof of causality.</x:v>
      </x:c>
      <x:c r="P728" s="20" t="str">
        <x:v>YES</x:v>
      </x:c>
    </x:row>
    <x:row r="729">
      <x:c r="A729" s="20" t="str">
        <x:v>REC-P02</x:v>
      </x:c>
      <x:c r="B729" s="20" t="str">
        <x:v>Cobertura de medición de impacto</x:v>
      </x:c>
      <x:c r="C729" s="20" t="n">
        <x:v>8</x:v>
      </x:c>
      <x:c r="D729" s="20" t="str">
        <x:v>REC-P01</x:v>
      </x:c>
      <x:c r="E729" s="20" t="str">
        <x:v>Programas ejecutados conforme al plan</x:v>
      </x:c>
      <x:c r="F729" s="20" t="str">
        <x:v>Same department; Same BSC perspective</x:v>
      </x:c>
      <x:c r="G729" s="20" t="n">
        <x:v>37</x:v>
      </x:c>
      <x:c r="H729" s="20" t="str">
        <x:v>Operaciones</x:v>
      </x:c>
      <x:c r="I729" s="20" t="str">
        <x:v>Procesos internos</x:v>
      </x:c>
      <x:c r="J729" s="20" t="str">
        <x:v>P1. Estandarizar y escalar programas</x:v>
      </x:c>
      <x:c r="K729" s="20" t="n">
        <x:v>93.33333333333333</x:v>
      </x:c>
      <x:c r="L729" s="20" t="n">
        <x:v>81.77655677655677</x:v>
      </x:c>
      <x:c r="M729" s="52" t="n">
        <x:v>0.14132138857782753</x:v>
      </x:c>
      <x:c r="N729" s="20" t="str">
        <x:v>Strong improvement</x:v>
      </x:c>
      <x:c r="O729" s="20" t="str">
        <x:v>Prototype retrieval heuristic; association is not proof of causality.</x:v>
      </x:c>
      <x:c r="P729" s="20" t="str">
        <x:v>YES</x:v>
      </x:c>
    </x:row>
    <x:row r="730">
      <x:c r="A730" s="20" t="str">
        <x:v>REC-P03</x:v>
      </x:c>
      <x:c r="B730" s="20" t="str">
        <x:v>Conversión de campaña a nuevo donante</x:v>
      </x:c>
      <x:c r="C730" s="20" t="n">
        <x:v>1</x:v>
      </x:c>
      <x:c r="D730" s="20" t="str">
        <x:v>REC-M02</x:v>
      </x:c>
      <x:c r="E730" s="20" t="str">
        <x:v>Costo de adquisición de nuevo donante</x:v>
      </x:c>
      <x:c r="F730" s="20" t="str">
        <x:v>Same strategic objective; Same BSC perspective</x:v>
      </x:c>
      <x:c r="G730" s="20" t="n">
        <x:v>62</x:v>
      </x:c>
      <x:c r="H730" s="20" t="str">
        <x:v>Marketing y Comunicación</x:v>
      </x:c>
      <x:c r="I730" s="20" t="str">
        <x:v>Procesos internos</x:v>
      </x:c>
      <x:c r="J730" s="20" t="str">
        <x:v>P3. Integrar Marketing + Procuración</x:v>
      </x:c>
      <x:c r="K730" s="20" t="n">
        <x:v>760</x:v>
      </x:c>
      <x:c r="L730" s="20" t="n">
        <x:v>896.6666666666666</x:v>
      </x:c>
      <x:c r="M730" s="52" t="n">
        <x:v>0.15241635687732338</x:v>
      </x:c>
      <x:c r="N730" s="20" t="str">
        <x:v>Strong improvement</x:v>
      </x:c>
      <x:c r="O730" s="20" t="str">
        <x:v>Prototype retrieval heuristic; association is not proof of causality.</x:v>
      </x:c>
      <x:c r="P730" s="20" t="str">
        <x:v>YES</x:v>
      </x:c>
    </x:row>
    <x:row r="731">
      <x:c r="A731" s="20" t="str">
        <x:v>REC-P03</x:v>
      </x:c>
      <x:c r="B731" s="20" t="str">
        <x:v>Conversión de campaña a nuevo donante</x:v>
      </x:c>
      <x:c r="C731" s="20" t="n">
        <x:v>2</x:v>
      </x:c>
      <x:c r="D731" s="20" t="str">
        <x:v>MKT-008</x:v>
      </x:c>
      <x:c r="E731" s="20" t="str">
        <x:v>Cumplimiento de ejecución multicanal del lanzamiento</x:v>
      </x:c>
      <x:c r="F731" s="20" t="str">
        <x:v>Same strategic objective; Same BSC perspective</x:v>
      </x:c>
      <x:c r="G731" s="20" t="n">
        <x:v>60</x:v>
      </x:c>
      <x:c r="H731" s="20" t="str">
        <x:v>Marketing y Comunicación</x:v>
      </x:c>
      <x:c r="I731" s="20" t="str">
        <x:v>Procesos internos</x:v>
      </x:c>
      <x:c r="J731" s="20" t="str">
        <x:v>P3. Integrar Marketing + Procuración</x:v>
      </x:c>
      <x:c r="K731" s="20" t="n">
        <x:v>100</x:v>
      </x:c>
      <x:c r="L731" s="20" t="n">
        <x:v>88.9514687100894</x:v>
      </x:c>
      <x:c r="M731" s="52" t="n">
        <x:v>0.12420853135005526</x:v>
      </x:c>
      <x:c r="N731" s="20" t="str">
        <x:v>Strong improvement</x:v>
      </x:c>
      <x:c r="O731" s="20" t="str">
        <x:v>Prototype retrieval heuristic; association is not proof of causality.</x:v>
      </x:c>
      <x:c r="P731" s="20" t="str">
        <x:v>YES</x:v>
      </x:c>
    </x:row>
    <x:row r="732">
      <x:c r="A732" s="20" t="str">
        <x:v>REC-P03</x:v>
      </x:c>
      <x:c r="B732" s="20" t="str">
        <x:v>Conversión de campaña a nuevo donante</x:v>
      </x:c>
      <x:c r="C732" s="20" t="n">
        <x:v>3</x:v>
      </x:c>
      <x:c r="D732" s="20" t="str">
        <x:v>MKT-011</x:v>
      </x:c>
      <x:c r="E732" s="20" t="str">
        <x:v>Actividades principales con cobertura completa de comunicación e impacto</x:v>
      </x:c>
      <x:c r="F732" s="20" t="str">
        <x:v>Same strategic objective; Same BSC perspective</x:v>
      </x:c>
      <x:c r="G732" s="20" t="n">
        <x:v>60</x:v>
      </x:c>
      <x:c r="H732" s="20" t="str">
        <x:v>Marketing y Comunicación</x:v>
      </x:c>
      <x:c r="I732" s="20" t="str">
        <x:v>Procesos internos</x:v>
      </x:c>
      <x:c r="J732" s="20" t="str">
        <x:v>P3. Integrar Marketing + Procuración</x:v>
      </x:c>
      <x:c r="K732" s="20" t="n">
        <x:v>100</x:v>
      </x:c>
      <x:c r="L732" s="20" t="n">
        <x:v>89.21401340466089</x:v>
      </x:c>
      <x:c r="M732" s="52" t="n">
        <x:v>0.12090013870820443</x:v>
      </x:c>
      <x:c r="N732" s="20" t="str">
        <x:v>Strong improvement</x:v>
      </x:c>
      <x:c r="O732" s="20" t="str">
        <x:v>Prototype retrieval heuristic; association is not proof of causality.</x:v>
      </x:c>
      <x:c r="P732" s="20" t="str">
        <x:v>YES</x:v>
      </x:c>
    </x:row>
    <x:row r="733">
      <x:c r="A733" s="20" t="str">
        <x:v>REC-P03</x:v>
      </x:c>
      <x:c r="B733" s="20" t="str">
        <x:v>Conversión de campaña a nuevo donante</x:v>
      </x:c>
      <x:c r="C733" s="20" t="n">
        <x:v>4</x:v>
      </x:c>
      <x:c r="D733" s="20" t="str">
        <x:v>FND-001</x:v>
      </x:c>
      <x:c r="E733" s="20" t="str">
        <x:v>Fondos recaudados — Tu Donativo x2 (Chivas)</x:v>
      </x:c>
      <x:c r="F733" s="20" t="str">
        <x:v>Strategic-map adjacent objective</x:v>
      </x:c>
      <x:c r="G733" s="20" t="n">
        <x:v>42</x:v>
      </x:c>
      <x:c r="H733" s="20" t="str">
        <x:v>Procuración de Fondos</x:v>
      </x:c>
      <x:c r="I733" s="20" t="str">
        <x:v>Sostenibilidad financiera</x:v>
      </x:c>
      <x:c r="J733" s="20" t="str">
        <x:v>F1. Diversificar y aumentar fuentes</x:v>
      </x:c>
      <x:c r="K733" s="20" t="n">
        <x:v>40800</x:v>
      </x:c>
      <x:c r="L733" s="20" t="n">
        <x:v>31333.333333333332</x:v>
      </x:c>
      <x:c r="M733" s="52" t="n">
        <x:v>0.30212765957446813</x:v>
      </x:c>
      <x:c r="N733" s="20" t="str">
        <x:v>Strong improvement</x:v>
      </x:c>
      <x:c r="O733" s="20" t="str">
        <x:v>Prototype retrieval heuristic; association is not proof of causality.</x:v>
      </x:c>
      <x:c r="P733" s="20" t="str">
        <x:v>YES</x:v>
      </x:c>
    </x:row>
    <x:row r="734">
      <x:c r="A734" s="20" t="str">
        <x:v>REC-P03</x:v>
      </x:c>
      <x:c r="B734" s="20" t="str">
        <x:v>Conversión de campaña a nuevo donante</x:v>
      </x:c>
      <x:c r="C734" s="20" t="n">
        <x:v>5</x:v>
      </x:c>
      <x:c r="D734" s="20" t="str">
        <x:v>FND-002</x:v>
      </x:c>
      <x:c r="E734" s="20" t="str">
        <x:v>Fondos recaudados — ¿Cuánto vale una sonrisa? México</x:v>
      </x:c>
      <x:c r="F734" s="20" t="str">
        <x:v>Strategic-map adjacent objective</x:v>
      </x:c>
      <x:c r="G734" s="20" t="n">
        <x:v>42</x:v>
      </x:c>
      <x:c r="H734" s="20" t="str">
        <x:v>Procuración de Fondos</x:v>
      </x:c>
      <x:c r="I734" s="20" t="str">
        <x:v>Sostenibilidad financiera</x:v>
      </x:c>
      <x:c r="J734" s="20" t="str">
        <x:v>F1. Diversificar y aumentar fuentes</x:v>
      </x:c>
      <x:c r="K734" s="20" t="n">
        <x:v>100</x:v>
      </x:c>
      <x:c r="L734" s="20" t="n">
        <x:v>359989</x:v>
      </x:c>
      <x:c r="M734" s="52" t="n">
        <x:v>-0.9997222137343086</x:v>
      </x:c>
      <x:c r="N734" s="20" t="str">
        <x:v>Deteriorating</x:v>
      </x:c>
      <x:c r="O734" s="20" t="str">
        <x:v>Prototype retrieval heuristic; association is not proof of causality.</x:v>
      </x:c>
      <x:c r="P734" s="20" t="str">
        <x:v>YES</x:v>
      </x:c>
    </x:row>
    <x:row r="735">
      <x:c r="A735" s="20" t="str">
        <x:v>REC-P03</x:v>
      </x:c>
      <x:c r="B735" s="20" t="str">
        <x:v>Conversión de campaña a nuevo donante</x:v>
      </x:c>
      <x:c r="C735" s="20" t="n">
        <x:v>6</x:v>
      </x:c>
      <x:c r="D735" s="20" t="str">
        <x:v>MKT-013</x:v>
      </x:c>
      <x:c r="E735" s="20" t="str">
        <x:v>Campañas de procuración con análisis conjunto MKT–PF</x:v>
      </x:c>
      <x:c r="F735" s="20" t="str">
        <x:v>Same strategic objective; Same BSC perspective</x:v>
      </x:c>
      <x:c r="G735" s="20" t="n">
        <x:v>60</x:v>
      </x:c>
      <x:c r="H735" s="20" t="str">
        <x:v>Marketing y Comunicación</x:v>
      </x:c>
      <x:c r="I735" s="20" t="str">
        <x:v>Procesos internos</x:v>
      </x:c>
      <x:c r="J735" s="20" t="str">
        <x:v>P3. Integrar Marketing + Procuración</x:v>
      </x:c>
      <x:c r="K735" s="20" t="n">
        <x:v>100</x:v>
      </x:c>
      <x:c r="L735" s="20" t="n">
        <x:v>88.71031746031747</x:v>
      </x:c>
      <x:c r="M735" s="52" t="n">
        <x:v>0.12726459405054785</x:v>
      </x:c>
      <x:c r="N735" s="20" t="str">
        <x:v>Strong improvement</x:v>
      </x:c>
      <x:c r="O735" s="20" t="str">
        <x:v>Prototype retrieval heuristic; association is not proof of causality.</x:v>
      </x:c>
      <x:c r="P735" s="20" t="str">
        <x:v>YES</x:v>
      </x:c>
    </x:row>
    <x:row r="736">
      <x:c r="A736" s="20" t="str">
        <x:v>REC-P03</x:v>
      </x:c>
      <x:c r="B736" s="20" t="str">
        <x:v>Conversión de campaña a nuevo donante</x:v>
      </x:c>
      <x:c r="C736" s="20" t="n">
        <x:v>7</x:v>
      </x:c>
      <x:c r="D736" s="20" t="str">
        <x:v>MKT-014</x:v>
      </x:c>
      <x:c r="E736" s="20" t="str">
        <x:v>Fondos atribuibles a campañas conjuntas Omnilife–Chivas</x:v>
      </x:c>
      <x:c r="F736" s="20" t="str">
        <x:v>Same strategic objective; Same BSC perspective</x:v>
      </x:c>
      <x:c r="G736" s="20" t="n">
        <x:v>60</x:v>
      </x:c>
      <x:c r="H736" s="20" t="str">
        <x:v>Marketing y Comunicación</x:v>
      </x:c>
      <x:c r="I736" s="20" t="str">
        <x:v>Procesos internos</x:v>
      </x:c>
      <x:c r="J736" s="20" t="str">
        <x:v>P3. Integrar Marketing + Procuración</x:v>
      </x:c>
      <x:c r="K736" s="20" t="n">
        <x:v>2066.52</x:v>
      </x:c>
      <x:c r="L736" s="20" t="n">
        <x:v>1587.0333333333335</x:v>
      </x:c>
      <x:c r="M736" s="52" t="n">
        <x:v>0.3021276595744679</x:v>
      </x:c>
      <x:c r="N736" s="20" t="str">
        <x:v>Strong improvement</x:v>
      </x:c>
      <x:c r="O736" s="20" t="str">
        <x:v>Prototype retrieval heuristic; association is not proof of causality.</x:v>
      </x:c>
      <x:c r="P736" s="20" t="str">
        <x:v>YES</x:v>
      </x:c>
    </x:row>
    <x:row r="737">
      <x:c r="A737" s="20" t="str">
        <x:v>REC-P03</x:v>
      </x:c>
      <x:c r="B737" s="20" t="str">
        <x:v>Conversión de campaña a nuevo donante</x:v>
      </x:c>
      <x:c r="C737" s="20" t="n">
        <x:v>8</x:v>
      </x:c>
      <x:c r="D737" s="20" t="str">
        <x:v>FND-003</x:v>
      </x:c>
      <x:c r="E737" s="20" t="str">
        <x:v>Fondos recaudados — ¿Cuánto vale una sonrisa? USA</x:v>
      </x:c>
      <x:c r="F737" s="20" t="str">
        <x:v>Strategic-map adjacent objective</x:v>
      </x:c>
      <x:c r="G737" s="20" t="n">
        <x:v>42</x:v>
      </x:c>
      <x:c r="H737" s="20" t="str">
        <x:v>Procuración de Fondos</x:v>
      </x:c>
      <x:c r="I737" s="20" t="str">
        <x:v>Sostenibilidad financiera</x:v>
      </x:c>
      <x:c r="J737" s="20" t="str">
        <x:v>F1. Diversificar y aumentar fuentes</x:v>
      </x:c>
      <x:c r="K737" s="20" t="n">
        <x:v>100</x:v>
      </x:c>
      <x:c r="L737" s="20" t="n">
        <x:v>29989</x:v>
      </x:c>
      <x:c r="M737" s="52" t="n">
        <x:v>-0.9966654439961319</x:v>
      </x:c>
      <x:c r="N737" s="20" t="str">
        <x:v>Deteriorating</x:v>
      </x:c>
      <x:c r="O737" s="20" t="str">
        <x:v>Prototype retrieval heuristic; association is not proof of causality.</x:v>
      </x:c>
      <x:c r="P737" s="20" t="str">
        <x:v>YES</x:v>
      </x:c>
    </x:row>
    <x:row r="738">
      <x:c r="A738" s="20" t="str">
        <x:v>REC-P04</x:v>
      </x:c>
      <x:c r="B738" s="20" t="str">
        <x:v>Cumplimiento agregado de SLA administrativos</x:v>
      </x:c>
      <x:c r="C738" s="20" t="n">
        <x:v>1</x:v>
      </x:c>
      <x:c r="D738" s="20" t="str">
        <x:v>ADM-001</x:v>
      </x:c>
      <x:c r="E738" s="20" t="str">
        <x:v>Facturación de donativos emitida dentro del SLA</x:v>
      </x:c>
      <x:c r="F738" s="20" t="str">
        <x:v>Same strategic objective; Same department; Same BSC perspective</x:v>
      </x:c>
      <x:c r="G738" s="20" t="n">
        <x:v>85</x:v>
      </x:c>
      <x:c r="H738" s="20" t="str">
        <x:v>Administración</x:v>
      </x:c>
      <x:c r="I738" s="20" t="str">
        <x:v>Procesos internos</x:v>
      </x:c>
      <x:c r="J738" s="20" t="str">
        <x:v>P4. Simplificar y digitalizar procesos</x:v>
      </x:c>
      <x:c r="K738" s="20" t="n">
        <x:v>100</x:v>
      </x:c>
      <x:c r="L738" s="20" t="n">
        <x:v>89.08024931406226</x:v>
      </x:c>
      <x:c r="M738" s="52" t="n">
        <x:v>0.12258329730801444</x:v>
      </x:c>
      <x:c r="N738" s="20" t="str">
        <x:v>Strong improvement</x:v>
      </x:c>
      <x:c r="O738" s="20" t="str">
        <x:v>Prototype retrieval heuristic; association is not proof of causality.</x:v>
      </x:c>
      <x:c r="P738" s="20" t="str">
        <x:v>YES</x:v>
      </x:c>
    </x:row>
    <x:row r="739">
      <x:c r="A739" s="20" t="str">
        <x:v>REC-P04</x:v>
      </x:c>
      <x:c r="B739" s="20" t="str">
        <x:v>Cumplimiento agregado de SLA administrativos</x:v>
      </x:c>
      <x:c r="C739" s="20" t="n">
        <x:v>2</x:v>
      </x:c>
      <x:c r="D739" s="20" t="str">
        <x:v>ADM-002</x:v>
      </x:c>
      <x:c r="E739" s="20" t="str">
        <x:v>Solicitudes de compra procesadas dentro del SLA</x:v>
      </x:c>
      <x:c r="F739" s="20" t="str">
        <x:v>Same strategic objective; Same department; Same BSC perspective</x:v>
      </x:c>
      <x:c r="G739" s="20" t="n">
        <x:v>85</x:v>
      </x:c>
      <x:c r="H739" s="20" t="str">
        <x:v>Administración</x:v>
      </x:c>
      <x:c r="I739" s="20" t="str">
        <x:v>Procesos internos</x:v>
      </x:c>
      <x:c r="J739" s="20" t="str">
        <x:v>P4. Simplificar y digitalizar procesos</x:v>
      </x:c>
      <x:c r="K739" s="20" t="n">
        <x:v>100</x:v>
      </x:c>
      <x:c r="L739" s="20" t="n">
        <x:v>89.08024931406226</x:v>
      </x:c>
      <x:c r="M739" s="52" t="n">
        <x:v>0.12258329730801444</x:v>
      </x:c>
      <x:c r="N739" s="20" t="str">
        <x:v>Strong improvement</x:v>
      </x:c>
      <x:c r="O739" s="20" t="str">
        <x:v>Prototype retrieval heuristic; association is not proof of causality.</x:v>
      </x:c>
      <x:c r="P739" s="20" t="str">
        <x:v>YES</x:v>
      </x:c>
    </x:row>
    <x:row r="740">
      <x:c r="A740" s="20" t="str">
        <x:v>REC-P04</x:v>
      </x:c>
      <x:c r="B740" s="20" t="str">
        <x:v>Cumplimiento agregado de SLA administrativos</x:v>
      </x:c>
      <x:c r="C740" s="20" t="n">
        <x:v>3</x:v>
      </x:c>
      <x:c r="D740" s="20" t="str">
        <x:v>ADM-003</x:v>
      </x:c>
      <x:c r="E740" s="20" t="str">
        <x:v>Pagos realizados en la fecha programada</x:v>
      </x:c>
      <x:c r="F740" s="20" t="str">
        <x:v>Same strategic objective; Same department; Same BSC perspective</x:v>
      </x:c>
      <x:c r="G740" s="20" t="n">
        <x:v>85</x:v>
      </x:c>
      <x:c r="H740" s="20" t="str">
        <x:v>Administración</x:v>
      </x:c>
      <x:c r="I740" s="20" t="str">
        <x:v>Procesos internos</x:v>
      </x:c>
      <x:c r="J740" s="20" t="str">
        <x:v>P4. Simplificar y digitalizar procesos</x:v>
      </x:c>
      <x:c r="K740" s="20" t="n">
        <x:v>100</x:v>
      </x:c>
      <x:c r="L740" s="20" t="n">
        <x:v>89.49938949938951</x:v>
      </x:c>
      <x:c r="M740" s="52" t="n">
        <x:v>0.11732605729877206</x:v>
      </x:c>
      <x:c r="N740" s="20" t="str">
        <x:v>Strong improvement</x:v>
      </x:c>
      <x:c r="O740" s="20" t="str">
        <x:v>Prototype retrieval heuristic; association is not proof of causality.</x:v>
      </x:c>
      <x:c r="P740" s="20" t="str">
        <x:v>YES</x:v>
      </x:c>
    </x:row>
    <x:row r="741">
      <x:c r="A741" s="20" t="str">
        <x:v>REC-P04</x:v>
      </x:c>
      <x:c r="B741" s="20" t="str">
        <x:v>Cumplimiento agregado de SLA administrativos</x:v>
      </x:c>
      <x:c r="C741" s="20" t="n">
        <x:v>4</x:v>
      </x:c>
      <x:c r="D741" s="20" t="str">
        <x:v>ADM-004</x:v>
      </x:c>
      <x:c r="E741" s="20" t="str">
        <x:v>Presupuestos anuales aprobados dentro del calendario</x:v>
      </x:c>
      <x:c r="F741" s="20" t="str">
        <x:v>Strategic-map adjacent objective; Same department</x:v>
      </x:c>
      <x:c r="G741" s="20" t="n">
        <x:v>65</x:v>
      </x:c>
      <x:c r="H741" s="20" t="str">
        <x:v>Administración</x:v>
      </x:c>
      <x:c r="I741" s="20" t="str">
        <x:v>Capacidades y tecnología</x:v>
      </x:c>
      <x:c r="J741" s="20" t="str">
        <x:v>L4. Fortalecer colaboración interdepartamental</x:v>
      </x:c>
      <x:c r="K741" s="20" t="n">
        <x:v>100</x:v>
      </x:c>
      <x:c r="L741" s="20" t="n">
        <x:v>88.9514687100894</x:v>
      </x:c>
      <x:c r="M741" s="52" t="n">
        <x:v>0.12420853135005526</x:v>
      </x:c>
      <x:c r="N741" s="20" t="str">
        <x:v>Strong improvement</x:v>
      </x:c>
      <x:c r="O741" s="20" t="str">
        <x:v>Prototype retrieval heuristic; association is not proof of causality.</x:v>
      </x:c>
      <x:c r="P741" s="20" t="str">
        <x:v>YES</x:v>
      </x:c>
    </x:row>
    <x:row r="742">
      <x:c r="A742" s="20" t="str">
        <x:v>REC-P04</x:v>
      </x:c>
      <x:c r="B742" s="20" t="str">
        <x:v>Cumplimiento agregado de SLA administrativos</x:v>
      </x:c>
      <x:c r="C742" s="20" t="n">
        <x:v>5</x:v>
      </x:c>
      <x:c r="D742" s="20" t="str">
        <x:v>ADM-006</x:v>
      </x:c>
      <x:c r="E742" s="20" t="str">
        <x:v>Informes regulatorios presentados en tiempo y forma</x:v>
      </x:c>
      <x:c r="F742" s="20" t="str">
        <x:v>Strategic-map adjacent objective; Same department</x:v>
      </x:c>
      <x:c r="G742" s="20" t="n">
        <x:v>65</x:v>
      </x:c>
      <x:c r="H742" s="20" t="str">
        <x:v>Administración</x:v>
      </x:c>
      <x:c r="I742" s="20" t="str">
        <x:v>Beneficiarios y grupos de interés</x:v>
      </x:c>
      <x:c r="J742" s="20" t="str">
        <x:v>C3. Fortalecer confianza y credibilidad institucional</x:v>
      </x:c>
      <x:c r="K742" s="20" t="n">
        <x:v>100</x:v>
      </x:c>
      <x:c r="L742" s="20" t="n">
        <x:v>88.9514687100894</x:v>
      </x:c>
      <x:c r="M742" s="52" t="n">
        <x:v>0.12420853135005526</x:v>
      </x:c>
      <x:c r="N742" s="20" t="str">
        <x:v>Strong improvement</x:v>
      </x:c>
      <x:c r="O742" s="20" t="str">
        <x:v>Prototype retrieval heuristic; association is not proof of causality.</x:v>
      </x:c>
      <x:c r="P742" s="20" t="str">
        <x:v>YES</x:v>
      </x:c>
    </x:row>
    <x:row r="743">
      <x:c r="A743" s="20" t="str">
        <x:v>REC-P04</x:v>
      </x:c>
      <x:c r="B743" s="20" t="str">
        <x:v>Cumplimiento agregado de SLA administrativos</x:v>
      </x:c>
      <x:c r="C743" s="20" t="n">
        <x:v>6</x:v>
      </x:c>
      <x:c r="D743" s="20" t="str">
        <x:v>ADM-016</x:v>
      </x:c>
      <x:c r="E743" s="20" t="str">
        <x:v>Viajes gestionados dentro de una semana</x:v>
      </x:c>
      <x:c r="F743" s="20" t="str">
        <x:v>Same strategic objective; Same department; Same BSC perspective</x:v>
      </x:c>
      <x:c r="G743" s="20" t="n">
        <x:v>85</x:v>
      </x:c>
      <x:c r="H743" s="20" t="str">
        <x:v>Administración</x:v>
      </x:c>
      <x:c r="I743" s="20" t="str">
        <x:v>Procesos internos</x:v>
      </x:c>
      <x:c r="J743" s="20" t="str">
        <x:v>P4. Simplificar y digitalizar procesos</x:v>
      </x:c>
      <x:c r="K743" s="20" t="n">
        <x:v>100</x:v>
      </x:c>
      <x:c r="L743" s="20" t="n">
        <x:v>88.9514687100894</x:v>
      </x:c>
      <x:c r="M743" s="52" t="n">
        <x:v>0.12420853135005526</x:v>
      </x:c>
      <x:c r="N743" s="20" t="str">
        <x:v>Strong improvement</x:v>
      </x:c>
      <x:c r="O743" s="20" t="str">
        <x:v>Prototype retrieval heuristic; association is not proof of causality.</x:v>
      </x:c>
      <x:c r="P743" s="20" t="str">
        <x:v>YES</x:v>
      </x:c>
    </x:row>
    <x:row r="744">
      <x:c r="A744" s="20" t="str">
        <x:v>REC-P04</x:v>
      </x:c>
      <x:c r="B744" s="20" t="str">
        <x:v>Cumplimiento agregado de SLA administrativos</x:v>
      </x:c>
      <x:c r="C744" s="20" t="n">
        <x:v>7</x:v>
      </x:c>
      <x:c r="D744" s="20" t="str">
        <x:v>ADM-017</x:v>
      </x:c>
      <x:c r="E744" s="20" t="str">
        <x:v>Viáticos comprobados dentro de 30 días</x:v>
      </x:c>
      <x:c r="F744" s="20" t="str">
        <x:v>Same strategic objective; Same department; Same BSC perspective</x:v>
      </x:c>
      <x:c r="G744" s="20" t="n">
        <x:v>85</x:v>
      </x:c>
      <x:c r="H744" s="20" t="str">
        <x:v>Administración</x:v>
      </x:c>
      <x:c r="I744" s="20" t="str">
        <x:v>Procesos internos</x:v>
      </x:c>
      <x:c r="J744" s="20" t="str">
        <x:v>P4. Simplificar y digitalizar procesos</x:v>
      </x:c>
      <x:c r="K744" s="20" t="n">
        <x:v>100</x:v>
      </x:c>
      <x:c r="L744" s="20" t="n">
        <x:v>88.9514687100894</x:v>
      </x:c>
      <x:c r="M744" s="52" t="n">
        <x:v>0.12420853135005526</x:v>
      </x:c>
      <x:c r="N744" s="20" t="str">
        <x:v>Strong improvement</x:v>
      </x:c>
      <x:c r="O744" s="20" t="str">
        <x:v>Prototype retrieval heuristic; association is not proof of causality.</x:v>
      </x:c>
      <x:c r="P744" s="20" t="str">
        <x:v>YES</x:v>
      </x:c>
    </x:row>
    <x:row r="745">
      <x:c r="A745" s="20" t="str">
        <x:v>REC-P04</x:v>
      </x:c>
      <x:c r="B745" s="20" t="str">
        <x:v>Cumplimiento agregado de SLA administrativos</x:v>
      </x:c>
      <x:c r="C745" s="20" t="n">
        <x:v>8</x:v>
      </x:c>
      <x:c r="D745" s="20" t="str">
        <x:v>LEG-001</x:v>
      </x:c>
      <x:c r="E745" s="20" t="str">
        <x:v>Tiempo de ciclo para liberación contractual</x:v>
      </x:c>
      <x:c r="F745" s="20" t="str">
        <x:v>Same strategic objective; Same BSC perspective</x:v>
      </x:c>
      <x:c r="G745" s="20" t="n">
        <x:v>60</x:v>
      </x:c>
      <x:c r="H745" s="20" t="str">
        <x:v>Jurídico</x:v>
      </x:c>
      <x:c r="I745" s="20" t="str">
        <x:v>Procesos internos</x:v>
      </x:c>
      <x:c r="J745" s="20" t="str">
        <x:v>P4. Simplificar y digitalizar procesos</x:v>
      </x:c>
      <x:c r="K745" s="20" t="n">
        <x:v>3.1</x:v>
      </x:c>
      <x:c r="L745" s="20" t="n">
        <x:v>4.8999999999999995</x:v>
      </x:c>
      <x:c r="M745" s="52" t="n">
        <x:v>0.3673469387755101</x:v>
      </x:c>
      <x:c r="N745" s="20" t="str">
        <x:v>Strong improvement</x:v>
      </x:c>
      <x:c r="O745" s="20" t="str">
        <x:v>Prototype retrieval heuristic; association is not proof of causality.</x:v>
      </x:c>
      <x:c r="P745" s="20" t="str">
        <x:v>YES</x:v>
      </x:c>
    </x:row>
    <x:row r="746">
      <x:c r="A746" s="20" t="str">
        <x:v>REC-P06</x:v>
      </x:c>
      <x:c r="B746" s="20" t="str">
        <x:v>Obligaciones regulatorias vencidas</x:v>
      </x:c>
      <x:c r="C746" s="20" t="n">
        <x:v>1</x:v>
      </x:c>
      <x:c r="D746" s="20" t="str">
        <x:v>LEG-003</x:v>
      </x:c>
      <x:c r="E746" s="20" t="str">
        <x:v>Reducción de cargas regulatorias duplicadas con cumplimiento íntegro</x:v>
      </x:c>
      <x:c r="F746" s="20" t="str">
        <x:v>Same strategic objective; Same department; Same BSC perspective</x:v>
      </x:c>
      <x:c r="G746" s="20" t="n">
        <x:v>85</x:v>
      </x:c>
      <x:c r="H746" s="20" t="str">
        <x:v>Jurídico</x:v>
      </x:c>
      <x:c r="I746" s="20" t="str">
        <x:v>Procesos internos</x:v>
      </x:c>
      <x:c r="J746" s="20" t="str">
        <x:v>P5. Fortalecer cumplimiento, transparencia y gobierno</x:v>
      </x:c>
      <x:c r="K746" s="20" t="n">
        <x:v>52</x:v>
      </x:c>
      <x:c r="L746" s="20" t="n">
        <x:v>41</x:v>
      </x:c>
      <x:c r="M746" s="52" t="n">
        <x:v>0.2682926829268293</x:v>
      </x:c>
      <x:c r="N746" s="20" t="str">
        <x:v>Strong improvement</x:v>
      </x:c>
      <x:c r="O746" s="20" t="str">
        <x:v>Prototype retrieval heuristic; association is not proof of causality.</x:v>
      </x:c>
      <x:c r="P746" s="20" t="str">
        <x:v>YES</x:v>
      </x:c>
    </x:row>
    <x:row r="747">
      <x:c r="A747" s="20" t="str">
        <x:v>REC-P06</x:v>
      </x:c>
      <x:c r="B747" s="20" t="str">
        <x:v>Obligaciones regulatorias vencidas</x:v>
      </x:c>
      <x:c r="C747" s="20" t="n">
        <x:v>2</x:v>
      </x:c>
      <x:c r="D747" s="20" t="str">
        <x:v>LEG-015</x:v>
      </x:c>
      <x:c r="E747" s="20" t="str">
        <x:v>Proyectos OSC con reglas de operación aplicables antes de aprobación</x:v>
      </x:c>
      <x:c r="F747" s="20" t="str">
        <x:v>Same strategic objective; Same department; Same BSC perspective</x:v>
      </x:c>
      <x:c r="G747" s="20" t="n">
        <x:v>85</x:v>
      </x:c>
      <x:c r="H747" s="20" t="str">
        <x:v>Jurídico</x:v>
      </x:c>
      <x:c r="I747" s="20" t="str">
        <x:v>Procesos internos</x:v>
      </x:c>
      <x:c r="J747" s="20" t="str">
        <x:v>P5. Fortalecer cumplimiento, transparencia y gobierno</x:v>
      </x:c>
      <x:c r="K747" s="20" t="n">
        <x:v>100</x:v>
      </x:c>
      <x:c r="L747" s="20" t="n">
        <x:v>88.9514687100894</x:v>
      </x:c>
      <x:c r="M747" s="52" t="n">
        <x:v>0.12420853135005526</x:v>
      </x:c>
      <x:c r="N747" s="20" t="str">
        <x:v>Strong improvement</x:v>
      </x:c>
      <x:c r="O747" s="20" t="str">
        <x:v>Prototype retrieval heuristic; association is not proof of causality.</x:v>
      </x:c>
      <x:c r="P747" s="20" t="str">
        <x:v>YES</x:v>
      </x:c>
    </x:row>
    <x:row r="748">
      <x:c r="A748" s="20" t="str">
        <x:v>REC-P06</x:v>
      </x:c>
      <x:c r="B748" s="20" t="str">
        <x:v>Obligaciones regulatorias vencidas</x:v>
      </x:c>
      <x:c r="C748" s="20" t="n">
        <x:v>3</x:v>
      </x:c>
      <x:c r="D748" s="20" t="str">
        <x:v>LEG-016</x:v>
      </x:c>
      <x:c r="E748" s="20" t="str">
        <x:v>Donativos a OSC con convenio formalizado previo al desembolso</x:v>
      </x:c>
      <x:c r="F748" s="20" t="str">
        <x:v>Same strategic objective; Same department; Same BSC perspective</x:v>
      </x:c>
      <x:c r="G748" s="20" t="n">
        <x:v>85</x:v>
      </x:c>
      <x:c r="H748" s="20" t="str">
        <x:v>Jurídico</x:v>
      </x:c>
      <x:c r="I748" s="20" t="str">
        <x:v>Procesos internos</x:v>
      </x:c>
      <x:c r="J748" s="20" t="str">
        <x:v>P5. Fortalecer cumplimiento, transparencia y gobierno</x:v>
      </x:c>
      <x:c r="K748" s="20" t="n">
        <x:v>100</x:v>
      </x:c>
      <x:c r="L748" s="20" t="n">
        <x:v>89.19551966335592</x:v>
      </x:c>
      <x:c r="M748" s="52" t="n">
        <x:v>0.12113254541733295</x:v>
      </x:c>
      <x:c r="N748" s="20" t="str">
        <x:v>Strong improvement</x:v>
      </x:c>
      <x:c r="O748" s="20" t="str">
        <x:v>Prototype retrieval heuristic; association is not proof of causality.</x:v>
      </x:c>
      <x:c r="P748" s="20" t="str">
        <x:v>YES</x:v>
      </x:c>
    </x:row>
    <x:row r="749">
      <x:c r="A749" s="20" t="str">
        <x:v>REC-P06</x:v>
      </x:c>
      <x:c r="B749" s="20" t="str">
        <x:v>Obligaciones regulatorias vencidas</x:v>
      </x:c>
      <x:c r="C749" s="20" t="n">
        <x:v>4</x:v>
      </x:c>
      <x:c r="D749" s="20" t="str">
        <x:v>LEG-001</x:v>
      </x:c>
      <x:c r="E749" s="20" t="str">
        <x:v>Tiempo de ciclo para liberación contractual</x:v>
      </x:c>
      <x:c r="F749" s="20" t="str">
        <x:v>Strategic-map adjacent objective; Same department; Same BSC perspective</x:v>
      </x:c>
      <x:c r="G749" s="20" t="n">
        <x:v>75</x:v>
      </x:c>
      <x:c r="H749" s="20" t="str">
        <x:v>Jurídico</x:v>
      </x:c>
      <x:c r="I749" s="20" t="str">
        <x:v>Procesos internos</x:v>
      </x:c>
      <x:c r="J749" s="20" t="str">
        <x:v>P4. Simplificar y digitalizar procesos</x:v>
      </x:c>
      <x:c r="K749" s="20" t="n">
        <x:v>3.1</x:v>
      </x:c>
      <x:c r="L749" s="20" t="n">
        <x:v>4.8999999999999995</x:v>
      </x:c>
      <x:c r="M749" s="52" t="n">
        <x:v>0.3673469387755101</x:v>
      </x:c>
      <x:c r="N749" s="20" t="str">
        <x:v>Strong improvement</x:v>
      </x:c>
      <x:c r="O749" s="20" t="str">
        <x:v>Prototype retrieval heuristic; association is not proof of causality.</x:v>
      </x:c>
      <x:c r="P749" s="20" t="str">
        <x:v>YES</x:v>
      </x:c>
    </x:row>
    <x:row r="750">
      <x:c r="A750" s="20" t="str">
        <x:v>REC-P06</x:v>
      </x:c>
      <x:c r="B750" s="20" t="str">
        <x:v>Obligaciones regulatorias vencidas</x:v>
      </x:c>
      <x:c r="C750" s="20" t="n">
        <x:v>5</x:v>
      </x:c>
      <x:c r="D750" s="20" t="str">
        <x:v>LEG-004</x:v>
      </x:c>
      <x:c r="E750" s="20" t="str">
        <x:v>Reducción de procesos administrativos duplicados por estructura societaria</x:v>
      </x:c>
      <x:c r="F750" s="20" t="str">
        <x:v>Strategic-map adjacent objective; Same department; Same BSC perspective</x:v>
      </x:c>
      <x:c r="G750" s="20" t="n">
        <x:v>75</x:v>
      </x:c>
      <x:c r="H750" s="20" t="str">
        <x:v>Jurídico</x:v>
      </x:c>
      <x:c r="I750" s="20" t="str">
        <x:v>Procesos internos</x:v>
      </x:c>
      <x:c r="J750" s="20" t="str">
        <x:v>P4. Simplificar y digitalizar procesos</x:v>
      </x:c>
      <x:c r="K750" s="20" t="n">
        <x:v>52</x:v>
      </x:c>
      <x:c r="L750" s="20" t="n">
        <x:v>41</x:v>
      </x:c>
      <x:c r="M750" s="52" t="n">
        <x:v>0.2682926829268293</x:v>
      </x:c>
      <x:c r="N750" s="20" t="str">
        <x:v>Strong improvement</x:v>
      </x:c>
      <x:c r="O750" s="20" t="str">
        <x:v>Prototype retrieval heuristic; association is not proof of causality.</x:v>
      </x:c>
      <x:c r="P750" s="20" t="str">
        <x:v>YES</x:v>
      </x:c>
    </x:row>
    <x:row r="751">
      <x:c r="A751" s="20" t="str">
        <x:v>REC-P06</x:v>
      </x:c>
      <x:c r="B751" s="20" t="str">
        <x:v>Obligaciones regulatorias vencidas</x:v>
      </x:c>
      <x:c r="C751" s="20" t="n">
        <x:v>6</x:v>
      </x:c>
      <x:c r="D751" s="20" t="str">
        <x:v>LEG-017</x:v>
      </x:c>
      <x:c r="E751" s="20" t="str">
        <x:v>Proyectos OSC con cierre operativo-financiero validado</x:v>
      </x:c>
      <x:c r="F751" s="20" t="str">
        <x:v>Same strategic objective; Same department; Same BSC perspective</x:v>
      </x:c>
      <x:c r="G751" s="20" t="n">
        <x:v>85</x:v>
      </x:c>
      <x:c r="H751" s="20" t="str">
        <x:v>Jurídico</x:v>
      </x:c>
      <x:c r="I751" s="20" t="str">
        <x:v>Procesos internos</x:v>
      </x:c>
      <x:c r="J751" s="20" t="str">
        <x:v>P5. Fortalecer cumplimiento, transparencia y gobierno</x:v>
      </x:c>
      <x:c r="K751" s="20" t="n">
        <x:v>100</x:v>
      </x:c>
      <x:c r="L751" s="20" t="n">
        <x:v>88.9514687100894</x:v>
      </x:c>
      <x:c r="M751" s="52" t="n">
        <x:v>0.12420853135005526</x:v>
      </x:c>
      <x:c r="N751" s="20" t="str">
        <x:v>Strong improvement</x:v>
      </x:c>
      <x:c r="O751" s="20" t="str">
        <x:v>Prototype retrieval heuristic; association is not proof of causality.</x:v>
      </x:c>
      <x:c r="P751" s="20" t="str">
        <x:v>YES</x:v>
      </x:c>
    </x:row>
    <x:row r="752">
      <x:c r="A752" s="20" t="str">
        <x:v>REC-P06</x:v>
      </x:c>
      <x:c r="B752" s="20" t="str">
        <x:v>Obligaciones regulatorias vencidas</x:v>
      </x:c>
      <x:c r="C752" s="20" t="n">
        <x:v>7</x:v>
      </x:c>
      <x:c r="D752" s="20" t="str">
        <x:v>LEG-002</x:v>
      </x:c>
      <x:c r="E752" s="20" t="str">
        <x:v>Expedientes jurídicos completos en repositorio digital</x:v>
      </x:c>
      <x:c r="F752" s="20" t="str">
        <x:v>Strategic-map adjacent objective; Same department</x:v>
      </x:c>
      <x:c r="G752" s="20" t="n">
        <x:v>65</x:v>
      </x:c>
      <x:c r="H752" s="20" t="str">
        <x:v>Jurídico</x:v>
      </x:c>
      <x:c r="I752" s="20" t="str">
        <x:v>Capacidades y tecnología</x:v>
      </x:c>
      <x:c r="J752" s="20" t="str">
        <x:v>L2. Integrar información en una sola plataforma</x:v>
      </x:c>
      <x:c r="K752" s="20" t="n">
        <x:v>100</x:v>
      </x:c>
      <x:c r="L752" s="20" t="n">
        <x:v>89.11166916321555</x:v>
      </x:c>
      <x:c r="M752" s="52" t="n">
        <x:v>0.12218748609502028</x:v>
      </x:c>
      <x:c r="N752" s="20" t="str">
        <x:v>Strong improvement</x:v>
      </x:c>
      <x:c r="O752" s="20" t="str">
        <x:v>Prototype retrieval heuristic; association is not proof of causality.</x:v>
      </x:c>
      <x:c r="P752" s="20" t="str">
        <x:v>YES</x:v>
      </x:c>
    </x:row>
    <x:row r="753">
      <x:c r="A753" s="20" t="str">
        <x:v>REC-P06</x:v>
      </x:c>
      <x:c r="B753" s="20" t="str">
        <x:v>Obligaciones regulatorias vencidas</x:v>
      </x:c>
      <x:c r="C753" s="20" t="n">
        <x:v>8</x:v>
      </x:c>
      <x:c r="D753" s="20" t="str">
        <x:v>REC-P04</x:v>
      </x:c>
      <x:c r="E753" s="20" t="str">
        <x:v>Cumplimiento agregado de SLA administrativos</x:v>
      </x:c>
      <x:c r="F753" s="20" t="str">
        <x:v>Strategic-map adjacent objective; Same BSC perspective</x:v>
      </x:c>
      <x:c r="G753" s="20" t="n">
        <x:v>52</x:v>
      </x:c>
      <x:c r="H753" s="20" t="str">
        <x:v>Administración</x:v>
      </x:c>
      <x:c r="I753" s="20" t="str">
        <x:v>Procesos internos</x:v>
      </x:c>
      <x:c r="J753" s="20" t="str">
        <x:v>P4. Simplificar y digitalizar procesos</x:v>
      </x:c>
      <x:c r="K753" s="20" t="n">
        <x:v>96</x:v>
      </x:c>
      <x:c r="L753" s="20" t="n">
        <x:v>84.01745423584504</x:v>
      </x:c>
      <x:c r="M753" s="52" t="n">
        <x:v>0.14261971959444059</x:v>
      </x:c>
      <x:c r="N753" s="20" t="str">
        <x:v>Strong improvement</x:v>
      </x:c>
      <x:c r="O753" s="20" t="str">
        <x:v>Prototype retrieval heuristic; association is not proof of causality.</x:v>
      </x:c>
      <x:c r="P753" s="20" t="str">
        <x:v>YES</x:v>
      </x:c>
    </x:row>
    <x:row r="754">
      <x:c r="A754" s="20" t="str">
        <x:v>REC-P07</x:v>
      </x:c>
      <x:c r="B754" s="20" t="str">
        <x:v>Conversión de alianzas estratégicas a recursos o capacidad programática</x:v>
      </x:c>
      <x:c r="C754" s="20" t="n">
        <x:v>1</x:v>
      </x:c>
      <x:c r="D754" s="20" t="str">
        <x:v>FND-016</x:v>
      </x:c>
      <x:c r="E754" s="20" t="str">
        <x:v>Nuevas alianzas estratégicas activas por país</x:v>
      </x:c>
      <x:c r="F754" s="20" t="str">
        <x:v>Same strategic objective; Same department; Same BSC perspective</x:v>
      </x:c>
      <x:c r="G754" s="20" t="n">
        <x:v>85</x:v>
      </x:c>
      <x:c r="H754" s="20" t="str">
        <x:v>Procuración de Fondos</x:v>
      </x:c>
      <x:c r="I754" s="20" t="str">
        <x:v>Procesos internos</x:v>
      </x:c>
      <x:c r="J754" s="20" t="str">
        <x:v>P6. Construir ecosistema de alianzas</x:v>
      </x:c>
      <x:c r="K754" s="20" t="n">
        <x:v>4</x:v>
      </x:c>
      <x:c r="L754" s="20" t="n">
        <x:v>2.6666666666666665</x:v>
      </x:c>
      <x:c r="M754" s="52" t="n">
        <x:v>0.5000000000000001</x:v>
      </x:c>
      <x:c r="N754" s="20" t="str">
        <x:v>Strong improvement</x:v>
      </x:c>
      <x:c r="O754" s="20" t="str">
        <x:v>Prototype retrieval heuristic; association is not proof of causality.</x:v>
      </x:c>
      <x:c r="P754" s="20" t="str">
        <x:v>YES</x:v>
      </x:c>
    </x:row>
    <x:row r="755">
      <x:c r="A755" s="20" t="str">
        <x:v>REC-P07</x:v>
      </x:c>
      <x:c r="B755" s="20" t="str">
        <x:v>Conversión de alianzas estratégicas a recursos o capacidad programática</x:v>
      </x:c>
      <x:c r="C755" s="20" t="n">
        <x:v>2</x:v>
      </x:c>
      <x:c r="D755" s="20" t="str">
        <x:v>OPS-016</x:v>
      </x:c>
      <x:c r="E755" s="20" t="str">
        <x:v>Proyectos OSC financiados conforme a reglas de operación</x:v>
      </x:c>
      <x:c r="F755" s="20" t="str">
        <x:v>Same strategic objective; Same BSC perspective</x:v>
      </x:c>
      <x:c r="G755" s="20" t="n">
        <x:v>60</x:v>
      </x:c>
      <x:c r="H755" s="20" t="str">
        <x:v>Operaciones</x:v>
      </x:c>
      <x:c r="I755" s="20" t="str">
        <x:v>Procesos internos</x:v>
      </x:c>
      <x:c r="J755" s="20" t="str">
        <x:v>P6. Construir ecosistema de alianzas</x:v>
      </x:c>
      <x:c r="K755" s="20" t="n">
        <x:v>4</x:v>
      </x:c>
      <x:c r="L755" s="20" t="n">
        <x:v>2.6666666666666665</x:v>
      </x:c>
      <x:c r="M755" s="52" t="n">
        <x:v>0.5000000000000001</x:v>
      </x:c>
      <x:c r="N755" s="20" t="str">
        <x:v>Strong improvement</x:v>
      </x:c>
      <x:c r="O755" s="20" t="str">
        <x:v>Prototype retrieval heuristic; association is not proof of causality.</x:v>
      </x:c>
      <x:c r="P755" s="20" t="str">
        <x:v>YES</x:v>
      </x:c>
    </x:row>
    <x:row r="756">
      <x:c r="A756" s="20" t="str">
        <x:v>REC-P07</x:v>
      </x:c>
      <x:c r="B756" s="20" t="str">
        <x:v>Conversión de alianzas estratégicas a recursos o capacidad programática</x:v>
      </x:c>
      <x:c r="C756" s="20" t="n">
        <x:v>3</x:v>
      </x:c>
      <x:c r="D756" s="20" t="str">
        <x:v>OPS-020</x:v>
      </x:c>
      <x:c r="E756" s="20" t="str">
        <x:v>Donativos en especie asignados a organizaciones elegibles</x:v>
      </x:c>
      <x:c r="F756" s="20" t="str">
        <x:v>Same strategic objective; Same BSC perspective</x:v>
      </x:c>
      <x:c r="G756" s="20" t="n">
        <x:v>60</x:v>
      </x:c>
      <x:c r="H756" s="20" t="str">
        <x:v>Operaciones</x:v>
      </x:c>
      <x:c r="I756" s="20" t="str">
        <x:v>Procesos internos</x:v>
      </x:c>
      <x:c r="J756" s="20" t="str">
        <x:v>P6. Construir ecosistema de alianzas</x:v>
      </x:c>
      <x:c r="K756" s="20" t="n">
        <x:v>100</x:v>
      </x:c>
      <x:c r="L756" s="20" t="n">
        <x:v>88.9514687100894</x:v>
      </x:c>
      <x:c r="M756" s="52" t="n">
        <x:v>0.12420853135005526</x:v>
      </x:c>
      <x:c r="N756" s="20" t="str">
        <x:v>Strong improvement</x:v>
      </x:c>
      <x:c r="O756" s="20" t="str">
        <x:v>Prototype retrieval heuristic; association is not proof of causality.</x:v>
      </x:c>
      <x:c r="P756" s="20" t="str">
        <x:v>YES</x:v>
      </x:c>
    </x:row>
    <x:row r="757">
      <x:c r="A757" s="20" t="str">
        <x:v>REC-P07</x:v>
      </x:c>
      <x:c r="B757" s="20" t="str">
        <x:v>Conversión de alianzas estratégicas a recursos o capacidad programática</x:v>
      </x:c>
      <x:c r="C757" s="20" t="n">
        <x:v>4</x:v>
      </x:c>
      <x:c r="D757" s="20" t="str">
        <x:v>FND-001</x:v>
      </x:c>
      <x:c r="E757" s="20" t="str">
        <x:v>Fondos recaudados — Tu Donativo x2 (Chivas)</x:v>
      </x:c>
      <x:c r="F757" s="20" t="str">
        <x:v>Strategic-map adjacent objective; Same department</x:v>
      </x:c>
      <x:c r="G757" s="20" t="n">
        <x:v>67</x:v>
      </x:c>
      <x:c r="H757" s="20" t="str">
        <x:v>Procuración de Fondos</x:v>
      </x:c>
      <x:c r="I757" s="20" t="str">
        <x:v>Sostenibilidad financiera</x:v>
      </x:c>
      <x:c r="J757" s="20" t="str">
        <x:v>F1. Diversificar y aumentar fuentes</x:v>
      </x:c>
      <x:c r="K757" s="20" t="n">
        <x:v>40800</x:v>
      </x:c>
      <x:c r="L757" s="20" t="n">
        <x:v>31333.333333333332</x:v>
      </x:c>
      <x:c r="M757" s="52" t="n">
        <x:v>0.30212765957446813</x:v>
      </x:c>
      <x:c r="N757" s="20" t="str">
        <x:v>Strong improvement</x:v>
      </x:c>
      <x:c r="O757" s="20" t="str">
        <x:v>Prototype retrieval heuristic; association is not proof of causality.</x:v>
      </x:c>
      <x:c r="P757" s="20" t="str">
        <x:v>YES</x:v>
      </x:c>
    </x:row>
    <x:row r="758">
      <x:c r="A758" s="20" t="str">
        <x:v>REC-P07</x:v>
      </x:c>
      <x:c r="B758" s="20" t="str">
        <x:v>Conversión de alianzas estratégicas a recursos o capacidad programática</x:v>
      </x:c>
      <x:c r="C758" s="20" t="n">
        <x:v>5</x:v>
      </x:c>
      <x:c r="D758" s="20" t="str">
        <x:v>FND-002</x:v>
      </x:c>
      <x:c r="E758" s="20" t="str">
        <x:v>Fondos recaudados — ¿Cuánto vale una sonrisa? México</x:v>
      </x:c>
      <x:c r="F758" s="20" t="str">
        <x:v>Strategic-map adjacent objective; Same department</x:v>
      </x:c>
      <x:c r="G758" s="20" t="n">
        <x:v>67</x:v>
      </x:c>
      <x:c r="H758" s="20" t="str">
        <x:v>Procuración de Fondos</x:v>
      </x:c>
      <x:c r="I758" s="20" t="str">
        <x:v>Sostenibilidad financiera</x:v>
      </x:c>
      <x:c r="J758" s="20" t="str">
        <x:v>F1. Diversificar y aumentar fuentes</x:v>
      </x:c>
      <x:c r="K758" s="20" t="n">
        <x:v>100</x:v>
      </x:c>
      <x:c r="L758" s="20" t="n">
        <x:v>359989</x:v>
      </x:c>
      <x:c r="M758" s="52" t="n">
        <x:v>-0.9997222137343086</x:v>
      </x:c>
      <x:c r="N758" s="20" t="str">
        <x:v>Deteriorating</x:v>
      </x:c>
      <x:c r="O758" s="20" t="str">
        <x:v>Prototype retrieval heuristic; association is not proof of causality.</x:v>
      </x:c>
      <x:c r="P758" s="20" t="str">
        <x:v>YES</x:v>
      </x:c>
    </x:row>
    <x:row r="759">
      <x:c r="A759" s="20" t="str">
        <x:v>REC-P07</x:v>
      </x:c>
      <x:c r="B759" s="20" t="str">
        <x:v>Conversión de alianzas estratégicas a recursos o capacidad programática</x:v>
      </x:c>
      <x:c r="C759" s="20" t="n">
        <x:v>6</x:v>
      </x:c>
      <x:c r="D759" s="20" t="str">
        <x:v>FND-003</x:v>
      </x:c>
      <x:c r="E759" s="20" t="str">
        <x:v>Fondos recaudados — ¿Cuánto vale una sonrisa? USA</x:v>
      </x:c>
      <x:c r="F759" s="20" t="str">
        <x:v>Strategic-map adjacent objective; Same department</x:v>
      </x:c>
      <x:c r="G759" s="20" t="n">
        <x:v>67</x:v>
      </x:c>
      <x:c r="H759" s="20" t="str">
        <x:v>Procuración de Fondos</x:v>
      </x:c>
      <x:c r="I759" s="20" t="str">
        <x:v>Sostenibilidad financiera</x:v>
      </x:c>
      <x:c r="J759" s="20" t="str">
        <x:v>F1. Diversificar y aumentar fuentes</x:v>
      </x:c>
      <x:c r="K759" s="20" t="n">
        <x:v>100</x:v>
      </x:c>
      <x:c r="L759" s="20" t="n">
        <x:v>29989</x:v>
      </x:c>
      <x:c r="M759" s="52" t="n">
        <x:v>-0.9966654439961319</x:v>
      </x:c>
      <x:c r="N759" s="20" t="str">
        <x:v>Deteriorating</x:v>
      </x:c>
      <x:c r="O759" s="20" t="str">
        <x:v>Prototype retrieval heuristic; association is not proof of causality.</x:v>
      </x:c>
      <x:c r="P759" s="20" t="str">
        <x:v>YES</x:v>
      </x:c>
    </x:row>
    <x:row r="760">
      <x:c r="A760" s="20" t="str">
        <x:v>REC-P07</x:v>
      </x:c>
      <x:c r="B760" s="20" t="str">
        <x:v>Conversión de alianzas estratégicas a recursos o capacidad programática</x:v>
      </x:c>
      <x:c r="C760" s="20" t="n">
        <x:v>7</x:v>
      </x:c>
      <x:c r="D760" s="20" t="str">
        <x:v>FND-004</x:v>
      </x:c>
      <x:c r="E760" s="20" t="str">
        <x:v>Fondos recaudados — ¿Cuánto vale una sonrisa? Perú</x:v>
      </x:c>
      <x:c r="F760" s="20" t="str">
        <x:v>Strategic-map adjacent objective; Same department</x:v>
      </x:c>
      <x:c r="G760" s="20" t="n">
        <x:v>67</x:v>
      </x:c>
      <x:c r="H760" s="20" t="str">
        <x:v>Procuración de Fondos</x:v>
      </x:c>
      <x:c r="I760" s="20" t="str">
        <x:v>Sostenibilidad financiera</x:v>
      </x:c>
      <x:c r="J760" s="20" t="str">
        <x:v>F1. Diversificar y aumentar fuentes</x:v>
      </x:c>
      <x:c r="K760" s="20" t="n">
        <x:v>100</x:v>
      </x:c>
      <x:c r="L760" s="20" t="n">
        <x:v>2989</x:v>
      </x:c>
      <x:c r="M760" s="52" t="n">
        <x:v>-0.9665439946470391</x:v>
      </x:c>
      <x:c r="N760" s="20" t="str">
        <x:v>Deteriorating</x:v>
      </x:c>
      <x:c r="O760" s="20" t="str">
        <x:v>Prototype retrieval heuristic; association is not proof of causality.</x:v>
      </x:c>
      <x:c r="P760" s="20" t="str">
        <x:v>YES</x:v>
      </x:c>
    </x:row>
    <x:row r="761">
      <x:c r="A761" s="20" t="str">
        <x:v>REC-P07</x:v>
      </x:c>
      <x:c r="B761" s="20" t="str">
        <x:v>Conversión de alianzas estratégicas a recursos o capacidad programática</x:v>
      </x:c>
      <x:c r="C761" s="20" t="n">
        <x:v>8</x:v>
      </x:c>
      <x:c r="D761" s="20" t="str">
        <x:v>REC-M02</x:v>
      </x:c>
      <x:c r="E761" s="20" t="str">
        <x:v>Costo de adquisición de nuevo donante</x:v>
      </x:c>
      <x:c r="F761" s="20" t="str">
        <x:v>Same BSC perspective</x:v>
      </x:c>
      <x:c r="G761" s="20" t="n">
        <x:v>12</x:v>
      </x:c>
      <x:c r="H761" s="20" t="str">
        <x:v>Marketing y Comunicación</x:v>
      </x:c>
      <x:c r="I761" s="20" t="str">
        <x:v>Procesos internos</x:v>
      </x:c>
      <x:c r="J761" s="20" t="str">
        <x:v>P3. Integrar Marketing + Procuración</x:v>
      </x:c>
      <x:c r="K761" s="20" t="n">
        <x:v>760</x:v>
      </x:c>
      <x:c r="L761" s="20" t="n">
        <x:v>896.6666666666666</x:v>
      </x:c>
      <x:c r="M761" s="52" t="n">
        <x:v>0.15241635687732338</x:v>
      </x:c>
      <x:c r="N761" s="20" t="str">
        <x:v>Strong improvement</x:v>
      </x:c>
      <x:c r="O761" s="20" t="str">
        <x:v>Prototype retrieval heuristic; association is not proof of causality.</x:v>
      </x:c>
      <x:c r="P761" s="20" t="str">
        <x:v>YES</x:v>
      </x:c>
    </x:row>
    <x:row r="762">
      <x:c r="A762" s="20" t="str">
        <x:v>REC-L01</x:v>
      </x:c>
      <x:c r="B762" s="20" t="str">
        <x:v>Integridad y actualización de datos estratégicos</x:v>
      </x:c>
      <x:c r="C762" s="20" t="n">
        <x:v>1</x:v>
      </x:c>
      <x:c r="D762" s="20" t="str">
        <x:v>MKT-015</x:v>
      </x:c>
      <x:c r="E762" s="20" t="str">
        <x:v>Implementación de recomendaciones de benchmarking</x:v>
      </x:c>
      <x:c r="F762" s="20" t="str">
        <x:v>Same strategic objective; Same BSC perspective</x:v>
      </x:c>
      <x:c r="G762" s="20" t="n">
        <x:v>60</x:v>
      </x:c>
      <x:c r="H762" s="20" t="str">
        <x:v>Marketing y Comunicación</x:v>
      </x:c>
      <x:c r="I762" s="20" t="str">
        <x:v>Capacidades y tecnología</x:v>
      </x:c>
      <x:c r="J762" s="20" t="str">
        <x:v>L1. Construir una cultura de gestión basada en datos</x:v>
      </x:c>
      <x:c r="K762" s="20" t="n">
        <x:v>100</x:v>
      </x:c>
      <x:c r="L762" s="20" t="n">
        <x:v>88.9514687100894</x:v>
      </x:c>
      <x:c r="M762" s="52" t="n">
        <x:v>0.12420853135005526</x:v>
      </x:c>
      <x:c r="N762" s="20" t="str">
        <x:v>Strong improvement</x:v>
      </x:c>
      <x:c r="O762" s="20" t="str">
        <x:v>Prototype retrieval heuristic; association is not proof of causality.</x:v>
      </x:c>
      <x:c r="P762" s="20" t="str">
        <x:v>YES</x:v>
      </x:c>
    </x:row>
    <x:row r="763">
      <x:c r="A763" s="20" t="str">
        <x:v>REC-L01</x:v>
      </x:c>
      <x:c r="B763" s="20" t="str">
        <x:v>Integridad y actualización de datos estratégicos</x:v>
      </x:c>
      <x:c r="C763" s="20" t="n">
        <x:v>2</x:v>
      </x:c>
      <x:c r="D763" s="20" t="str">
        <x:v>MKT-016</x:v>
      </x:c>
      <x:c r="E763" s="20" t="str">
        <x:v>Cierre en plazo de hallazgos de auditoría de comunicación</x:v>
      </x:c>
      <x:c r="F763" s="20" t="str">
        <x:v>Same strategic objective; Same BSC perspective</x:v>
      </x:c>
      <x:c r="G763" s="20" t="n">
        <x:v>60</x:v>
      </x:c>
      <x:c r="H763" s="20" t="str">
        <x:v>Marketing y Comunicación</x:v>
      </x:c>
      <x:c r="I763" s="20" t="str">
        <x:v>Capacidades y tecnología</x:v>
      </x:c>
      <x:c r="J763" s="20" t="str">
        <x:v>L1. Construir una cultura de gestión basada en datos</x:v>
      </x:c>
      <x:c r="K763" s="20" t="n">
        <x:v>92</x:v>
      </x:c>
      <x:c r="L763" s="20" t="n">
        <x:v>80.97783311812088</x:v>
      </x:c>
      <x:c r="M763" s="52" t="n">
        <x:v>0.13611338384173954</x:v>
      </x:c>
      <x:c r="N763" s="20" t="str">
        <x:v>Strong improvement</x:v>
      </x:c>
      <x:c r="O763" s="20" t="str">
        <x:v>Prototype retrieval heuristic; association is not proof of causality.</x:v>
      </x:c>
      <x:c r="P763" s="20" t="str">
        <x:v>YES</x:v>
      </x:c>
    </x:row>
    <x:row r="764">
      <x:c r="A764" s="20" t="str">
        <x:v>REC-L01</x:v>
      </x:c>
      <x:c r="B764" s="20" t="str">
        <x:v>Integridad y actualización de datos estratégicos</x:v>
      </x:c>
      <x:c r="C764" s="20" t="n">
        <x:v>3</x:v>
      </x:c>
      <x:c r="D764" s="20" t="str">
        <x:v>REC-P02</x:v>
      </x:c>
      <x:c r="E764" s="20" t="str">
        <x:v>Cobertura de medición de impacto</x:v>
      </x:c>
      <x:c r="F764" s="20" t="str">
        <x:v>Strategic-map adjacent objective</x:v>
      </x:c>
      <x:c r="G764" s="20" t="n">
        <x:v>42</x:v>
      </x:c>
      <x:c r="H764" s="20" t="str">
        <x:v>Operaciones</x:v>
      </x:c>
      <x:c r="I764" s="20" t="str">
        <x:v>Procesos internos</x:v>
      </x:c>
      <x:c r="J764" s="20" t="str">
        <x:v>P2. Fortalecer medición de impacto</x:v>
      </x:c>
      <x:c r="K764" s="20" t="n">
        <x:v>100</x:v>
      </x:c>
      <x:c r="L764" s="20" t="n">
        <x:v>88.9514687100894</x:v>
      </x:c>
      <x:c r="M764" s="52" t="n">
        <x:v>0.12420853135005526</x:v>
      </x:c>
      <x:c r="N764" s="20" t="str">
        <x:v>Strong improvement</x:v>
      </x:c>
      <x:c r="O764" s="20" t="str">
        <x:v>Prototype retrieval heuristic; association is not proof of causality.</x:v>
      </x:c>
      <x:c r="P764" s="20" t="str">
        <x:v>YES</x:v>
      </x:c>
    </x:row>
    <x:row r="765">
      <x:c r="A765" s="20" t="str">
        <x:v>REC-L01</x:v>
      </x:c>
      <x:c r="B765" s="20" t="str">
        <x:v>Integridad y actualización de datos estratégicos</x:v>
      </x:c>
      <x:c r="C765" s="20" t="n">
        <x:v>4</x:v>
      </x:c>
      <x:c r="D765" s="20" t="str">
        <x:v>REC-P04</x:v>
      </x:c>
      <x:c r="E765" s="20" t="str">
        <x:v>Cumplimiento agregado de SLA administrativos</x:v>
      </x:c>
      <x:c r="F765" s="20" t="str">
        <x:v>Strategic-map adjacent objective</x:v>
      </x:c>
      <x:c r="G765" s="20" t="n">
        <x:v>42</x:v>
      </x:c>
      <x:c r="H765" s="20" t="str">
        <x:v>Administración</x:v>
      </x:c>
      <x:c r="I765" s="20" t="str">
        <x:v>Procesos internos</x:v>
      </x:c>
      <x:c r="J765" s="20" t="str">
        <x:v>P4. Simplificar y digitalizar procesos</x:v>
      </x:c>
      <x:c r="K765" s="20" t="n">
        <x:v>96</x:v>
      </x:c>
      <x:c r="L765" s="20" t="n">
        <x:v>84.01745423584504</x:v>
      </x:c>
      <x:c r="M765" s="52" t="n">
        <x:v>0.14261971959444059</x:v>
      </x:c>
      <x:c r="N765" s="20" t="str">
        <x:v>Strong improvement</x:v>
      </x:c>
      <x:c r="O765" s="20" t="str">
        <x:v>Prototype retrieval heuristic; association is not proof of causality.</x:v>
      </x:c>
      <x:c r="P765" s="20" t="str">
        <x:v>YES</x:v>
      </x:c>
    </x:row>
    <x:row r="766">
      <x:c r="A766" s="20" t="str">
        <x:v>REC-L01</x:v>
      </x:c>
      <x:c r="B766" s="20" t="str">
        <x:v>Integridad y actualización de datos estratégicos</x:v>
      </x:c>
      <x:c r="C766" s="20" t="n">
        <x:v>5</x:v>
      </x:c>
      <x:c r="D766" s="20" t="str">
        <x:v>REC-L05</x:v>
      </x:c>
      <x:c r="E766" s="20" t="str">
        <x:v>Cumplimiento de compromisos interárea</x:v>
      </x:c>
      <x:c r="F766" s="20" t="str">
        <x:v>Same department; Same BSC perspective</x:v>
      </x:c>
      <x:c r="G766" s="20" t="n">
        <x:v>37</x:v>
      </x:c>
      <x:c r="H766" s="20" t="str">
        <x:v>Todas las áreas</x:v>
      </x:c>
      <x:c r="I766" s="20" t="str">
        <x:v>Capacidades y tecnología</x:v>
      </x:c>
      <x:c r="J766" s="20" t="str">
        <x:v>L4. Fortalecer colaboración interdepartamental</x:v>
      </x:c>
      <x:c r="K766" s="20" t="n">
        <x:v>92.85714285714286</x:v>
      </x:c>
      <x:c r="L766" s="20" t="n">
        <x:v>81.24222338508054</x:v>
      </x:c>
      <x:c r="M766" s="52" t="n">
        <x:v>0.14296653868036938</x:v>
      </x:c>
      <x:c r="N766" s="20" t="str">
        <x:v>Strong improvement</x:v>
      </x:c>
      <x:c r="O766" s="20" t="str">
        <x:v>Prototype retrieval heuristic; association is not proof of causality.</x:v>
      </x:c>
      <x:c r="P766" s="20" t="str">
        <x:v>YES</x:v>
      </x:c>
    </x:row>
    <x:row r="767">
      <x:c r="A767" s="20" t="str">
        <x:v>REC-L01</x:v>
      </x:c>
      <x:c r="B767" s="20" t="str">
        <x:v>Integridad y actualización de datos estratégicos</x:v>
      </x:c>
      <x:c r="C767" s="20" t="n">
        <x:v>6</x:v>
      </x:c>
      <x:c r="D767" s="20" t="str">
        <x:v>REC-L02</x:v>
      </x:c>
      <x:c r="E767" s="20" t="str">
        <x:v>Adopción de la plataforma de gestión</x:v>
      </x:c>
      <x:c r="F767" s="20" t="str">
        <x:v>Same BSC perspective</x:v>
      </x:c>
      <x:c r="G767" s="20" t="n">
        <x:v>12</x:v>
      </x:c>
      <x:c r="H767" s="20" t="str">
        <x:v>Dirección + Administración</x:v>
      </x:c>
      <x:c r="I767" s="20" t="str">
        <x:v>Capacidades y tecnología</x:v>
      </x:c>
      <x:c r="J767" s="20" t="str">
        <x:v>L2. Integrar información en una sola plataforma</x:v>
      </x:c>
      <x:c r="K767" s="20" t="n">
        <x:v>92</x:v>
      </x:c>
      <x:c r="L767" s="20" t="n">
        <x:v>80.92081736909323</x:v>
      </x:c>
      <x:c r="M767" s="52" t="n">
        <x:v>0.13691387446536518</x:v>
      </x:c>
      <x:c r="N767" s="20" t="str">
        <x:v>Strong improvement</x:v>
      </x:c>
      <x:c r="O767" s="20" t="str">
        <x:v>Prototype retrieval heuristic; association is not proof of causality.</x:v>
      </x:c>
      <x:c r="P767" s="20" t="str">
        <x:v>YES</x:v>
      </x:c>
    </x:row>
    <x:row r="768">
      <x:c r="A768" s="20" t="str">
        <x:v>REC-L01</x:v>
      </x:c>
      <x:c r="B768" s="20" t="str">
        <x:v>Integridad y actualización de datos estratégicos</x:v>
      </x:c>
      <x:c r="C768" s="20" t="n">
        <x:v>7</x:v>
      </x:c>
      <x:c r="D768" s="20" t="str">
        <x:v>ADM-001</x:v>
      </x:c>
      <x:c r="E768" s="20" t="str">
        <x:v>Facturación de donativos emitida dentro del SLA</x:v>
      </x:c>
      <x:c r="F768" s="20" t="str">
        <x:v>Strategic-map adjacent objective</x:v>
      </x:c>
      <x:c r="G768" s="20" t="n">
        <x:v>40</x:v>
      </x:c>
      <x:c r="H768" s="20" t="str">
        <x:v>Administración</x:v>
      </x:c>
      <x:c r="I768" s="20" t="str">
        <x:v>Procesos internos</x:v>
      </x:c>
      <x:c r="J768" s="20" t="str">
        <x:v>P4. Simplificar y digitalizar procesos</x:v>
      </x:c>
      <x:c r="K768" s="20" t="n">
        <x:v>100</x:v>
      </x:c>
      <x:c r="L768" s="20" t="n">
        <x:v>89.08024931406226</x:v>
      </x:c>
      <x:c r="M768" s="52" t="n">
        <x:v>0.12258329730801444</x:v>
      </x:c>
      <x:c r="N768" s="20" t="str">
        <x:v>Strong improvement</x:v>
      </x:c>
      <x:c r="O768" s="20" t="str">
        <x:v>Prototype retrieval heuristic; association is not proof of causality.</x:v>
      </x:c>
      <x:c r="P768" s="20" t="str">
        <x:v>YES</x:v>
      </x:c>
    </x:row>
    <x:row r="769">
      <x:c r="A769" s="20" t="str">
        <x:v>REC-L01</x:v>
      </x:c>
      <x:c r="B769" s="20" t="str">
        <x:v>Integridad y actualización de datos estratégicos</x:v>
      </x:c>
      <x:c r="C769" s="20" t="n">
        <x:v>8</x:v>
      </x:c>
      <x:c r="D769" s="20" t="str">
        <x:v>ADM-002</x:v>
      </x:c>
      <x:c r="E769" s="20" t="str">
        <x:v>Solicitudes de compra procesadas dentro del SLA</x:v>
      </x:c>
      <x:c r="F769" s="20" t="str">
        <x:v>Strategic-map adjacent objective</x:v>
      </x:c>
      <x:c r="G769" s="20" t="n">
        <x:v>40</x:v>
      </x:c>
      <x:c r="H769" s="20" t="str">
        <x:v>Administración</x:v>
      </x:c>
      <x:c r="I769" s="20" t="str">
        <x:v>Procesos internos</x:v>
      </x:c>
      <x:c r="J769" s="20" t="str">
        <x:v>P4. Simplificar y digitalizar procesos</x:v>
      </x:c>
      <x:c r="K769" s="20" t="n">
        <x:v>100</x:v>
      </x:c>
      <x:c r="L769" s="20" t="n">
        <x:v>89.08024931406226</x:v>
      </x:c>
      <x:c r="M769" s="52" t="n">
        <x:v>0.12258329730801444</x:v>
      </x:c>
      <x:c r="N769" s="20" t="str">
        <x:v>Strong improvement</x:v>
      </x:c>
      <x:c r="O769" s="20" t="str">
        <x:v>Prototype retrieval heuristic; association is not proof of causality.</x:v>
      </x:c>
      <x:c r="P769" s="20" t="str">
        <x:v>YES</x:v>
      </x:c>
    </x:row>
    <x:row r="770">
      <x:c r="A770" s="20" t="str">
        <x:v>REC-L02</x:v>
      </x:c>
      <x:c r="B770" s="20" t="str">
        <x:v>Adopción de la plataforma de gestión</x:v>
      </x:c>
      <x:c r="C770" s="20" t="n">
        <x:v>1</x:v>
      </x:c>
      <x:c r="D770" s="20" t="str">
        <x:v>REC-L03</x:v>
      </x:c>
      <x:c r="E770" s="20" t="str">
        <x:v>Cobertura de procesos críticos digitalizados</x:v>
      </x:c>
      <x:c r="F770" s="20" t="str">
        <x:v>Same strategic objective; Same BSC perspective</x:v>
      </x:c>
      <x:c r="G770" s="20" t="n">
        <x:v>62</x:v>
      </x:c>
      <x:c r="H770" s="20" t="str">
        <x:v>Administración + Jurídico</x:v>
      </x:c>
      <x:c r="I770" s="20" t="str">
        <x:v>Capacidades y tecnología</x:v>
      </x:c>
      <x:c r="J770" s="20" t="str">
        <x:v>L2. Integrar información en una sola plataforma</x:v>
      </x:c>
      <x:c r="K770" s="20" t="n">
        <x:v>81.6</x:v>
      </x:c>
      <x:c r="L770" s="20" t="n">
        <x:v>71.05278842060451</x:v>
      </x:c>
      <x:c r="M770" s="52" t="n">
        <x:v>0.14844190937250967</x:v>
      </x:c>
      <x:c r="N770" s="20" t="str">
        <x:v>Strong improvement</x:v>
      </x:c>
      <x:c r="O770" s="20" t="str">
        <x:v>Prototype retrieval heuristic; association is not proof of causality.</x:v>
      </x:c>
      <x:c r="P770" s="20" t="str">
        <x:v>YES</x:v>
      </x:c>
    </x:row>
    <x:row r="771">
      <x:c r="A771" s="20" t="str">
        <x:v>REC-L02</x:v>
      </x:c>
      <x:c r="B771" s="20" t="str">
        <x:v>Adopción de la plataforma de gestión</x:v>
      </x:c>
      <x:c r="C771" s="20" t="n">
        <x:v>2</x:v>
      </x:c>
      <x:c r="D771" s="20" t="str">
        <x:v>LEG-002</x:v>
      </x:c>
      <x:c r="E771" s="20" t="str">
        <x:v>Expedientes jurídicos completos en repositorio digital</x:v>
      </x:c>
      <x:c r="F771" s="20" t="str">
        <x:v>Same strategic objective; Same BSC perspective</x:v>
      </x:c>
      <x:c r="G771" s="20" t="n">
        <x:v>60</x:v>
      </x:c>
      <x:c r="H771" s="20" t="str">
        <x:v>Jurídico</x:v>
      </x:c>
      <x:c r="I771" s="20" t="str">
        <x:v>Capacidades y tecnología</x:v>
      </x:c>
      <x:c r="J771" s="20" t="str">
        <x:v>L2. Integrar información en una sola plataforma</x:v>
      </x:c>
      <x:c r="K771" s="20" t="n">
        <x:v>100</x:v>
      </x:c>
      <x:c r="L771" s="20" t="n">
        <x:v>89.11166916321555</x:v>
      </x:c>
      <x:c r="M771" s="52" t="n">
        <x:v>0.12218748609502028</x:v>
      </x:c>
      <x:c r="N771" s="20" t="str">
        <x:v>Strong improvement</x:v>
      </x:c>
      <x:c r="O771" s="20" t="str">
        <x:v>Prototype retrieval heuristic; association is not proof of causality.</x:v>
      </x:c>
      <x:c r="P771" s="20" t="str">
        <x:v>YES</x:v>
      </x:c>
    </x:row>
    <x:row r="772">
      <x:c r="A772" s="20" t="str">
        <x:v>REC-L02</x:v>
      </x:c>
      <x:c r="B772" s="20" t="str">
        <x:v>Adopción de la plataforma de gestión</x:v>
      </x:c>
      <x:c r="C772" s="20" t="n">
        <x:v>3</x:v>
      </x:c>
      <x:c r="D772" s="20" t="str">
        <x:v>LEG-008</x:v>
      </x:c>
      <x:c r="E772" s="20" t="str">
        <x:v>Adopción activa de WEBDOX por usuarios jurídicos</x:v>
      </x:c>
      <x:c r="F772" s="20" t="str">
        <x:v>Same strategic objective; Same BSC perspective</x:v>
      </x:c>
      <x:c r="G772" s="20" t="n">
        <x:v>60</x:v>
      </x:c>
      <x:c r="H772" s="20" t="str">
        <x:v>Jurídico</x:v>
      </x:c>
      <x:c r="I772" s="20" t="str">
        <x:v>Capacidades y tecnología</x:v>
      </x:c>
      <x:c r="J772" s="20" t="str">
        <x:v>L2. Integrar información en una sola plataforma</x:v>
      </x:c>
      <x:c r="K772" s="20" t="n">
        <x:v>90.9090909090909</x:v>
      </x:c>
      <x:c r="L772" s="20" t="n">
        <x:v>81.3625527232716</x:v>
      </x:c>
      <x:c r="M772" s="52" t="n">
        <x:v>0.11733331694113337</x:v>
      </x:c>
      <x:c r="N772" s="20" t="str">
        <x:v>Strong improvement</x:v>
      </x:c>
      <x:c r="O772" s="20" t="str">
        <x:v>Prototype retrieval heuristic; association is not proof of causality.</x:v>
      </x:c>
      <x:c r="P772" s="20" t="str">
        <x:v>YES</x:v>
      </x:c>
    </x:row>
    <x:row r="773">
      <x:c r="A773" s="20" t="str">
        <x:v>REC-L02</x:v>
      </x:c>
      <x:c r="B773" s="20" t="str">
        <x:v>Adopción de la plataforma de gestión</x:v>
      </x:c>
      <x:c r="C773" s="20" t="n">
        <x:v>4</x:v>
      </x:c>
      <x:c r="D773" s="20" t="str">
        <x:v>REC-P02</x:v>
      </x:c>
      <x:c r="E773" s="20" t="str">
        <x:v>Cobertura de medición de impacto</x:v>
      </x:c>
      <x:c r="F773" s="20" t="str">
        <x:v>Strategic-map adjacent objective</x:v>
      </x:c>
      <x:c r="G773" s="20" t="n">
        <x:v>42</x:v>
      </x:c>
      <x:c r="H773" s="20" t="str">
        <x:v>Operaciones</x:v>
      </x:c>
      <x:c r="I773" s="20" t="str">
        <x:v>Procesos internos</x:v>
      </x:c>
      <x:c r="J773" s="20" t="str">
        <x:v>P2. Fortalecer medición de impacto</x:v>
      </x:c>
      <x:c r="K773" s="20" t="n">
        <x:v>100</x:v>
      </x:c>
      <x:c r="L773" s="20" t="n">
        <x:v>88.9514687100894</x:v>
      </x:c>
      <x:c r="M773" s="52" t="n">
        <x:v>0.12420853135005526</x:v>
      </x:c>
      <x:c r="N773" s="20" t="str">
        <x:v>Strong improvement</x:v>
      </x:c>
      <x:c r="O773" s="20" t="str">
        <x:v>Prototype retrieval heuristic; association is not proof of causality.</x:v>
      </x:c>
      <x:c r="P773" s="20" t="str">
        <x:v>YES</x:v>
      </x:c>
    </x:row>
    <x:row r="774">
      <x:c r="A774" s="20" t="str">
        <x:v>REC-L02</x:v>
      </x:c>
      <x:c r="B774" s="20" t="str">
        <x:v>Adopción de la plataforma de gestión</x:v>
      </x:c>
      <x:c r="C774" s="20" t="n">
        <x:v>5</x:v>
      </x:c>
      <x:c r="D774" s="20" t="str">
        <x:v>REC-P04</x:v>
      </x:c>
      <x:c r="E774" s="20" t="str">
        <x:v>Cumplimiento agregado de SLA administrativos</x:v>
      </x:c>
      <x:c r="F774" s="20" t="str">
        <x:v>Strategic-map adjacent objective</x:v>
      </x:c>
      <x:c r="G774" s="20" t="n">
        <x:v>42</x:v>
      </x:c>
      <x:c r="H774" s="20" t="str">
        <x:v>Administración</x:v>
      </x:c>
      <x:c r="I774" s="20" t="str">
        <x:v>Procesos internos</x:v>
      </x:c>
      <x:c r="J774" s="20" t="str">
        <x:v>P4. Simplificar y digitalizar procesos</x:v>
      </x:c>
      <x:c r="K774" s="20" t="n">
        <x:v>96</x:v>
      </x:c>
      <x:c r="L774" s="20" t="n">
        <x:v>84.01745423584504</x:v>
      </x:c>
      <x:c r="M774" s="52" t="n">
        <x:v>0.14261971959444059</x:v>
      </x:c>
      <x:c r="N774" s="20" t="str">
        <x:v>Strong improvement</x:v>
      </x:c>
      <x:c r="O774" s="20" t="str">
        <x:v>Prototype retrieval heuristic; association is not proof of causality.</x:v>
      </x:c>
      <x:c r="P774" s="20" t="str">
        <x:v>YES</x:v>
      </x:c>
    </x:row>
    <x:row r="775">
      <x:c r="A775" s="20" t="str">
        <x:v>REC-L02</x:v>
      </x:c>
      <x:c r="B775" s="20" t="str">
        <x:v>Adopción de la plataforma de gestión</x:v>
      </x:c>
      <x:c r="C775" s="20" t="n">
        <x:v>6</x:v>
      </x:c>
      <x:c r="D775" s="20" t="str">
        <x:v>LEG-009</x:v>
      </x:c>
      <x:c r="E775" s="20" t="str">
        <x:v>Convenios tramitados end-to-end en WEBDOX</x:v>
      </x:c>
      <x:c r="F775" s="20" t="str">
        <x:v>Same strategic objective; Same BSC perspective</x:v>
      </x:c>
      <x:c r="G775" s="20" t="n">
        <x:v>60</x:v>
      </x:c>
      <x:c r="H775" s="20" t="str">
        <x:v>Jurídico</x:v>
      </x:c>
      <x:c r="I775" s="20" t="str">
        <x:v>Capacidades y tecnología</x:v>
      </x:c>
      <x:c r="J775" s="20" t="str">
        <x:v>L2. Integrar información en una sola plataforma</x:v>
      </x:c>
      <x:c r="K775" s="20" t="n">
        <x:v>92.04545454545455</x:v>
      </x:c>
      <x:c r="L775" s="20" t="n">
        <x:v>81.2376620563755</x:v>
      </x:c>
      <x:c r="M775" s="52" t="n">
        <x:v>0.13303918669617668</x:v>
      </x:c>
      <x:c r="N775" s="20" t="str">
        <x:v>Strong improvement</x:v>
      </x:c>
      <x:c r="O775" s="20" t="str">
        <x:v>Prototype retrieval heuristic; association is not proof of causality.</x:v>
      </x:c>
      <x:c r="P775" s="20" t="str">
        <x:v>YES</x:v>
      </x:c>
    </x:row>
    <x:row r="776">
      <x:c r="A776" s="20" t="str">
        <x:v>REC-L02</x:v>
      </x:c>
      <x:c r="B776" s="20" t="str">
        <x:v>Adopción de la plataforma de gestión</x:v>
      </x:c>
      <x:c r="C776" s="20" t="n">
        <x:v>7</x:v>
      </x:c>
      <x:c r="D776" s="20" t="str">
        <x:v>REC-P06</x:v>
      </x:c>
      <x:c r="E776" s="20" t="str">
        <x:v>Obligaciones regulatorias vencidas</x:v>
      </x:c>
      <x:c r="F776" s="20" t="str">
        <x:v>Strategic-map adjacent objective</x:v>
      </x:c>
      <x:c r="G776" s="20" t="n">
        <x:v>42</x:v>
      </x:c>
      <x:c r="H776" s="20" t="str">
        <x:v>Jurídico</x:v>
      </x:c>
      <x:c r="I776" s="20" t="str">
        <x:v>Procesos internos</x:v>
      </x:c>
      <x:c r="J776" s="20" t="str">
        <x:v>P5. Fortalecer cumplimiento, transparencia y gobierno</x:v>
      </x:c>
      <x:c r="K776" s="20" t="n">
        <x:v>0</x:v>
      </x:c>
      <x:c r="L776" s="20" t="n">
        <x:v>2.6666666666666665</x:v>
      </x:c>
      <x:c r="M776" s="52" t="n">
        <x:v>1</x:v>
      </x:c>
      <x:c r="N776" s="20" t="str">
        <x:v>Strong improvement</x:v>
      </x:c>
      <x:c r="O776" s="20" t="str">
        <x:v>Prototype retrieval heuristic; association is not proof of causality.</x:v>
      </x:c>
      <x:c r="P776" s="20" t="str">
        <x:v>YES</x:v>
      </x:c>
    </x:row>
    <x:row r="777">
      <x:c r="A777" s="20" t="str">
        <x:v>REC-L02</x:v>
      </x:c>
      <x:c r="B777" s="20" t="str">
        <x:v>Adopción de la plataforma de gestión</x:v>
      </x:c>
      <x:c r="C777" s="20" t="n">
        <x:v>8</x:v>
      </x:c>
      <x:c r="D777" s="20" t="str">
        <x:v>ADM-001</x:v>
      </x:c>
      <x:c r="E777" s="20" t="str">
        <x:v>Facturación de donativos emitida dentro del SLA</x:v>
      </x:c>
      <x:c r="F777" s="20" t="str">
        <x:v>Strategic-map adjacent objective</x:v>
      </x:c>
      <x:c r="G777" s="20" t="n">
        <x:v>40</x:v>
      </x:c>
      <x:c r="H777" s="20" t="str">
        <x:v>Administración</x:v>
      </x:c>
      <x:c r="I777" s="20" t="str">
        <x:v>Procesos internos</x:v>
      </x:c>
      <x:c r="J777" s="20" t="str">
        <x:v>P4. Simplificar y digitalizar procesos</x:v>
      </x:c>
      <x:c r="K777" s="20" t="n">
        <x:v>100</x:v>
      </x:c>
      <x:c r="L777" s="20" t="n">
        <x:v>89.08024931406226</x:v>
      </x:c>
      <x:c r="M777" s="52" t="n">
        <x:v>0.12258329730801444</x:v>
      </x:c>
      <x:c r="N777" s="20" t="str">
        <x:v>Strong improvement</x:v>
      </x:c>
      <x:c r="O777" s="20" t="str">
        <x:v>Prototype retrieval heuristic; association is not proof of causality.</x:v>
      </x:c>
      <x:c r="P777" s="20" t="str">
        <x:v>YES</x:v>
      </x:c>
    </x:row>
    <x:row r="778">
      <x:c r="A778" s="20" t="str">
        <x:v>REC-L03</x:v>
      </x:c>
      <x:c r="B778" s="20" t="str">
        <x:v>Cobertura de procesos críticos digitalizados</x:v>
      </x:c>
      <x:c r="C778" s="20" t="n">
        <x:v>1</x:v>
      </x:c>
      <x:c r="D778" s="20" t="str">
        <x:v>REC-L02</x:v>
      </x:c>
      <x:c r="E778" s="20" t="str">
        <x:v>Adopción de la plataforma de gestión</x:v>
      </x:c>
      <x:c r="F778" s="20" t="str">
        <x:v>Same strategic objective; Same BSC perspective</x:v>
      </x:c>
      <x:c r="G778" s="20" t="n">
        <x:v>62</x:v>
      </x:c>
      <x:c r="H778" s="20" t="str">
        <x:v>Dirección + Administración</x:v>
      </x:c>
      <x:c r="I778" s="20" t="str">
        <x:v>Capacidades y tecnología</x:v>
      </x:c>
      <x:c r="J778" s="20" t="str">
        <x:v>L2. Integrar información en una sola plataforma</x:v>
      </x:c>
      <x:c r="K778" s="20" t="n">
        <x:v>92</x:v>
      </x:c>
      <x:c r="L778" s="20" t="n">
        <x:v>80.92081736909323</x:v>
      </x:c>
      <x:c r="M778" s="52" t="n">
        <x:v>0.13691387446536518</x:v>
      </x:c>
      <x:c r="N778" s="20" t="str">
        <x:v>Strong improvement</x:v>
      </x:c>
      <x:c r="O778" s="20" t="str">
        <x:v>Prototype retrieval heuristic; association is not proof of causality.</x:v>
      </x:c>
      <x:c r="P778" s="20" t="str">
        <x:v>YES</x:v>
      </x:c>
    </x:row>
    <x:row r="779">
      <x:c r="A779" s="20" t="str">
        <x:v>REC-L03</x:v>
      </x:c>
      <x:c r="B779" s="20" t="str">
        <x:v>Cobertura de procesos críticos digitalizados</x:v>
      </x:c>
      <x:c r="C779" s="20" t="n">
        <x:v>2</x:v>
      </x:c>
      <x:c r="D779" s="20" t="str">
        <x:v>LEG-002</x:v>
      </x:c>
      <x:c r="E779" s="20" t="str">
        <x:v>Expedientes jurídicos completos en repositorio digital</x:v>
      </x:c>
      <x:c r="F779" s="20" t="str">
        <x:v>Same strategic objective; Same BSC perspective</x:v>
      </x:c>
      <x:c r="G779" s="20" t="n">
        <x:v>60</x:v>
      </x:c>
      <x:c r="H779" s="20" t="str">
        <x:v>Jurídico</x:v>
      </x:c>
      <x:c r="I779" s="20" t="str">
        <x:v>Capacidades y tecnología</x:v>
      </x:c>
      <x:c r="J779" s="20" t="str">
        <x:v>L2. Integrar información en una sola plataforma</x:v>
      </x:c>
      <x:c r="K779" s="20" t="n">
        <x:v>100</x:v>
      </x:c>
      <x:c r="L779" s="20" t="n">
        <x:v>89.11166916321555</x:v>
      </x:c>
      <x:c r="M779" s="52" t="n">
        <x:v>0.12218748609502028</x:v>
      </x:c>
      <x:c r="N779" s="20" t="str">
        <x:v>Strong improvement</x:v>
      </x:c>
      <x:c r="O779" s="20" t="str">
        <x:v>Prototype retrieval heuristic; association is not proof of causality.</x:v>
      </x:c>
      <x:c r="P779" s="20" t="str">
        <x:v>YES</x:v>
      </x:c>
    </x:row>
    <x:row r="780">
      <x:c r="A780" s="20" t="str">
        <x:v>REC-L03</x:v>
      </x:c>
      <x:c r="B780" s="20" t="str">
        <x:v>Cobertura de procesos críticos digitalizados</x:v>
      </x:c>
      <x:c r="C780" s="20" t="n">
        <x:v>3</x:v>
      </x:c>
      <x:c r="D780" s="20" t="str">
        <x:v>LEG-008</x:v>
      </x:c>
      <x:c r="E780" s="20" t="str">
        <x:v>Adopción activa de WEBDOX por usuarios jurídicos</x:v>
      </x:c>
      <x:c r="F780" s="20" t="str">
        <x:v>Same strategic objective; Same BSC perspective</x:v>
      </x:c>
      <x:c r="G780" s="20" t="n">
        <x:v>60</x:v>
      </x:c>
      <x:c r="H780" s="20" t="str">
        <x:v>Jurídico</x:v>
      </x:c>
      <x:c r="I780" s="20" t="str">
        <x:v>Capacidades y tecnología</x:v>
      </x:c>
      <x:c r="J780" s="20" t="str">
        <x:v>L2. Integrar información en una sola plataforma</x:v>
      </x:c>
      <x:c r="K780" s="20" t="n">
        <x:v>90.9090909090909</x:v>
      </x:c>
      <x:c r="L780" s="20" t="n">
        <x:v>81.3625527232716</x:v>
      </x:c>
      <x:c r="M780" s="52" t="n">
        <x:v>0.11733331694113337</x:v>
      </x:c>
      <x:c r="N780" s="20" t="str">
        <x:v>Strong improvement</x:v>
      </x:c>
      <x:c r="O780" s="20" t="str">
        <x:v>Prototype retrieval heuristic; association is not proof of causality.</x:v>
      </x:c>
      <x:c r="P780" s="20" t="str">
        <x:v>YES</x:v>
      </x:c>
    </x:row>
    <x:row r="781">
      <x:c r="A781" s="20" t="str">
        <x:v>REC-L03</x:v>
      </x:c>
      <x:c r="B781" s="20" t="str">
        <x:v>Cobertura de procesos críticos digitalizados</x:v>
      </x:c>
      <x:c r="C781" s="20" t="n">
        <x:v>4</x:v>
      </x:c>
      <x:c r="D781" s="20" t="str">
        <x:v>REC-P02</x:v>
      </x:c>
      <x:c r="E781" s="20" t="str">
        <x:v>Cobertura de medición de impacto</x:v>
      </x:c>
      <x:c r="F781" s="20" t="str">
        <x:v>Strategic-map adjacent objective</x:v>
      </x:c>
      <x:c r="G781" s="20" t="n">
        <x:v>42</x:v>
      </x:c>
      <x:c r="H781" s="20" t="str">
        <x:v>Operaciones</x:v>
      </x:c>
      <x:c r="I781" s="20" t="str">
        <x:v>Procesos internos</x:v>
      </x:c>
      <x:c r="J781" s="20" t="str">
        <x:v>P2. Fortalecer medición de impacto</x:v>
      </x:c>
      <x:c r="K781" s="20" t="n">
        <x:v>100</x:v>
      </x:c>
      <x:c r="L781" s="20" t="n">
        <x:v>88.9514687100894</x:v>
      </x:c>
      <x:c r="M781" s="52" t="n">
        <x:v>0.12420853135005526</x:v>
      </x:c>
      <x:c r="N781" s="20" t="str">
        <x:v>Strong improvement</x:v>
      </x:c>
      <x:c r="O781" s="20" t="str">
        <x:v>Prototype retrieval heuristic; association is not proof of causality.</x:v>
      </x:c>
      <x:c r="P781" s="20" t="str">
        <x:v>YES</x:v>
      </x:c>
    </x:row>
    <x:row r="782">
      <x:c r="A782" s="20" t="str">
        <x:v>REC-L03</x:v>
      </x:c>
      <x:c r="B782" s="20" t="str">
        <x:v>Cobertura de procesos críticos digitalizados</x:v>
      </x:c>
      <x:c r="C782" s="20" t="n">
        <x:v>5</x:v>
      </x:c>
      <x:c r="D782" s="20" t="str">
        <x:v>REC-P04</x:v>
      </x:c>
      <x:c r="E782" s="20" t="str">
        <x:v>Cumplimiento agregado de SLA administrativos</x:v>
      </x:c>
      <x:c r="F782" s="20" t="str">
        <x:v>Strategic-map adjacent objective</x:v>
      </x:c>
      <x:c r="G782" s="20" t="n">
        <x:v>42</x:v>
      </x:c>
      <x:c r="H782" s="20" t="str">
        <x:v>Administración</x:v>
      </x:c>
      <x:c r="I782" s="20" t="str">
        <x:v>Procesos internos</x:v>
      </x:c>
      <x:c r="J782" s="20" t="str">
        <x:v>P4. Simplificar y digitalizar procesos</x:v>
      </x:c>
      <x:c r="K782" s="20" t="n">
        <x:v>96</x:v>
      </x:c>
      <x:c r="L782" s="20" t="n">
        <x:v>84.01745423584504</x:v>
      </x:c>
      <x:c r="M782" s="52" t="n">
        <x:v>0.14261971959444059</x:v>
      </x:c>
      <x:c r="N782" s="20" t="str">
        <x:v>Strong improvement</x:v>
      </x:c>
      <x:c r="O782" s="20" t="str">
        <x:v>Prototype retrieval heuristic; association is not proof of causality.</x:v>
      </x:c>
      <x:c r="P782" s="20" t="str">
        <x:v>YES</x:v>
      </x:c>
    </x:row>
    <x:row r="783">
      <x:c r="A783" s="20" t="str">
        <x:v>REC-L03</x:v>
      </x:c>
      <x:c r="B783" s="20" t="str">
        <x:v>Cobertura de procesos críticos digitalizados</x:v>
      </x:c>
      <x:c r="C783" s="20" t="n">
        <x:v>6</x:v>
      </x:c>
      <x:c r="D783" s="20" t="str">
        <x:v>LEG-009</x:v>
      </x:c>
      <x:c r="E783" s="20" t="str">
        <x:v>Convenios tramitados end-to-end en WEBDOX</x:v>
      </x:c>
      <x:c r="F783" s="20" t="str">
        <x:v>Same strategic objective; Same BSC perspective</x:v>
      </x:c>
      <x:c r="G783" s="20" t="n">
        <x:v>60</x:v>
      </x:c>
      <x:c r="H783" s="20" t="str">
        <x:v>Jurídico</x:v>
      </x:c>
      <x:c r="I783" s="20" t="str">
        <x:v>Capacidades y tecnología</x:v>
      </x:c>
      <x:c r="J783" s="20" t="str">
        <x:v>L2. Integrar información en una sola plataforma</x:v>
      </x:c>
      <x:c r="K783" s="20" t="n">
        <x:v>92.04545454545455</x:v>
      </x:c>
      <x:c r="L783" s="20" t="n">
        <x:v>81.2376620563755</x:v>
      </x:c>
      <x:c r="M783" s="52" t="n">
        <x:v>0.13303918669617668</x:v>
      </x:c>
      <x:c r="N783" s="20" t="str">
        <x:v>Strong improvement</x:v>
      </x:c>
      <x:c r="O783" s="20" t="str">
        <x:v>Prototype retrieval heuristic; association is not proof of causality.</x:v>
      </x:c>
      <x:c r="P783" s="20" t="str">
        <x:v>YES</x:v>
      </x:c>
    </x:row>
    <x:row r="784">
      <x:c r="A784" s="20" t="str">
        <x:v>REC-L03</x:v>
      </x:c>
      <x:c r="B784" s="20" t="str">
        <x:v>Cobertura de procesos críticos digitalizados</x:v>
      </x:c>
      <x:c r="C784" s="20" t="n">
        <x:v>7</x:v>
      </x:c>
      <x:c r="D784" s="20" t="str">
        <x:v>REC-P06</x:v>
      </x:c>
      <x:c r="E784" s="20" t="str">
        <x:v>Obligaciones regulatorias vencidas</x:v>
      </x:c>
      <x:c r="F784" s="20" t="str">
        <x:v>Strategic-map adjacent objective</x:v>
      </x:c>
      <x:c r="G784" s="20" t="n">
        <x:v>42</x:v>
      </x:c>
      <x:c r="H784" s="20" t="str">
        <x:v>Jurídico</x:v>
      </x:c>
      <x:c r="I784" s="20" t="str">
        <x:v>Procesos internos</x:v>
      </x:c>
      <x:c r="J784" s="20" t="str">
        <x:v>P5. Fortalecer cumplimiento, transparencia y gobierno</x:v>
      </x:c>
      <x:c r="K784" s="20" t="n">
        <x:v>0</x:v>
      </x:c>
      <x:c r="L784" s="20" t="n">
        <x:v>2.6666666666666665</x:v>
      </x:c>
      <x:c r="M784" s="52" t="n">
        <x:v>1</x:v>
      </x:c>
      <x:c r="N784" s="20" t="str">
        <x:v>Strong improvement</x:v>
      </x:c>
      <x:c r="O784" s="20" t="str">
        <x:v>Prototype retrieval heuristic; association is not proof of causality.</x:v>
      </x:c>
      <x:c r="P784" s="20" t="str">
        <x:v>YES</x:v>
      </x:c>
    </x:row>
    <x:row r="785">
      <x:c r="A785" s="20" t="str">
        <x:v>REC-L03</x:v>
      </x:c>
      <x:c r="B785" s="20" t="str">
        <x:v>Cobertura de procesos críticos digitalizados</x:v>
      </x:c>
      <x:c r="C785" s="20" t="n">
        <x:v>8</x:v>
      </x:c>
      <x:c r="D785" s="20" t="str">
        <x:v>ADM-001</x:v>
      </x:c>
      <x:c r="E785" s="20" t="str">
        <x:v>Facturación de donativos emitida dentro del SLA</x:v>
      </x:c>
      <x:c r="F785" s="20" t="str">
        <x:v>Strategic-map adjacent objective</x:v>
      </x:c>
      <x:c r="G785" s="20" t="n">
        <x:v>40</x:v>
      </x:c>
      <x:c r="H785" s="20" t="str">
        <x:v>Administración</x:v>
      </x:c>
      <x:c r="I785" s="20" t="str">
        <x:v>Procesos internos</x:v>
      </x:c>
      <x:c r="J785" s="20" t="str">
        <x:v>P4. Simplificar y digitalizar procesos</x:v>
      </x:c>
      <x:c r="K785" s="20" t="n">
        <x:v>100</x:v>
      </x:c>
      <x:c r="L785" s="20" t="n">
        <x:v>89.08024931406226</x:v>
      </x:c>
      <x:c r="M785" s="52" t="n">
        <x:v>0.12258329730801444</x:v>
      </x:c>
      <x:c r="N785" s="20" t="str">
        <x:v>Strong improvement</x:v>
      </x:c>
      <x:c r="O785" s="20" t="str">
        <x:v>Prototype retrieval heuristic; association is not proof of causality.</x:v>
      </x:c>
      <x:c r="P785" s="20" t="str">
        <x:v>YES</x:v>
      </x:c>
    </x:row>
    <x:row r="786">
      <x:c r="A786" s="20" t="str">
        <x:v>REC-L04</x:v>
      </x:c>
      <x:c r="B786" s="20" t="str">
        <x:v>Cobertura de capacitación crítica</x:v>
      </x:c>
      <x:c r="C786" s="20" t="n">
        <x:v>1</x:v>
      </x:c>
      <x:c r="D786" s="20" t="str">
        <x:v>ADM-014</x:v>
      </x:c>
      <x:c r="E786" s="20" t="str">
        <x:v>Prestadores de servicio social incorporados</x:v>
      </x:c>
      <x:c r="F786" s="20" t="str">
        <x:v>Same strategic objective; Same BSC perspective</x:v>
      </x:c>
      <x:c r="G786" s="20" t="n">
        <x:v>60</x:v>
      </x:c>
      <x:c r="H786" s="20" t="str">
        <x:v>Administración</x:v>
      </x:c>
      <x:c r="I786" s="20" t="str">
        <x:v>Capacidades y tecnología</x:v>
      </x:c>
      <x:c r="J786" s="20" t="str">
        <x:v>L3. Fortalecer capacidades del equipo</x:v>
      </x:c>
      <x:c r="K786" s="20" t="n">
        <x:v>7</x:v>
      </x:c>
      <x:c r="L786" s="20" t="n">
        <x:v>5</x:v>
      </x:c>
      <x:c r="M786" s="52" t="n">
        <x:v>0.4</x:v>
      </x:c>
      <x:c r="N786" s="20" t="str">
        <x:v>Strong improvement</x:v>
      </x:c>
      <x:c r="O786" s="20" t="str">
        <x:v>Prototype retrieval heuristic; association is not proof of causality.</x:v>
      </x:c>
      <x:c r="P786" s="20" t="str">
        <x:v>YES</x:v>
      </x:c>
    </x:row>
    <x:row r="787">
      <x:c r="A787" s="20" t="str">
        <x:v>REC-L04</x:v>
      </x:c>
      <x:c r="B787" s="20" t="str">
        <x:v>Cobertura de capacitación crítica</x:v>
      </x:c>
      <x:c r="C787" s="20" t="n">
        <x:v>2</x:v>
      </x:c>
      <x:c r="D787" s="20" t="str">
        <x:v>LEG-006</x:v>
      </x:c>
      <x:c r="E787" s="20" t="str">
        <x:v>Cobertura de certificación antilavado del equipo Jurídico</x:v>
      </x:c>
      <x:c r="F787" s="20" t="str">
        <x:v>Same strategic objective; Same BSC perspective</x:v>
      </x:c>
      <x:c r="G787" s="20" t="n">
        <x:v>60</x:v>
      </x:c>
      <x:c r="H787" s="20" t="str">
        <x:v>Jurídico</x:v>
      </x:c>
      <x:c r="I787" s="20" t="str">
        <x:v>Capacidades y tecnología</x:v>
      </x:c>
      <x:c r="J787" s="20" t="str">
        <x:v>L3. Fortalecer capacidades del equipo</x:v>
      </x:c>
      <x:c r="K787" s="20" t="n">
        <x:v>100</x:v>
      </x:c>
      <x:c r="L787" s="20" t="n">
        <x:v>89.15092609572713</x:v>
      </x:c>
      <x:c r="M787" s="52" t="n">
        <x:v>0.12169333936726037</x:v>
      </x:c>
      <x:c r="N787" s="20" t="str">
        <x:v>Strong improvement</x:v>
      </x:c>
      <x:c r="O787" s="20" t="str">
        <x:v>Prototype retrieval heuristic; association is not proof of causality.</x:v>
      </x:c>
      <x:c r="P787" s="20" t="str">
        <x:v>YES</x:v>
      </x:c>
    </x:row>
    <x:row r="788">
      <x:c r="A788" s="20" t="str">
        <x:v>REC-L04</x:v>
      </x:c>
      <x:c r="B788" s="20" t="str">
        <x:v>Cobertura de capacitación crítica</x:v>
      </x:c>
      <x:c r="C788" s="20" t="n">
        <x:v>3</x:v>
      </x:c>
      <x:c r="D788" s="20" t="str">
        <x:v>REC-P01</x:v>
      </x:c>
      <x:c r="E788" s="20" t="str">
        <x:v>Programas ejecutados conforme al plan</x:v>
      </x:c>
      <x:c r="F788" s="20" t="str">
        <x:v>Strategic-map adjacent objective</x:v>
      </x:c>
      <x:c r="G788" s="20" t="n">
        <x:v>42</x:v>
      </x:c>
      <x:c r="H788" s="20" t="str">
        <x:v>Operaciones</x:v>
      </x:c>
      <x:c r="I788" s="20" t="str">
        <x:v>Procesos internos</x:v>
      </x:c>
      <x:c r="J788" s="20" t="str">
        <x:v>P1. Estandarizar y escalar programas</x:v>
      </x:c>
      <x:c r="K788" s="20" t="n">
        <x:v>93.33333333333333</x:v>
      </x:c>
      <x:c r="L788" s="20" t="n">
        <x:v>81.77655677655677</x:v>
      </x:c>
      <x:c r="M788" s="52" t="n">
        <x:v>0.14132138857782753</x:v>
      </x:c>
      <x:c r="N788" s="20" t="str">
        <x:v>Strong improvement</x:v>
      </x:c>
      <x:c r="O788" s="20" t="str">
        <x:v>Prototype retrieval heuristic; association is not proof of causality.</x:v>
      </x:c>
      <x:c r="P788" s="20" t="str">
        <x:v>YES</x:v>
      </x:c>
    </x:row>
    <x:row r="789">
      <x:c r="A789" s="20" t="str">
        <x:v>REC-L04</x:v>
      </x:c>
      <x:c r="B789" s="20" t="str">
        <x:v>Cobertura de capacitación crítica</x:v>
      </x:c>
      <x:c r="C789" s="20" t="n">
        <x:v>4</x:v>
      </x:c>
      <x:c r="D789" s="20" t="str">
        <x:v>FND-016</x:v>
      </x:c>
      <x:c r="E789" s="20" t="str">
        <x:v>Nuevas alianzas estratégicas activas por país</x:v>
      </x:c>
      <x:c r="F789" s="20" t="str">
        <x:v>Strategic-map adjacent objective</x:v>
      </x:c>
      <x:c r="G789" s="20" t="n">
        <x:v>40</x:v>
      </x:c>
      <x:c r="H789" s="20" t="str">
        <x:v>Procuración de Fondos</x:v>
      </x:c>
      <x:c r="I789" s="20" t="str">
        <x:v>Procesos internos</x:v>
      </x:c>
      <x:c r="J789" s="20" t="str">
        <x:v>P6. Construir ecosistema de alianzas</x:v>
      </x:c>
      <x:c r="K789" s="20" t="n">
        <x:v>4</x:v>
      </x:c>
      <x:c r="L789" s="20" t="n">
        <x:v>2.6666666666666665</x:v>
      </x:c>
      <x:c r="M789" s="52" t="n">
        <x:v>0.5000000000000001</x:v>
      </x:c>
      <x:c r="N789" s="20" t="str">
        <x:v>Strong improvement</x:v>
      </x:c>
      <x:c r="O789" s="20" t="str">
        <x:v>Prototype retrieval heuristic; association is not proof of causality.</x:v>
      </x:c>
      <x:c r="P789" s="20" t="str">
        <x:v>YES</x:v>
      </x:c>
    </x:row>
    <x:row r="790">
      <x:c r="A790" s="20" t="str">
        <x:v>REC-L04</x:v>
      </x:c>
      <x:c r="B790" s="20" t="str">
        <x:v>Cobertura de capacitación crítica</x:v>
      </x:c>
      <x:c r="C790" s="20" t="n">
        <x:v>5</x:v>
      </x:c>
      <x:c r="D790" s="20" t="str">
        <x:v>REC-L01</x:v>
      </x:c>
      <x:c r="E790" s="20" t="str">
        <x:v>Integridad y actualización de datos estratégicos</x:v>
      </x:c>
      <x:c r="F790" s="20" t="str">
        <x:v>Same BSC perspective</x:v>
      </x:c>
      <x:c r="G790" s="20" t="n">
        <x:v>12</x:v>
      </x:c>
      <x:c r="H790" s="20" t="str">
        <x:v>Todas las áreas</x:v>
      </x:c>
      <x:c r="I790" s="20" t="str">
        <x:v>Capacidades y tecnología</x:v>
      </x:c>
      <x:c r="J790" s="20" t="str">
        <x:v>L1. Construir una cultura de gestión basada en datos</x:v>
      </x:c>
      <x:c r="K790" s="20" t="n">
        <x:v>96</x:v>
      </x:c>
      <x:c r="L790" s="20" t="n">
        <x:v>84.01745423584504</x:v>
      </x:c>
      <x:c r="M790" s="52" t="n">
        <x:v>0.14261971959444059</x:v>
      </x:c>
      <x:c r="N790" s="20" t="str">
        <x:v>Strong improvement</x:v>
      </x:c>
      <x:c r="O790" s="20" t="str">
        <x:v>Prototype retrieval heuristic; association is not proof of causality.</x:v>
      </x:c>
      <x:c r="P790" s="20" t="str">
        <x:v>YES</x:v>
      </x:c>
    </x:row>
    <x:row r="791">
      <x:c r="A791" s="20" t="str">
        <x:v>REC-L04</x:v>
      </x:c>
      <x:c r="B791" s="20" t="str">
        <x:v>Cobertura de capacitación crítica</x:v>
      </x:c>
      <x:c r="C791" s="20" t="n">
        <x:v>6</x:v>
      </x:c>
      <x:c r="D791" s="20" t="str">
        <x:v>MKT-008</x:v>
      </x:c>
      <x:c r="E791" s="20" t="str">
        <x:v>Cumplimiento de ejecución multicanal del lanzamiento</x:v>
      </x:c>
      <x:c r="F791" s="20" t="str">
        <x:v>Strategic-map adjacent objective</x:v>
      </x:c>
      <x:c r="G791" s="20" t="n">
        <x:v>40</x:v>
      </x:c>
      <x:c r="H791" s="20" t="str">
        <x:v>Marketing y Comunicación</x:v>
      </x:c>
      <x:c r="I791" s="20" t="str">
        <x:v>Procesos internos</x:v>
      </x:c>
      <x:c r="J791" s="20" t="str">
        <x:v>P3. Integrar Marketing + Procuración</x:v>
      </x:c>
      <x:c r="K791" s="20" t="n">
        <x:v>100</x:v>
      </x:c>
      <x:c r="L791" s="20" t="n">
        <x:v>88.9514687100894</x:v>
      </x:c>
      <x:c r="M791" s="52" t="n">
        <x:v>0.12420853135005526</x:v>
      </x:c>
      <x:c r="N791" s="20" t="str">
        <x:v>Strong improvement</x:v>
      </x:c>
      <x:c r="O791" s="20" t="str">
        <x:v>Prototype retrieval heuristic; association is not proof of causality.</x:v>
      </x:c>
      <x:c r="P791" s="20" t="str">
        <x:v>YES</x:v>
      </x:c>
    </x:row>
    <x:row r="792">
      <x:c r="A792" s="20" t="str">
        <x:v>REC-L04</x:v>
      </x:c>
      <x:c r="B792" s="20" t="str">
        <x:v>Cobertura de capacitación crítica</x:v>
      </x:c>
      <x:c r="C792" s="20" t="n">
        <x:v>7</x:v>
      </x:c>
      <x:c r="D792" s="20" t="str">
        <x:v>MKT-011</x:v>
      </x:c>
      <x:c r="E792" s="20" t="str">
        <x:v>Actividades principales con cobertura completa de comunicación e impacto</x:v>
      </x:c>
      <x:c r="F792" s="20" t="str">
        <x:v>Strategic-map adjacent objective</x:v>
      </x:c>
      <x:c r="G792" s="20" t="n">
        <x:v>40</x:v>
      </x:c>
      <x:c r="H792" s="20" t="str">
        <x:v>Marketing y Comunicación</x:v>
      </x:c>
      <x:c r="I792" s="20" t="str">
        <x:v>Procesos internos</x:v>
      </x:c>
      <x:c r="J792" s="20" t="str">
        <x:v>P3. Integrar Marketing + Procuración</x:v>
      </x:c>
      <x:c r="K792" s="20" t="n">
        <x:v>100</x:v>
      </x:c>
      <x:c r="L792" s="20" t="n">
        <x:v>89.21401340466089</x:v>
      </x:c>
      <x:c r="M792" s="52" t="n">
        <x:v>0.12090013870820443</x:v>
      </x:c>
      <x:c r="N792" s="20" t="str">
        <x:v>Strong improvement</x:v>
      </x:c>
      <x:c r="O792" s="20" t="str">
        <x:v>Prototype retrieval heuristic; association is not proof of causality.</x:v>
      </x:c>
      <x:c r="P792" s="20" t="str">
        <x:v>YES</x:v>
      </x:c>
    </x:row>
    <x:row r="793">
      <x:c r="A793" s="20" t="str">
        <x:v>REC-L04</x:v>
      </x:c>
      <x:c r="B793" s="20" t="str">
        <x:v>Cobertura de capacitación crítica</x:v>
      </x:c>
      <x:c r="C793" s="20" t="n">
        <x:v>8</x:v>
      </x:c>
      <x:c r="D793" s="20" t="str">
        <x:v>MKT-013</x:v>
      </x:c>
      <x:c r="E793" s="20" t="str">
        <x:v>Campañas de procuración con análisis conjunto MKT–PF</x:v>
      </x:c>
      <x:c r="F793" s="20" t="str">
        <x:v>Strategic-map adjacent objective</x:v>
      </x:c>
      <x:c r="G793" s="20" t="n">
        <x:v>40</x:v>
      </x:c>
      <x:c r="H793" s="20" t="str">
        <x:v>Marketing y Comunicación</x:v>
      </x:c>
      <x:c r="I793" s="20" t="str">
        <x:v>Procesos internos</x:v>
      </x:c>
      <x:c r="J793" s="20" t="str">
        <x:v>P3. Integrar Marketing + Procuración</x:v>
      </x:c>
      <x:c r="K793" s="20" t="n">
        <x:v>100</x:v>
      </x:c>
      <x:c r="L793" s="20" t="n">
        <x:v>88.71031746031747</x:v>
      </x:c>
      <x:c r="M793" s="52" t="n">
        <x:v>0.12726459405054785</x:v>
      </x:c>
      <x:c r="N793" s="20" t="str">
        <x:v>Strong improvement</x:v>
      </x:c>
      <x:c r="O793" s="20" t="str">
        <x:v>Prototype retrieval heuristic; association is not proof of causality.</x:v>
      </x:c>
      <x:c r="P793" s="20" t="str">
        <x:v>YES</x:v>
      </x:c>
    </x:row>
    <x:row r="794">
      <x:c r="A794" s="20" t="str">
        <x:v>REC-L05</x:v>
      </x:c>
      <x:c r="B794" s="20" t="str">
        <x:v>Cumplimiento de compromisos interárea</x:v>
      </x:c>
      <x:c r="C794" s="20" t="n">
        <x:v>1</x:v>
      </x:c>
      <x:c r="D794" s="20" t="str">
        <x:v>ADM-004</x:v>
      </x:c>
      <x:c r="E794" s="20" t="str">
        <x:v>Presupuestos anuales aprobados dentro del calendario</x:v>
      </x:c>
      <x:c r="F794" s="20" t="str">
        <x:v>Same strategic objective; Same BSC perspective</x:v>
      </x:c>
      <x:c r="G794" s="20" t="n">
        <x:v>60</x:v>
      </x:c>
      <x:c r="H794" s="20" t="str">
        <x:v>Administración</x:v>
      </x:c>
      <x:c r="I794" s="20" t="str">
        <x:v>Capacidades y tecnología</x:v>
      </x:c>
      <x:c r="J794" s="20" t="str">
        <x:v>L4. Fortalecer colaboración interdepartamental</x:v>
      </x:c>
      <x:c r="K794" s="20" t="n">
        <x:v>100</x:v>
      </x:c>
      <x:c r="L794" s="20" t="n">
        <x:v>88.9514687100894</x:v>
      </x:c>
      <x:c r="M794" s="52" t="n">
        <x:v>0.12420853135005526</x:v>
      </x:c>
      <x:c r="N794" s="20" t="str">
        <x:v>Strong improvement</x:v>
      </x:c>
      <x:c r="O794" s="20" t="str">
        <x:v>Prototype retrieval heuristic; association is not proof of causality.</x:v>
      </x:c>
      <x:c r="P794" s="20" t="str">
        <x:v>YES</x:v>
      </x:c>
    </x:row>
    <x:row r="795">
      <x:c r="A795" s="20" t="str">
        <x:v>REC-L05</x:v>
      </x:c>
      <x:c r="B795" s="20" t="str">
        <x:v>Cumplimiento de compromisos interárea</x:v>
      </x:c>
      <x:c r="C795" s="20" t="n">
        <x:v>2</x:v>
      </x:c>
      <x:c r="D795" s="20" t="str">
        <x:v>ADM-012</x:v>
      </x:c>
      <x:c r="E795" s="20" t="str">
        <x:v>Nuevos convenios universitarios activados</x:v>
      </x:c>
      <x:c r="F795" s="20" t="str">
        <x:v>Same strategic objective; Same BSC perspective</x:v>
      </x:c>
      <x:c r="G795" s="20" t="n">
        <x:v>60</x:v>
      </x:c>
      <x:c r="H795" s="20" t="str">
        <x:v>Administración</x:v>
      </x:c>
      <x:c r="I795" s="20" t="str">
        <x:v>Capacidades y tecnología</x:v>
      </x:c>
      <x:c r="J795" s="20" t="str">
        <x:v>L4. Fortalecer colaboración interdepartamental</x:v>
      </x:c>
      <x:c r="K795" s="20" t="n">
        <x:v>2</x:v>
      </x:c>
      <x:c r="L795" s="20" t="n">
        <x:v>1.3333333333333333</x:v>
      </x:c>
      <x:c r="M795" s="52" t="n">
        <x:v>0.5000000000000001</x:v>
      </x:c>
      <x:c r="N795" s="20" t="str">
        <x:v>Strong improvement</x:v>
      </x:c>
      <x:c r="O795" s="20" t="str">
        <x:v>Prototype retrieval heuristic; association is not proof of causality.</x:v>
      </x:c>
      <x:c r="P795" s="20" t="str">
        <x:v>YES</x:v>
      </x:c>
    </x:row>
    <x:row r="796">
      <x:c r="A796" s="20" t="str">
        <x:v>REC-L05</x:v>
      </x:c>
      <x:c r="B796" s="20" t="str">
        <x:v>Cumplimiento de compromisos interárea</x:v>
      </x:c>
      <x:c r="C796" s="20" t="n">
        <x:v>3</x:v>
      </x:c>
      <x:c r="D796" s="20" t="str">
        <x:v>ADM-013</x:v>
      </x:c>
      <x:c r="E796" s="20" t="str">
        <x:v>Convenios universitarios renovados antes de vencimiento</x:v>
      </x:c>
      <x:c r="F796" s="20" t="str">
        <x:v>Same strategic objective; Same BSC perspective</x:v>
      </x:c>
      <x:c r="G796" s="20" t="n">
        <x:v>60</x:v>
      </x:c>
      <x:c r="H796" s="20" t="str">
        <x:v>Administración</x:v>
      </x:c>
      <x:c r="I796" s="20" t="str">
        <x:v>Capacidades y tecnología</x:v>
      </x:c>
      <x:c r="J796" s="20" t="str">
        <x:v>L4. Fortalecer colaboración interdepartamental</x:v>
      </x:c>
      <x:c r="K796" s="20" t="n">
        <x:v>100</x:v>
      </x:c>
      <x:c r="L796" s="20" t="n">
        <x:v>89.19551966335592</x:v>
      </x:c>
      <x:c r="M796" s="52" t="n">
        <x:v>0.12113254541733295</x:v>
      </x:c>
      <x:c r="N796" s="20" t="str">
        <x:v>Strong improvement</x:v>
      </x:c>
      <x:c r="O796" s="20" t="str">
        <x:v>Prototype retrieval heuristic; association is not proof of causality.</x:v>
      </x:c>
      <x:c r="P796" s="20" t="str">
        <x:v>YES</x:v>
      </x:c>
    </x:row>
    <x:row r="797">
      <x:c r="A797" s="20" t="str">
        <x:v>REC-L05</x:v>
      </x:c>
      <x:c r="B797" s="20" t="str">
        <x:v>Cumplimiento de compromisos interárea</x:v>
      </x:c>
      <x:c r="C797" s="20" t="n">
        <x:v>4</x:v>
      </x:c>
      <x:c r="D797" s="20" t="str">
        <x:v>REC-P04</x:v>
      </x:c>
      <x:c r="E797" s="20" t="str">
        <x:v>Cumplimiento agregado de SLA administrativos</x:v>
      </x:c>
      <x:c r="F797" s="20" t="str">
        <x:v>Strategic-map adjacent objective</x:v>
      </x:c>
      <x:c r="G797" s="20" t="n">
        <x:v>42</x:v>
      </x:c>
      <x:c r="H797" s="20" t="str">
        <x:v>Administración</x:v>
      </x:c>
      <x:c r="I797" s="20" t="str">
        <x:v>Procesos internos</x:v>
      </x:c>
      <x:c r="J797" s="20" t="str">
        <x:v>P4. Simplificar y digitalizar procesos</x:v>
      </x:c>
      <x:c r="K797" s="20" t="n">
        <x:v>96</x:v>
      </x:c>
      <x:c r="L797" s="20" t="n">
        <x:v>84.01745423584504</x:v>
      </x:c>
      <x:c r="M797" s="52" t="n">
        <x:v>0.14261971959444059</x:v>
      </x:c>
      <x:c r="N797" s="20" t="str">
        <x:v>Strong improvement</x:v>
      </x:c>
      <x:c r="O797" s="20" t="str">
        <x:v>Prototype retrieval heuristic; association is not proof of causality.</x:v>
      </x:c>
      <x:c r="P797" s="20" t="str">
        <x:v>YES</x:v>
      </x:c>
    </x:row>
    <x:row r="798">
      <x:c r="A798" s="20" t="str">
        <x:v>REC-L05</x:v>
      </x:c>
      <x:c r="B798" s="20" t="str">
        <x:v>Cumplimiento de compromisos interárea</x:v>
      </x:c>
      <x:c r="C798" s="20" t="n">
        <x:v>5</x:v>
      </x:c>
      <x:c r="D798" s="20" t="str">
        <x:v>ADM-001</x:v>
      </x:c>
      <x:c r="E798" s="20" t="str">
        <x:v>Facturación de donativos emitida dentro del SLA</x:v>
      </x:c>
      <x:c r="F798" s="20" t="str">
        <x:v>Strategic-map adjacent objective</x:v>
      </x:c>
      <x:c r="G798" s="20" t="n">
        <x:v>40</x:v>
      </x:c>
      <x:c r="H798" s="20" t="str">
        <x:v>Administración</x:v>
      </x:c>
      <x:c r="I798" s="20" t="str">
        <x:v>Procesos internos</x:v>
      </x:c>
      <x:c r="J798" s="20" t="str">
        <x:v>P4. Simplificar y digitalizar procesos</x:v>
      </x:c>
      <x:c r="K798" s="20" t="n">
        <x:v>100</x:v>
      </x:c>
      <x:c r="L798" s="20" t="n">
        <x:v>89.08024931406226</x:v>
      </x:c>
      <x:c r="M798" s="52" t="n">
        <x:v>0.12258329730801444</x:v>
      </x:c>
      <x:c r="N798" s="20" t="str">
        <x:v>Strong improvement</x:v>
      </x:c>
      <x:c r="O798" s="20" t="str">
        <x:v>Prototype retrieval heuristic; association is not proof of causality.</x:v>
      </x:c>
      <x:c r="P798" s="20" t="str">
        <x:v>YES</x:v>
      </x:c>
    </x:row>
    <x:row r="799">
      <x:c r="A799" s="20" t="str">
        <x:v>REC-L05</x:v>
      </x:c>
      <x:c r="B799" s="20" t="str">
        <x:v>Cumplimiento de compromisos interárea</x:v>
      </x:c>
      <x:c r="C799" s="20" t="n">
        <x:v>6</x:v>
      </x:c>
      <x:c r="D799" s="20" t="str">
        <x:v>REC-L01</x:v>
      </x:c>
      <x:c r="E799" s="20" t="str">
        <x:v>Integridad y actualización de datos estratégicos</x:v>
      </x:c>
      <x:c r="F799" s="20" t="str">
        <x:v>Same department; Same BSC perspective</x:v>
      </x:c>
      <x:c r="G799" s="20" t="n">
        <x:v>37</x:v>
      </x:c>
      <x:c r="H799" s="20" t="str">
        <x:v>Todas las áreas</x:v>
      </x:c>
      <x:c r="I799" s="20" t="str">
        <x:v>Capacidades y tecnología</x:v>
      </x:c>
      <x:c r="J799" s="20" t="str">
        <x:v>L1. Construir una cultura de gestión basada en datos</x:v>
      </x:c>
      <x:c r="K799" s="20" t="n">
        <x:v>96</x:v>
      </x:c>
      <x:c r="L799" s="20" t="n">
        <x:v>84.01745423584504</x:v>
      </x:c>
      <x:c r="M799" s="52" t="n">
        <x:v>0.14261971959444059</x:v>
      </x:c>
      <x:c r="N799" s="20" t="str">
        <x:v>Strong improvement</x:v>
      </x:c>
      <x:c r="O799" s="20" t="str">
        <x:v>Prototype retrieval heuristic; association is not proof of causality.</x:v>
      </x:c>
      <x:c r="P799" s="20" t="str">
        <x:v>YES</x:v>
      </x:c>
    </x:row>
    <x:row r="800">
      <x:c r="A800" s="20" t="str">
        <x:v>REC-L05</x:v>
      </x:c>
      <x:c r="B800" s="20" t="str">
        <x:v>Cumplimiento de compromisos interárea</x:v>
      </x:c>
      <x:c r="C800" s="20" t="n">
        <x:v>7</x:v>
      </x:c>
      <x:c r="D800" s="20" t="str">
        <x:v>MKT-001</x:v>
      </x:c>
      <x:c r="E800" s="20" t="str">
        <x:v>Cumplimiento del manual/protocolo de comunicación global</x:v>
      </x:c>
      <x:c r="F800" s="20" t="str">
        <x:v>Same strategic objective; Same BSC perspective</x:v>
      </x:c>
      <x:c r="G800" s="20" t="n">
        <x:v>60</x:v>
      </x:c>
      <x:c r="H800" s="20" t="str">
        <x:v>Marketing y Comunicación</x:v>
      </x:c>
      <x:c r="I800" s="20" t="str">
        <x:v>Capacidades y tecnología</x:v>
      </x:c>
      <x:c r="J800" s="20" t="str">
        <x:v>L4. Fortalecer colaboración interdepartamental</x:v>
      </x:c>
      <x:c r="K800" s="20" t="n">
        <x:v>96</x:v>
      </x:c>
      <x:c r="L800" s="20" t="n">
        <x:v>84.07381786878189</x:v>
      </x:c>
      <x:c r="M800" s="52" t="n">
        <x:v>0.14185369992156044</x:v>
      </x:c>
      <x:c r="N800" s="20" t="str">
        <x:v>Strong improvement</x:v>
      </x:c>
      <x:c r="O800" s="20" t="str">
        <x:v>Prototype retrieval heuristic; association is not proof of causality.</x:v>
      </x:c>
      <x:c r="P800" s="20" t="str">
        <x:v>YES</x:v>
      </x:c>
    </x:row>
    <x:row r="801">
      <x:c r="A801" s="20" t="str">
        <x:v>REC-L05</x:v>
      </x:c>
      <x:c r="B801" s="20" t="str">
        <x:v>Cumplimiento de compromisos interárea</x:v>
      </x:c>
      <x:c r="C801" s="20" t="n">
        <x:v>8</x:v>
      </x:c>
      <x:c r="D801" s="20" t="str">
        <x:v>MKT-004</x:v>
      </x:c>
      <x:c r="E801" s="20" t="str">
        <x:v>Compromisos de mejora de comunicación cerrados en plazo</x:v>
      </x:c>
      <x:c r="F801" s="20" t="str">
        <x:v>Same strategic objective; Same BSC perspective</x:v>
      </x:c>
      <x:c r="G801" s="20" t="n">
        <x:v>60</x:v>
      </x:c>
      <x:c r="H801" s="20" t="str">
        <x:v>Marketing y Comunicación</x:v>
      </x:c>
      <x:c r="I801" s="20" t="str">
        <x:v>Capacidades y tecnología</x:v>
      </x:c>
      <x:c r="J801" s="20" t="str">
        <x:v>L4. Fortalecer colaboración interdepartamental</x:v>
      </x:c>
      <x:c r="K801" s="20" t="n">
        <x:v>92</x:v>
      </x:c>
      <x:c r="L801" s="20" t="n">
        <x:v>80.97783311812088</x:v>
      </x:c>
      <x:c r="M801" s="52" t="n">
        <x:v>0.13611338384173954</x:v>
      </x:c>
      <x:c r="N801" s="20" t="str">
        <x:v>Strong improvement</x:v>
      </x:c>
      <x:c r="O801" s="20" t="str">
        <x:v>Prototype retrieval heuristic; association is not proof of causality.</x:v>
      </x:c>
      <x:c r="P801" s="20" t="str">
        <x:v>YES</x:v>
      </x:c>
    </x:row>
    <x:row r="802">
      <x:c r="A802" s="20" t="str">
        <x:v>REC-M02</x:v>
      </x:c>
      <x:c r="B802" s="20" t="str">
        <x:v>Costo de adquisición de nuevo donante</x:v>
      </x:c>
      <x:c r="C802" s="20" t="n">
        <x:v>1</x:v>
      </x:c>
      <x:c r="D802" s="20" t="str">
        <x:v>MKT-008</x:v>
      </x:c>
      <x:c r="E802" s="20" t="str">
        <x:v>Cumplimiento de ejecución multicanal del lanzamiento</x:v>
      </x:c>
      <x:c r="F802" s="20" t="str">
        <x:v>Same strategic objective; Same department; Same BSC perspective</x:v>
      </x:c>
      <x:c r="G802" s="20" t="n">
        <x:v>85</x:v>
      </x:c>
      <x:c r="H802" s="20" t="str">
        <x:v>Marketing y Comunicación</x:v>
      </x:c>
      <x:c r="I802" s="20" t="str">
        <x:v>Procesos internos</x:v>
      </x:c>
      <x:c r="J802" s="20" t="str">
        <x:v>P3. Integrar Marketing + Procuración</x:v>
      </x:c>
      <x:c r="K802" s="20" t="n">
        <x:v>100</x:v>
      </x:c>
      <x:c r="L802" s="20" t="n">
        <x:v>88.9514687100894</x:v>
      </x:c>
      <x:c r="M802" s="52" t="n">
        <x:v>0.12420853135005526</x:v>
      </x:c>
      <x:c r="N802" s="20" t="str">
        <x:v>Strong improvement</x:v>
      </x:c>
      <x:c r="O802" s="20" t="str">
        <x:v>Prototype retrieval heuristic; association is not proof of causality.</x:v>
      </x:c>
      <x:c r="P802" s="20" t="str">
        <x:v>YES</x:v>
      </x:c>
    </x:row>
    <x:row r="803">
      <x:c r="A803" s="20" t="str">
        <x:v>REC-M02</x:v>
      </x:c>
      <x:c r="B803" s="20" t="str">
        <x:v>Costo de adquisición de nuevo donante</x:v>
      </x:c>
      <x:c r="C803" s="20" t="n">
        <x:v>2</x:v>
      </x:c>
      <x:c r="D803" s="20" t="str">
        <x:v>MKT-011</x:v>
      </x:c>
      <x:c r="E803" s="20" t="str">
        <x:v>Actividades principales con cobertura completa de comunicación e impacto</x:v>
      </x:c>
      <x:c r="F803" s="20" t="str">
        <x:v>Same strategic objective; Same department; Same BSC perspective</x:v>
      </x:c>
      <x:c r="G803" s="20" t="n">
        <x:v>85</x:v>
      </x:c>
      <x:c r="H803" s="20" t="str">
        <x:v>Marketing y Comunicación</x:v>
      </x:c>
      <x:c r="I803" s="20" t="str">
        <x:v>Procesos internos</x:v>
      </x:c>
      <x:c r="J803" s="20" t="str">
        <x:v>P3. Integrar Marketing + Procuración</x:v>
      </x:c>
      <x:c r="K803" s="20" t="n">
        <x:v>100</x:v>
      </x:c>
      <x:c r="L803" s="20" t="n">
        <x:v>89.21401340466089</x:v>
      </x:c>
      <x:c r="M803" s="52" t="n">
        <x:v>0.12090013870820443</x:v>
      </x:c>
      <x:c r="N803" s="20" t="str">
        <x:v>Strong improvement</x:v>
      </x:c>
      <x:c r="O803" s="20" t="str">
        <x:v>Prototype retrieval heuristic; association is not proof of causality.</x:v>
      </x:c>
      <x:c r="P803" s="20" t="str">
        <x:v>YES</x:v>
      </x:c>
    </x:row>
    <x:row r="804">
      <x:c r="A804" s="20" t="str">
        <x:v>REC-M02</x:v>
      </x:c>
      <x:c r="B804" s="20" t="str">
        <x:v>Costo de adquisición de nuevo donante</x:v>
      </x:c>
      <x:c r="C804" s="20" t="n">
        <x:v>3</x:v>
      </x:c>
      <x:c r="D804" s="20" t="str">
        <x:v>MKT-013</x:v>
      </x:c>
      <x:c r="E804" s="20" t="str">
        <x:v>Campañas de procuración con análisis conjunto MKT–PF</x:v>
      </x:c>
      <x:c r="F804" s="20" t="str">
        <x:v>Same strategic objective; Same department; Same BSC perspective</x:v>
      </x:c>
      <x:c r="G804" s="20" t="n">
        <x:v>85</x:v>
      </x:c>
      <x:c r="H804" s="20" t="str">
        <x:v>Marketing y Comunicación</x:v>
      </x:c>
      <x:c r="I804" s="20" t="str">
        <x:v>Procesos internos</x:v>
      </x:c>
      <x:c r="J804" s="20" t="str">
        <x:v>P3. Integrar Marketing + Procuración</x:v>
      </x:c>
      <x:c r="K804" s="20" t="n">
        <x:v>100</x:v>
      </x:c>
      <x:c r="L804" s="20" t="n">
        <x:v>88.71031746031747</x:v>
      </x:c>
      <x:c r="M804" s="52" t="n">
        <x:v>0.12726459405054785</x:v>
      </x:c>
      <x:c r="N804" s="20" t="str">
        <x:v>Strong improvement</x:v>
      </x:c>
      <x:c r="O804" s="20" t="str">
        <x:v>Prototype retrieval heuristic; association is not proof of causality.</x:v>
      </x:c>
      <x:c r="P804" s="20" t="str">
        <x:v>YES</x:v>
      </x:c>
    </x:row>
    <x:row r="805">
      <x:c r="A805" s="20" t="str">
        <x:v>REC-M02</x:v>
      </x:c>
      <x:c r="B805" s="20" t="str">
        <x:v>Costo de adquisición de nuevo donante</x:v>
      </x:c>
      <x:c r="C805" s="20" t="n">
        <x:v>4</x:v>
      </x:c>
      <x:c r="D805" s="20" t="str">
        <x:v>MKT-001</x:v>
      </x:c>
      <x:c r="E805" s="20" t="str">
        <x:v>Cumplimiento del manual/protocolo de comunicación global</x:v>
      </x:c>
      <x:c r="F805" s="20" t="str">
        <x:v>Strategic-map adjacent objective; Same department</x:v>
      </x:c>
      <x:c r="G805" s="20" t="n">
        <x:v>65</x:v>
      </x:c>
      <x:c r="H805" s="20" t="str">
        <x:v>Marketing y Comunicación</x:v>
      </x:c>
      <x:c r="I805" s="20" t="str">
        <x:v>Capacidades y tecnología</x:v>
      </x:c>
      <x:c r="J805" s="20" t="str">
        <x:v>L4. Fortalecer colaboración interdepartamental</x:v>
      </x:c>
      <x:c r="K805" s="20" t="n">
        <x:v>96</x:v>
      </x:c>
      <x:c r="L805" s="20" t="n">
        <x:v>84.07381786878189</x:v>
      </x:c>
      <x:c r="M805" s="52" t="n">
        <x:v>0.14185369992156044</x:v>
      </x:c>
      <x:c r="N805" s="20" t="str">
        <x:v>Strong improvement</x:v>
      </x:c>
      <x:c r="O805" s="20" t="str">
        <x:v>Prototype retrieval heuristic; association is not proof of causality.</x:v>
      </x:c>
      <x:c r="P805" s="20" t="str">
        <x:v>YES</x:v>
      </x:c>
    </x:row>
    <x:row r="806">
      <x:c r="A806" s="20" t="str">
        <x:v>REC-M02</x:v>
      </x:c>
      <x:c r="B806" s="20" t="str">
        <x:v>Costo de adquisición de nuevo donante</x:v>
      </x:c>
      <x:c r="C806" s="20" t="n">
        <x:v>5</x:v>
      </x:c>
      <x:c r="D806" s="20" t="str">
        <x:v>MKT-004</x:v>
      </x:c>
      <x:c r="E806" s="20" t="str">
        <x:v>Compromisos de mejora de comunicación cerrados en plazo</x:v>
      </x:c>
      <x:c r="F806" s="20" t="str">
        <x:v>Strategic-map adjacent objective; Same department</x:v>
      </x:c>
      <x:c r="G806" s="20" t="n">
        <x:v>65</x:v>
      </x:c>
      <x:c r="H806" s="20" t="str">
        <x:v>Marketing y Comunicación</x:v>
      </x:c>
      <x:c r="I806" s="20" t="str">
        <x:v>Capacidades y tecnología</x:v>
      </x:c>
      <x:c r="J806" s="20" t="str">
        <x:v>L4. Fortalecer colaboración interdepartamental</x:v>
      </x:c>
      <x:c r="K806" s="20" t="n">
        <x:v>92</x:v>
      </x:c>
      <x:c r="L806" s="20" t="n">
        <x:v>80.97783311812088</x:v>
      </x:c>
      <x:c r="M806" s="52" t="n">
        <x:v>0.13611338384173954</x:v>
      </x:c>
      <x:c r="N806" s="20" t="str">
        <x:v>Strong improvement</x:v>
      </x:c>
      <x:c r="O806" s="20" t="str">
        <x:v>Prototype retrieval heuristic; association is not proof of causality.</x:v>
      </x:c>
      <x:c r="P806" s="20" t="str">
        <x:v>YES</x:v>
      </x:c>
    </x:row>
    <x:row r="807">
      <x:c r="A807" s="20" t="str">
        <x:v>REC-M02</x:v>
      </x:c>
      <x:c r="B807" s="20" t="str">
        <x:v>Costo de adquisición de nuevo donante</x:v>
      </x:c>
      <x:c r="C807" s="20" t="n">
        <x:v>6</x:v>
      </x:c>
      <x:c r="D807" s="20" t="str">
        <x:v>MKT-014</x:v>
      </x:c>
      <x:c r="E807" s="20" t="str">
        <x:v>Fondos atribuibles a campañas conjuntas Omnilife–Chivas</x:v>
      </x:c>
      <x:c r="F807" s="20" t="str">
        <x:v>Same strategic objective; Same department; Same BSC perspective</x:v>
      </x:c>
      <x:c r="G807" s="20" t="n">
        <x:v>85</x:v>
      </x:c>
      <x:c r="H807" s="20" t="str">
        <x:v>Marketing y Comunicación</x:v>
      </x:c>
      <x:c r="I807" s="20" t="str">
        <x:v>Procesos internos</x:v>
      </x:c>
      <x:c r="J807" s="20" t="str">
        <x:v>P3. Integrar Marketing + Procuración</x:v>
      </x:c>
      <x:c r="K807" s="20" t="n">
        <x:v>2066.52</x:v>
      </x:c>
      <x:c r="L807" s="20" t="n">
        <x:v>1587.0333333333335</x:v>
      </x:c>
      <x:c r="M807" s="52" t="n">
        <x:v>0.3021276595744679</x:v>
      </x:c>
      <x:c r="N807" s="20" t="str">
        <x:v>Strong improvement</x:v>
      </x:c>
      <x:c r="O807" s="20" t="str">
        <x:v>Prototype retrieval heuristic; association is not proof of causality.</x:v>
      </x:c>
      <x:c r="P807" s="20" t="str">
        <x:v>YES</x:v>
      </x:c>
    </x:row>
    <x:row r="808">
      <x:c r="A808" s="20" t="str">
        <x:v>REC-M02</x:v>
      </x:c>
      <x:c r="B808" s="20" t="str">
        <x:v>Costo de adquisición de nuevo donante</x:v>
      </x:c>
      <x:c r="C808" s="20" t="n">
        <x:v>7</x:v>
      </x:c>
      <x:c r="D808" s="20" t="str">
        <x:v>MKT-007</x:v>
      </x:c>
      <x:c r="E808" s="20" t="str">
        <x:v>Embajadores Omnilife activos en campaña de nutrición</x:v>
      </x:c>
      <x:c r="F808" s="20" t="str">
        <x:v>Strategic-map adjacent objective; Same department</x:v>
      </x:c>
      <x:c r="G808" s="20" t="n">
        <x:v>65</x:v>
      </x:c>
      <x:c r="H808" s="20" t="str">
        <x:v>Marketing y Comunicación</x:v>
      </x:c>
      <x:c r="I808" s="20" t="str">
        <x:v>Beneficiarios y grupos de interés</x:v>
      </x:c>
      <x:c r="J808" s="20" t="str">
        <x:v>C4. Fortalecer relación con donantes, aliados y comunidades</x:v>
      </x:c>
      <x:c r="K808" s="20" t="n">
        <x:v>100</x:v>
      </x:c>
      <x:c r="L808" s="20" t="n">
        <x:v>88.71031746031747</x:v>
      </x:c>
      <x:c r="M808" s="52" t="n">
        <x:v>0.12726459405054785</x:v>
      </x:c>
      <x:c r="N808" s="20" t="str">
        <x:v>Strong improvement</x:v>
      </x:c>
      <x:c r="O808" s="20" t="str">
        <x:v>Prototype retrieval heuristic; association is not proof of causality.</x:v>
      </x:c>
      <x:c r="P808" s="20" t="str">
        <x:v>YES</x:v>
      </x:c>
    </x:row>
    <x:row r="809">
      <x:c r="A809" s="20" t="str">
        <x:v>REC-M02</x:v>
      </x:c>
      <x:c r="B809" s="20" t="str">
        <x:v>Costo de adquisición de nuevo donante</x:v>
      </x:c>
      <x:c r="C809" s="20" t="n">
        <x:v>8</x:v>
      </x:c>
      <x:c r="D809" s="20" t="str">
        <x:v>REC-P03</x:v>
      </x:c>
      <x:c r="E809" s="20" t="str">
        <x:v>Conversión de campaña a nuevo donante</x:v>
      </x:c>
      <x:c r="F809" s="20" t="str">
        <x:v>Same strategic objective; Same BSC perspective</x:v>
      </x:c>
      <x:c r="G809" s="20" t="n">
        <x:v>62</x:v>
      </x:c>
      <x:c r="H809" s="20" t="str">
        <x:v>Marketing + Procuración de Fondos</x:v>
      </x:c>
      <x:c r="I809" s="20" t="str">
        <x:v>Procesos internos</x:v>
      </x:c>
      <x:c r="J809" s="20" t="str">
        <x:v>P3. Integrar Marketing + Procuración</x:v>
      </x:c>
      <x:c r="K809" s="20" t="n">
        <x:v>100</x:v>
      </x:c>
      <x:c r="L809" s="20" t="n">
        <x:v>2015.0147157960507</x:v>
      </x:c>
      <x:c r="M809" s="52" t="n">
        <x:v>-0.9503725708720226</x:v>
      </x:c>
      <x:c r="N809" s="20" t="str">
        <x:v>Deteriorating</x:v>
      </x:c>
      <x:c r="O809" s="20" t="str">
        <x:v>Prototype retrieval heuristic; association is not proof of causality.</x:v>
      </x:c>
      <x:c r="P809" s="20" t="str">
        <x:v>YES</x:v>
      </x:c>
    </x:row>
    <x:row r="810">
      <x:c r="A810" s="20" t="str">
        <x:v>REC-M03</x:v>
      </x:c>
      <x:c r="B810" s="20" t="str">
        <x:v>Contenido de impacto con evidencia verificable</x:v>
      </x:c>
      <x:c r="C810" s="20" t="n">
        <x:v>1</x:v>
      </x:c>
      <x:c r="D810" s="20" t="str">
        <x:v>MKT-003</x:v>
      </x:c>
      <x:c r="E810" s="20" t="str">
        <x:v>Cumplimiento de metas de KPIs digitales prioritarios</x:v>
      </x:c>
      <x:c r="F810" s="20" t="str">
        <x:v>Same strategic objective; Same department; Same BSC perspective</x:v>
      </x:c>
      <x:c r="G810" s="20" t="n">
        <x:v>85</x:v>
      </x:c>
      <x:c r="H810" s="20" t="str">
        <x:v>Marketing y Comunicación</x:v>
      </x:c>
      <x:c r="I810" s="20" t="str">
        <x:v>Beneficiarios y grupos de interés</x:v>
      </x:c>
      <x:c r="J810" s="20" t="str">
        <x:v>C3. Fortalecer confianza y credibilidad institucional</x:v>
      </x:c>
      <x:c r="K810" s="20" t="n">
        <x:v>100</x:v>
      </x:c>
      <x:c r="L810" s="20" t="n">
        <x:v>88.9514687100894</x:v>
      </x:c>
      <x:c r="M810" s="52" t="n">
        <x:v>0.12420853135005526</x:v>
      </x:c>
      <x:c r="N810" s="20" t="str">
        <x:v>Strong improvement</x:v>
      </x:c>
      <x:c r="O810" s="20" t="str">
        <x:v>Prototype retrieval heuristic; association is not proof of causality.</x:v>
      </x:c>
      <x:c r="P810" s="20" t="str">
        <x:v>YES</x:v>
      </x:c>
    </x:row>
    <x:row r="811">
      <x:c r="A811" s="20" t="str">
        <x:v>REC-M03</x:v>
      </x:c>
      <x:c r="B811" s="20" t="str">
        <x:v>Contenido de impacto con evidencia verificable</x:v>
      </x:c>
      <x:c r="C811" s="20" t="n">
        <x:v>2</x:v>
      </x:c>
      <x:c r="D811" s="20" t="str">
        <x:v>MKT-009</x:v>
      </x:c>
      <x:c r="E811" s="20" t="str">
        <x:v>Cumplimiento del calendario internacional de contenidos</x:v>
      </x:c>
      <x:c r="F811" s="20" t="str">
        <x:v>Same strategic objective; Same department; Same BSC perspective</x:v>
      </x:c>
      <x:c r="G811" s="20" t="n">
        <x:v>85</x:v>
      </x:c>
      <x:c r="H811" s="20" t="str">
        <x:v>Marketing y Comunicación</x:v>
      </x:c>
      <x:c r="I811" s="20" t="str">
        <x:v>Beneficiarios y grupos de interés</x:v>
      </x:c>
      <x:c r="J811" s="20" t="str">
        <x:v>C3. Fortalecer confianza y credibilidad institucional</x:v>
      </x:c>
      <x:c r="K811" s="20" t="n">
        <x:v>100</x:v>
      </x:c>
      <x:c r="L811" s="20" t="n">
        <x:v>89.21401340466089</x:v>
      </x:c>
      <x:c r="M811" s="52" t="n">
        <x:v>0.12090013870820443</x:v>
      </x:c>
      <x:c r="N811" s="20" t="str">
        <x:v>Strong improvement</x:v>
      </x:c>
      <x:c r="O811" s="20" t="str">
        <x:v>Prototype retrieval heuristic; association is not proof of causality.</x:v>
      </x:c>
      <x:c r="P811" s="20" t="str">
        <x:v>YES</x:v>
      </x:c>
    </x:row>
    <x:row r="812">
      <x:c r="A812" s="20" t="str">
        <x:v>REC-M03</x:v>
      </x:c>
      <x:c r="B812" s="20" t="str">
        <x:v>Contenido de impacto con evidencia verificable</x:v>
      </x:c>
      <x:c r="C812" s="20" t="n">
        <x:v>3</x:v>
      </x:c>
      <x:c r="D812" s="20" t="str">
        <x:v>MKT-010</x:v>
      </x:c>
      <x:c r="E812" s="20" t="str">
        <x:v>Países con presencia digital continua conforme al estándar</x:v>
      </x:c>
      <x:c r="F812" s="20" t="str">
        <x:v>Same strategic objective; Same department; Same BSC perspective</x:v>
      </x:c>
      <x:c r="G812" s="20" t="n">
        <x:v>85</x:v>
      </x:c>
      <x:c r="H812" s="20" t="str">
        <x:v>Marketing y Comunicación</x:v>
      </x:c>
      <x:c r="I812" s="20" t="str">
        <x:v>Beneficiarios y grupos de interés</x:v>
      </x:c>
      <x:c r="J812" s="20" t="str">
        <x:v>C3. Fortalecer confianza y credibilidad institucional</x:v>
      </x:c>
      <x:c r="K812" s="20" t="n">
        <x:v>100</x:v>
      </x:c>
      <x:c r="L812" s="20" t="n">
        <x:v>91.66666666666667</x:v>
      </x:c>
      <x:c r="M812" s="52" t="n">
        <x:v>0.09090909090909086</x:v>
      </x:c>
      <x:c r="N812" s="20" t="str">
        <x:v>Improving</x:v>
      </x:c>
      <x:c r="O812" s="20" t="str">
        <x:v>Prototype retrieval heuristic; association is not proof of causality.</x:v>
      </x:c>
      <x:c r="P812" s="20" t="str">
        <x:v>YES</x:v>
      </x:c>
    </x:row>
    <x:row r="813">
      <x:c r="A813" s="20" t="str">
        <x:v>REC-M03</x:v>
      </x:c>
      <x:c r="B813" s="20" t="str">
        <x:v>Contenido de impacto con evidencia verificable</x:v>
      </x:c>
      <x:c r="C813" s="20" t="n">
        <x:v>4</x:v>
      </x:c>
      <x:c r="D813" s="20" t="str">
        <x:v>MKT-002</x:v>
      </x:c>
      <x:c r="E813" s="20" t="str">
        <x:v>Acciones de mejora derivadas de analítica implementadas en plazo</x:v>
      </x:c>
      <x:c r="F813" s="20" t="str">
        <x:v>Strategic-map adjacent objective; Same department</x:v>
      </x:c>
      <x:c r="G813" s="20" t="n">
        <x:v>65</x:v>
      </x:c>
      <x:c r="H813" s="20" t="str">
        <x:v>Marketing y Comunicación</x:v>
      </x:c>
      <x:c r="I813" s="20" t="str">
        <x:v>Procesos internos</x:v>
      </x:c>
      <x:c r="J813" s="20" t="str">
        <x:v>P2. Fortalecer medición de impacto</x:v>
      </x:c>
      <x:c r="K813" s="20" t="n">
        <x:v>82.14285714285714</x:v>
      </x:c>
      <x:c r="L813" s="20" t="n">
        <x:v>71.67277167277167</x:v>
      </x:c>
      <x:c r="M813" s="52" t="n">
        <x:v>0.1460817717206132</x:v>
      </x:c>
      <x:c r="N813" s="20" t="str">
        <x:v>Strong improvement</x:v>
      </x:c>
      <x:c r="O813" s="20" t="str">
        <x:v>Prototype retrieval heuristic; association is not proof of causality.</x:v>
      </x:c>
      <x:c r="P813" s="20" t="str">
        <x:v>YES</x:v>
      </x:c>
    </x:row>
    <x:row r="814">
      <x:c r="A814" s="20" t="str">
        <x:v>REC-M03</x:v>
      </x:c>
      <x:c r="B814" s="20" t="str">
        <x:v>Contenido de impacto con evidencia verificable</x:v>
      </x:c>
      <x:c r="C814" s="20" t="n">
        <x:v>5</x:v>
      </x:c>
      <x:c r="D814" s="20" t="str">
        <x:v>REC-P02</x:v>
      </x:c>
      <x:c r="E814" s="20" t="str">
        <x:v>Cobertura de medición de impacto</x:v>
      </x:c>
      <x:c r="F814" s="20" t="str">
        <x:v>Strategic-map adjacent objective</x:v>
      </x:c>
      <x:c r="G814" s="20" t="n">
        <x:v>42</x:v>
      </x:c>
      <x:c r="H814" s="20" t="str">
        <x:v>Operaciones</x:v>
      </x:c>
      <x:c r="I814" s="20" t="str">
        <x:v>Procesos internos</x:v>
      </x:c>
      <x:c r="J814" s="20" t="str">
        <x:v>P2. Fortalecer medición de impacto</x:v>
      </x:c>
      <x:c r="K814" s="20" t="n">
        <x:v>100</x:v>
      </x:c>
      <x:c r="L814" s="20" t="n">
        <x:v>88.9514687100894</x:v>
      </x:c>
      <x:c r="M814" s="52" t="n">
        <x:v>0.12420853135005526</x:v>
      </x:c>
      <x:c r="N814" s="20" t="str">
        <x:v>Strong improvement</x:v>
      </x:c>
      <x:c r="O814" s="20" t="str">
        <x:v>Prototype retrieval heuristic; association is not proof of causality.</x:v>
      </x:c>
      <x:c r="P814" s="20" t="str">
        <x:v>YES</x:v>
      </x:c>
    </x:row>
    <x:row r="815">
      <x:c r="A815" s="20" t="str">
        <x:v>REC-M03</x:v>
      </x:c>
      <x:c r="B815" s="20" t="str">
        <x:v>Contenido de impacto con evidencia verificable</x:v>
      </x:c>
      <x:c r="C815" s="20" t="n">
        <x:v>6</x:v>
      </x:c>
      <x:c r="D815" s="20" t="str">
        <x:v>MKT-012</x:v>
      </x:c>
      <x:c r="E815" s="20" t="str">
        <x:v>Cumplimiento del calendario de comunicaciones conjuntas Omnilife–Chivas</x:v>
      </x:c>
      <x:c r="F815" s="20" t="str">
        <x:v>Same strategic objective; Same department; Same BSC perspective</x:v>
      </x:c>
      <x:c r="G815" s="20" t="n">
        <x:v>85</x:v>
      </x:c>
      <x:c r="H815" s="20" t="str">
        <x:v>Marketing y Comunicación</x:v>
      </x:c>
      <x:c r="I815" s="20" t="str">
        <x:v>Beneficiarios y grupos de interés</x:v>
      </x:c>
      <x:c r="J815" s="20" t="str">
        <x:v>C3. Fortalecer confianza y credibilidad institucional</x:v>
      </x:c>
      <x:c r="K815" s="20" t="n">
        <x:v>100</x:v>
      </x:c>
      <x:c r="L815" s="20" t="n">
        <x:v>89.21401340466089</x:v>
      </x:c>
      <x:c r="M815" s="52" t="n">
        <x:v>0.12090013870820443</x:v>
      </x:c>
      <x:c r="N815" s="20" t="str">
        <x:v>Strong improvement</x:v>
      </x:c>
      <x:c r="O815" s="20" t="str">
        <x:v>Prototype retrieval heuristic; association is not proof of causality.</x:v>
      </x:c>
      <x:c r="P815" s="20" t="str">
        <x:v>YES</x:v>
      </x:c>
    </x:row>
    <x:row r="816">
      <x:c r="A816" s="20" t="str">
        <x:v>REC-M03</x:v>
      </x:c>
      <x:c r="B816" s="20" t="str">
        <x:v>Contenido de impacto con evidencia verificable</x:v>
      </x:c>
      <x:c r="C816" s="20" t="n">
        <x:v>7</x:v>
      </x:c>
      <x:c r="D816" s="20" t="str">
        <x:v>MKT-007</x:v>
      </x:c>
      <x:c r="E816" s="20" t="str">
        <x:v>Embajadores Omnilife activos en campaña de nutrición</x:v>
      </x:c>
      <x:c r="F816" s="20" t="str">
        <x:v>Same department; Same BSC perspective</x:v>
      </x:c>
      <x:c r="G816" s="20" t="n">
        <x:v>35</x:v>
      </x:c>
      <x:c r="H816" s="20" t="str">
        <x:v>Marketing y Comunicación</x:v>
      </x:c>
      <x:c r="I816" s="20" t="str">
        <x:v>Beneficiarios y grupos de interés</x:v>
      </x:c>
      <x:c r="J816" s="20" t="str">
        <x:v>C4. Fortalecer relación con donantes, aliados y comunidades</x:v>
      </x:c>
      <x:c r="K816" s="20" t="n">
        <x:v>100</x:v>
      </x:c>
      <x:c r="L816" s="20" t="n">
        <x:v>88.71031746031747</x:v>
      </x:c>
      <x:c r="M816" s="52" t="n">
        <x:v>0.12726459405054785</x:v>
      </x:c>
      <x:c r="N816" s="20" t="str">
        <x:v>Strong improvement</x:v>
      </x:c>
      <x:c r="O816" s="20" t="str">
        <x:v>Prototype retrieval heuristic; association is not proof of causality.</x:v>
      </x:c>
      <x:c r="P816" s="20" t="str">
        <x:v>YES</x:v>
      </x:c>
    </x:row>
    <x:row r="817">
      <x:c r="A817" s="20" t="str">
        <x:v>REC-M03</x:v>
      </x:c>
      <x:c r="B817" s="20" t="str">
        <x:v>Contenido de impacto con evidencia verificable</x:v>
      </x:c>
      <x:c r="C817" s="20" t="n">
        <x:v>8</x:v>
      </x:c>
      <x:c r="D817" s="20" t="str">
        <x:v>REC-C03</x:v>
      </x:c>
      <x:c r="E817" s="20" t="str">
        <x:v>Cumplimiento institucional en plazo</x:v>
      </x:c>
      <x:c r="F817" s="20" t="str">
        <x:v>Same strategic objective; Same BSC perspective</x:v>
      </x:c>
      <x:c r="G817" s="20" t="n">
        <x:v>62</x:v>
      </x:c>
      <x:c r="H817" s="20" t="str">
        <x:v>Dirección + Jurídico</x:v>
      </x:c>
      <x:c r="I817" s="20" t="str">
        <x:v>Beneficiarios y grupos de interés</x:v>
      </x:c>
      <x:c r="J817" s="20" t="str">
        <x:v>C3. Fortalecer confianza y credibilidad institucional</x:v>
      </x:c>
      <x:c r="K817" s="20" t="n">
        <x:v>100</x:v>
      </x:c>
      <x:c r="L817" s="20" t="n">
        <x:v>88.9514687100894</x:v>
      </x:c>
      <x:c r="M817" s="52" t="n">
        <x:v>0.12420853135005526</x:v>
      </x:c>
      <x:c r="N817" s="20" t="str">
        <x:v>Strong improvement</x:v>
      </x:c>
      <x:c r="O817" s="20" t="str">
        <x:v>Prototype retrieval heuristic; association is not proof of causality.</x:v>
      </x:c>
      <x:c r="P817" s="20" t="str">
        <x:v>YES</x:v>
      </x:c>
    </x:row>
    <x:row r="818">
      <x:c r="A818" s="20" t="str">
        <x:v>REC-F07</x:v>
      </x:c>
      <x:c r="B818" s="20" t="str">
        <x:v>Nuevos donantes recurrentes totales</x:v>
      </x:c>
      <x:c r="C818" s="20" t="n">
        <x:v>1</x:v>
      </x:c>
      <x:c r="D818" s="20" t="str">
        <x:v>FND-006</x:v>
      </x:c>
      <x:c r="E818" s="20" t="str">
        <x:v>Nuevos donantes recurrentes — USA</x:v>
      </x:c>
      <x:c r="F818" s="20" t="str">
        <x:v>Same strategic objective; Same department; Same BSC perspective</x:v>
      </x:c>
      <x:c r="G818" s="20" t="n">
        <x:v>87</x:v>
      </x:c>
      <x:c r="H818" s="20" t="str">
        <x:v>Procuración de Fondos</x:v>
      </x:c>
      <x:c r="I818" s="20" t="str">
        <x:v>Sostenibilidad financiera</x:v>
      </x:c>
      <x:c r="J818" s="20" t="str">
        <x:v>F2. Incrementar y retener donantes recurrentes</x:v>
      </x:c>
      <x:c r="K818" s="20" t="n">
        <x:v>73</x:v>
      </x:c>
      <x:c r="L818" s="20" t="n">
        <x:v>62</x:v>
      </x:c>
      <x:c r="M818" s="52" t="n">
        <x:v>0.1774193548387097</x:v>
      </x:c>
      <x:c r="N818" s="20" t="str">
        <x:v>Strong improvement</x:v>
      </x:c>
      <x:c r="O818" s="20" t="str">
        <x:v>Prototype retrieval heuristic; association is not proof of causality.</x:v>
      </x:c>
      <x:c r="P818" s="20" t="str">
        <x:v>YES</x:v>
      </x:c>
    </x:row>
    <x:row r="819">
      <x:c r="A819" s="20" t="str">
        <x:v>REC-F07</x:v>
      </x:c>
      <x:c r="B819" s="20" t="str">
        <x:v>Nuevos donantes recurrentes totales</x:v>
      </x:c>
      <x:c r="C819" s="20" t="n">
        <x:v>2</x:v>
      </x:c>
      <x:c r="D819" s="20" t="str">
        <x:v>FND-007</x:v>
      </x:c>
      <x:c r="E819" s="20" t="str">
        <x:v>Nuevos donantes recurrentes — México</x:v>
      </x:c>
      <x:c r="F819" s="20" t="str">
        <x:v>Same strategic objective; Same department; Same BSC perspective</x:v>
      </x:c>
      <x:c r="G819" s="20" t="n">
        <x:v>87</x:v>
      </x:c>
      <x:c r="H819" s="20" t="str">
        <x:v>Procuración de Fondos</x:v>
      </x:c>
      <x:c r="I819" s="20" t="str">
        <x:v>Sostenibilidad financiera</x:v>
      </x:c>
      <x:c r="J819" s="20" t="str">
        <x:v>F2. Incrementar y retener donantes recurrentes</x:v>
      </x:c>
      <x:c r="K819" s="20" t="n">
        <x:v>15</x:v>
      </x:c>
      <x:c r="L819" s="20" t="n">
        <x:v>12</x:v>
      </x:c>
      <x:c r="M819" s="52" t="n">
        <x:v>0.25</x:v>
      </x:c>
      <x:c r="N819" s="20" t="str">
        <x:v>Strong improvement</x:v>
      </x:c>
      <x:c r="O819" s="20" t="str">
        <x:v>Prototype retrieval heuristic; association is not proof of causality.</x:v>
      </x:c>
      <x:c r="P819" s="20" t="str">
        <x:v>YES</x:v>
      </x:c>
    </x:row>
    <x:row r="820">
      <x:c r="A820" s="20" t="str">
        <x:v>REC-F07</x:v>
      </x:c>
      <x:c r="B820" s="20" t="str">
        <x:v>Nuevos donantes recurrentes totales</x:v>
      </x:c>
      <x:c r="C820" s="20" t="n">
        <x:v>3</x:v>
      </x:c>
      <x:c r="D820" s="20" t="str">
        <x:v>FND-008</x:v>
      </x:c>
      <x:c r="E820" s="20" t="str">
        <x:v>Nuevos donantes recurrentes — Perú</x:v>
      </x:c>
      <x:c r="F820" s="20" t="str">
        <x:v>Same strategic objective; Same department; Same BSC perspective</x:v>
      </x:c>
      <x:c r="G820" s="20" t="n">
        <x:v>87</x:v>
      </x:c>
      <x:c r="H820" s="20" t="str">
        <x:v>Procuración de Fondos</x:v>
      </x:c>
      <x:c r="I820" s="20" t="str">
        <x:v>Sostenibilidad financiera</x:v>
      </x:c>
      <x:c r="J820" s="20" t="str">
        <x:v>F2. Incrementar y retener donantes recurrentes</x:v>
      </x:c>
      <x:c r="K820" s="20" t="n">
        <x:v>8</x:v>
      </x:c>
      <x:c r="L820" s="20" t="n">
        <x:v>5.666666666666667</x:v>
      </x:c>
      <x:c r="M820" s="52" t="n">
        <x:v>0.41176470588235287</x:v>
      </x:c>
      <x:c r="N820" s="20" t="str">
        <x:v>Strong improvement</x:v>
      </x:c>
      <x:c r="O820" s="20" t="str">
        <x:v>Prototype retrieval heuristic; association is not proof of causality.</x:v>
      </x:c>
      <x:c r="P820" s="20" t="str">
        <x:v>YES</x:v>
      </x:c>
    </x:row>
    <x:row r="821">
      <x:c r="A821" s="20" t="str">
        <x:v>REC-F07</x:v>
      </x:c>
      <x:c r="B821" s="20" t="str">
        <x:v>Nuevos donantes recurrentes totales</x:v>
      </x:c>
      <x:c r="C821" s="20" t="n">
        <x:v>4</x:v>
      </x:c>
      <x:c r="D821" s="20" t="str">
        <x:v>REC-M02</x:v>
      </x:c>
      <x:c r="E821" s="20" t="str">
        <x:v>Costo de adquisición de nuevo donante</x:v>
      </x:c>
      <x:c r="F821" s="20" t="str">
        <x:v>Strategic-map adjacent objective</x:v>
      </x:c>
      <x:c r="G821" s="20" t="n">
        <x:v>42</x:v>
      </x:c>
      <x:c r="H821" s="20" t="str">
        <x:v>Marketing y Comunicación</x:v>
      </x:c>
      <x:c r="I821" s="20" t="str">
        <x:v>Procesos internos</x:v>
      </x:c>
      <x:c r="J821" s="20" t="str">
        <x:v>P3. Integrar Marketing + Procuración</x:v>
      </x:c>
      <x:c r="K821" s="20" t="n">
        <x:v>760</x:v>
      </x:c>
      <x:c r="L821" s="20" t="n">
        <x:v>896.6666666666666</x:v>
      </x:c>
      <x:c r="M821" s="52" t="n">
        <x:v>0.15241635687732338</x:v>
      </x:c>
      <x:c r="N821" s="20" t="str">
        <x:v>Strong improvement</x:v>
      </x:c>
      <x:c r="O821" s="20" t="str">
        <x:v>Prototype retrieval heuristic; association is not proof of causality.</x:v>
      </x:c>
      <x:c r="P821" s="20" t="str">
        <x:v>YES</x:v>
      </x:c>
    </x:row>
    <x:row r="822">
      <x:c r="A822" s="20" t="str">
        <x:v>REC-F07</x:v>
      </x:c>
      <x:c r="B822" s="20" t="str">
        <x:v>Nuevos donantes recurrentes totales</x:v>
      </x:c>
      <x:c r="C822" s="20" t="n">
        <x:v>5</x:v>
      </x:c>
      <x:c r="D822" s="20" t="str">
        <x:v>REC-P03</x:v>
      </x:c>
      <x:c r="E822" s="20" t="str">
        <x:v>Conversión de campaña a nuevo donante</x:v>
      </x:c>
      <x:c r="F822" s="20" t="str">
        <x:v>Strategic-map adjacent objective</x:v>
      </x:c>
      <x:c r="G822" s="20" t="n">
        <x:v>42</x:v>
      </x:c>
      <x:c r="H822" s="20" t="str">
        <x:v>Marketing + Procuración de Fondos</x:v>
      </x:c>
      <x:c r="I822" s="20" t="str">
        <x:v>Procesos internos</x:v>
      </x:c>
      <x:c r="J822" s="20" t="str">
        <x:v>P3. Integrar Marketing + Procuración</x:v>
      </x:c>
      <x:c r="K822" s="20" t="n">
        <x:v>100</x:v>
      </x:c>
      <x:c r="L822" s="20" t="n">
        <x:v>2015.0147157960507</x:v>
      </x:c>
      <x:c r="M822" s="52" t="n">
        <x:v>-0.9503725708720226</x:v>
      </x:c>
      <x:c r="N822" s="20" t="str">
        <x:v>Deteriorating</x:v>
      </x:c>
      <x:c r="O822" s="20" t="str">
        <x:v>Prototype retrieval heuristic; association is not proof of causality.</x:v>
      </x:c>
      <x:c r="P822" s="20" t="str">
        <x:v>YES</x:v>
      </x:c>
    </x:row>
    <x:row r="823">
      <x:c r="A823" s="20" t="str">
        <x:v>REC-F07</x:v>
      </x:c>
      <x:c r="B823" s="20" t="str">
        <x:v>Nuevos donantes recurrentes totales</x:v>
      </x:c>
      <x:c r="C823" s="20" t="n">
        <x:v>6</x:v>
      </x:c>
      <x:c r="D823" s="20" t="str">
        <x:v>FND-009</x:v>
      </x:c>
      <x:c r="E823" s="20" t="str">
        <x:v>Nuevos donantes recurrentes — Colombia</x:v>
      </x:c>
      <x:c r="F823" s="20" t="str">
        <x:v>Same strategic objective; Same department; Same BSC perspective</x:v>
      </x:c>
      <x:c r="G823" s="20" t="n">
        <x:v>87</x:v>
      </x:c>
      <x:c r="H823" s="20" t="str">
        <x:v>Procuración de Fondos</x:v>
      </x:c>
      <x:c r="I823" s="20" t="str">
        <x:v>Sostenibilidad financiera</x:v>
      </x:c>
      <x:c r="J823" s="20" t="str">
        <x:v>F2. Incrementar y retener donantes recurrentes</x:v>
      </x:c>
      <x:c r="K823" s="20" t="n">
        <x:v>5</x:v>
      </x:c>
      <x:c r="L823" s="20" t="n">
        <x:v>3.3333333333333335</x:v>
      </x:c>
      <x:c r="M823" s="52" t="n">
        <x:v>0.49999999999999994</x:v>
      </x:c>
      <x:c r="N823" s="20" t="str">
        <x:v>Strong improvement</x:v>
      </x:c>
      <x:c r="O823" s="20" t="str">
        <x:v>Prototype retrieval heuristic; association is not proof of causality.</x:v>
      </x:c>
      <x:c r="P823" s="20" t="str">
        <x:v>YES</x:v>
      </x:c>
    </x:row>
    <x:row r="824">
      <x:c r="A824" s="20" t="str">
        <x:v>REC-F07</x:v>
      </x:c>
      <x:c r="B824" s="20" t="str">
        <x:v>Nuevos donantes recurrentes totales</x:v>
      </x:c>
      <x:c r="C824" s="20" t="n">
        <x:v>7</x:v>
      </x:c>
      <x:c r="D824" s="20" t="str">
        <x:v>FND-011</x:v>
      </x:c>
      <x:c r="E824" s="20" t="str">
        <x:v>Conversión de voluntarios staff a donantes recurrentes</x:v>
      </x:c>
      <x:c r="F824" s="20" t="str">
        <x:v>Same strategic objective; Same department; Same BSC perspective</x:v>
      </x:c>
      <x:c r="G824" s="20" t="n">
        <x:v>87</x:v>
      </x:c>
      <x:c r="H824" s="20" t="str">
        <x:v>Procuración de Fondos</x:v>
      </x:c>
      <x:c r="I824" s="20" t="str">
        <x:v>Sostenibilidad financiera</x:v>
      </x:c>
      <x:c r="J824" s="20" t="str">
        <x:v>F2. Incrementar y retener donantes recurrentes</x:v>
      </x:c>
      <x:c r="K824" s="20" t="n">
        <x:v>4</x:v>
      </x:c>
      <x:c r="L824" s="20" t="n">
        <x:v>3.232770826368222</x:v>
      </x:c>
      <x:c r="M824" s="52" t="n">
        <x:v>0.23732866164648694</x:v>
      </x:c>
      <x:c r="N824" s="20" t="str">
        <x:v>Strong improvement</x:v>
      </x:c>
      <x:c r="O824" s="20" t="str">
        <x:v>Prototype retrieval heuristic; association is not proof of causality.</x:v>
      </x:c>
      <x:c r="P824" s="20" t="str">
        <x:v>YES</x:v>
      </x:c>
    </x:row>
    <x:row r="825">
      <x:c r="A825" s="20" t="str">
        <x:v>REC-F07</x:v>
      </x:c>
      <x:c r="B825" s="20" t="str">
        <x:v>Nuevos donantes recurrentes totales</x:v>
      </x:c>
      <x:c r="C825" s="20" t="n">
        <x:v>8</x:v>
      </x:c>
      <x:c r="D825" s="20" t="str">
        <x:v>FND-013</x:v>
      </x:c>
      <x:c r="E825" s="20" t="str">
        <x:v>Nuevos donantes recurrentes EOS — Perú</x:v>
      </x:c>
      <x:c r="F825" s="20" t="str">
        <x:v>Same strategic objective; Same department; Same BSC perspective</x:v>
      </x:c>
      <x:c r="G825" s="20" t="n">
        <x:v>87</x:v>
      </x:c>
      <x:c r="H825" s="20" t="str">
        <x:v>Procuración de Fondos</x:v>
      </x:c>
      <x:c r="I825" s="20" t="str">
        <x:v>Sostenibilidad financiera</x:v>
      </x:c>
      <x:c r="J825" s="20" t="str">
        <x:v>F2. Incrementar y retener donantes recurrentes</x:v>
      </x:c>
      <x:c r="K825" s="20" t="n">
        <x:v>2</x:v>
      </x:c>
      <x:c r="L825" s="20" t="n">
        <x:v>1.3333333333333333</x:v>
      </x:c>
      <x:c r="M825" s="52" t="n">
        <x:v>0.5000000000000001</x:v>
      </x:c>
      <x:c r="N825" s="20" t="str">
        <x:v>Strong improvement</x:v>
      </x:c>
      <x:c r="O825" s="20" t="str">
        <x:v>Prototype retrieval heuristic; association is not proof of causality.</x:v>
      </x:c>
      <x:c r="P825" s="20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943b9194b6bf48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4" hidden="0" customWidth="1"/>
    <x:col min="4" max="4" width="42" hidden="0" customWidth="1"/>
    <x:col min="5" max="5" width="110" hidden="0" customWidth="1"/>
    <x:col min="6" max="6" width="70" hidden="0" customWidth="1"/>
    <x:col min="7" max="7" width="58" hidden="0" customWidth="1"/>
    <x:col min="8" max="8" width="34" hidden="0" customWidth="1"/>
  </x:cols>
  <x:sheetData>
    <x:row r="1" ht="32" customHeight="1">
      <x:c r="A1" s="47" t="str">
        <x:v>KPI_ID</x:v>
      </x:c>
      <x:c r="B1" s="47" t="str">
        <x:v>KPI_Name</x:v>
      </x:c>
      <x:c r="C1" s="47" t="str">
        <x:v>Department</x:v>
      </x:c>
      <x:c r="D1" s="47" t="str">
        <x:v>Strategic_Objective</x:v>
      </x:c>
      <x:c r="E1" s="47" t="str">
        <x:v>Prompt_Ready_Context</x:v>
      </x:c>
      <x:c r="F1" s="47" t="str">
        <x:v>Suggested_User_Query</x:v>
      </x:c>
      <x:c r="G1" s="47" t="str">
        <x:v>Required_Output_Structure</x:v>
      </x:c>
      <x:c r="H1" s="47" t="str">
        <x:v>Use_Status</x:v>
      </x:c>
    </x:row>
    <x:row r="2" ht="90" customHeight="1">
      <x:c r="A2" s="20" t="str">
        <x:v>ADM-001</x:v>
      </x:c>
      <x:c r="B2" s="20" t="str">
        <x:v>Facturación de donativos emitida dentro del SLA</x:v>
      </x:c>
      <x:c r="C2" s="20" t="str">
        <x:v>Administración</x:v>
      </x:c>
      <x:c r="D2" s="20" t="str">
        <x:v>P4. Simplificar y digitalizar procesos</x:v>
      </x:c>
      <x:c r="E2" s="20" t="str">
        <x:v>SELECTED KPI
KPI_ID: ADM-001
KPI: Facturación de donativos emitida dentro del SLA
Department: Administración
BSC Perspective: Procesos internos
Strategic Objective: P4. Simplificar y digitalizar procesos
Owner: Administración
Purpose: Medir oportunidad de la facturación, no sólo que exista al cierre del mes.
Formula: Solicitudes de facturación emitidas dentro de 3 días hábiles ÷ solicitudes autorizadas completas × 100
Direction: ↑ | Unit: % | Frequency: Mensual
2023: 84.2% | 2024: 89.2% | 2025: 93.9% | 2026: 100.0%
3Y Baseline: 89.1% | Target 2026: 100%
Direction-adjusted momentum: +12.3% | Status: Strong improvement
Warning threshold: &lt;100% y ≥95% | Critical threshold: &lt;95%
Underlying 2026 values: Solicitudes de facturación emitidas dentro de 3 días hábiles = 300.0 días; solicitudes autorizadas completas = 300 # / base
Static action from catalog: Revisar solicitudes fuera de SLA, causa del retraso y cuello de botella.
Anti-gaming control: El reloj inicia cuando la solicitud está completa y autorizada; registrar pausas justificadas.
RELATED KPI CONTEXT
- ADM-002 | Solicitudes de compra procesadas dentro del SLA | 2026=100.0% | baseline=89.1% | momentum=+12.3% | status=Strong improvement | relation=Same strategic objective; Same department; Same BSC perspective
- ADM-003 | Pagos realizados en la fecha programada | 2026=100.0% | baseline=89.5% | momentum=+11.7% | status=Strong improvement | relation=Same strategic objective; Same department; Same BSC perspective
- ADM-016 | Viajes gestionados dentro de una semana | 2026=100.0% | baseline=89.0% | momentum=+12.4% | status=Strong improvement | relation=Same strategic objective; Same department; Same BSC perspective
- ADM-004 | Presupuestos anuales aprobados dentro del calendario | 2026=100.0% | baseline=89.0% | momentum=+12.4% | status=Strong improvement | relation=Strategic-map adjacent objective; Same department
- ADM-006 | Informes regulatorios presentados en tiempo y forma | 2026=100.0% | baseline=89.0% | momentum=+12.4% | status=Strong improvement | relation=Strategic-map adjacent objective; Same department
- ADM-017 | Viáticos comprobados dentro de 30 días | 2026=100.0% | baseline=89.0% | momentum=+12.4% | status=Strong improvement | relation=Same strategic objective; Same department; Same BSC perspective
- REC-P04 | Cumplimiento agregado de SLA administrativos | 2026=96.0% | baseline=84.0% | momentum=+14.3% | status=Strong improvement | relation=Same strategic objective; Same department; Same BSC perspective
- LEG-001 | Tiempo de ciclo para liberación contractual | 2026=3.1 Días hábiles | baseline=4.9 Días hábiles | momentum=+36.7%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2" s="20" t="str">
        <x:v>Analyze the selected KPI using only the supplied context. Explain what is changing, what related KPIs matter, what should be investigated first, and recommend a concrete next action.</x:v>
      </x:c>
      <x:c r="G2" s="20" t="str">
        <x:v>1) Diagnosis; 2) Evidence; 3) Likely Drivers; 4) Recommended Action; 5) Confidence &amp; Data Gaps</x:v>
      </x:c>
      <x:c r="H2" s="20" t="str">
        <x:v>PROTOTYPE ONLY — synthetic data; human approval required.</x:v>
      </x:c>
    </x:row>
    <x:row r="3" ht="90" customHeight="1">
      <x:c r="A3" s="20" t="str">
        <x:v>ADM-002</x:v>
      </x:c>
      <x:c r="B3" s="20" t="str">
        <x:v>Solicitudes de compra procesadas dentro del SLA</x:v>
      </x:c>
      <x:c r="C3" s="20" t="str">
        <x:v>Administración</x:v>
      </x:c>
      <x:c r="D3" s="20" t="str">
        <x:v>P4. Simplificar y digitalizar procesos</x:v>
      </x:c>
      <x:c r="E3" s="20" t="str">
        <x:v>SELECTED KPI
KPI_ID: ADM-002
KPI: Solicitudes de compra procesadas dentro del SLA
Department: Administración
BSC Perspective: Procesos internos
Strategic Objective: P4. Simplificar y digitalizar procesos
Owner: Administración
Purpose: Medir agilidad del proceso de compra y evitar que el cierre mensual oculte retrasos.
Formula: Solicitudes de compra procesadas dentro de 3 días hábiles ÷ solicitudes completas y autorizadas × 100
Direction: ↑ | Unit: % | Frequency: Mensual
2023: 84.2% | 2024: 89.2% | 2025: 93.9% | 2026: 100.0%
3Y Baseline: 89.1% | Target 2026: 100%
Direction-adjusted momentum: +12.3% | Status: Strong improvement
Warning threshold: &lt;100% y ≥95% | Critical threshold: &lt;95%
Underlying 2026 values: Solicitudes de compra procesadas dentro de 3 días hábiles = 300.0 días; solicitudes completas y autorizadas = 300 # / base
Static action from catalog: Revisar desviación y definir acción correctiva cuando no se alcance la meta.
Anti-gaming control: Excluir únicamente tiempos de espera externos documentados; no cerrar solicitudes sin evidencia.
RELATED KPI CONTEXT
- ADM-001 | Facturación de donativos emitida dentro del SLA | 2026=100.0% | baseline=89.1% | momentum=+12.3% | status=Strong improvement | relation=Same strategic objective; Same department; Same BSC perspective
- ADM-003 | Pagos realizados en la fecha programada | 2026=100.0% | baseline=89.5% | momentum=+11.7% | status=Strong improvement | relation=Same strategic objective; Same department; Same BSC perspective
- ADM-016 | Viajes gestionados dentro de una semana | 2026=100.0% | baseline=89.0% | momentum=+12.4% | status=Strong improvement | relation=Same strategic objective; Same department; Same BSC perspective
- ADM-004 | Presupuestos anuales aprobados dentro del calendario | 2026=100.0% | baseline=89.0% | momentum=+12.4% | status=Strong improvement | relation=Strategic-map adjacent objective; Same department
- ADM-006 | Informes regulatorios presentados en tiempo y forma | 2026=100.0% | baseline=89.0% | momentum=+12.4% | status=Strong improvement | relation=Strategic-map adjacent objective; Same department
- ADM-017 | Viáticos comprobados dentro de 30 días | 2026=100.0% | baseline=89.0% | momentum=+12.4% | status=Strong improvement | relation=Same strategic objective; Same department; Same BSC perspective
- REC-P04 | Cumplimiento agregado de SLA administrativos | 2026=96.0% | baseline=84.0% | momentum=+14.3% | status=Strong improvement | relation=Same strategic objective; Same department; Same BSC perspective
- LEG-001 | Tiempo de ciclo para liberación contractual | 2026=3.1 Días hábiles | baseline=4.9 Días hábiles | momentum=+36.7%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3" s="20" t="str">
        <x:v>Analyze the selected KPI using only the supplied context. Explain what is changing, what related KPIs matter, what should be investigated first, and recommend a concrete next action.</x:v>
      </x:c>
      <x:c r="G3" s="20" t="str">
        <x:v>1) Diagnosis; 2) Evidence; 3) Likely Drivers; 4) Recommended Action; 5) Confidence &amp; Data Gaps</x:v>
      </x:c>
      <x:c r="H3" s="20" t="str">
        <x:v>PROTOTYPE ONLY — synthetic data; human approval required.</x:v>
      </x:c>
    </x:row>
    <x:row r="4" ht="90" customHeight="1">
      <x:c r="A4" s="20" t="str">
        <x:v>ADM-003</x:v>
      </x:c>
      <x:c r="B4" s="20" t="str">
        <x:v>Pagos realizados en la fecha programada</x:v>
      </x:c>
      <x:c r="C4" s="20" t="str">
        <x:v>Administración</x:v>
      </x:c>
      <x:c r="D4" s="20" t="str">
        <x:v>P4. Simplificar y digitalizar procesos</x:v>
      </x:c>
      <x:c r="E4" s="20" t="str">
        <x:v>SELECTED KPI
KPI_ID: ADM-003
KPI: Pagos realizados en la fecha programada
Department: Administración
BSC Perspective: Procesos internos
Strategic Objective: P4. Simplificar y digitalizar procesos
Owner: Administración
Purpose: Controlar puntualidad de pagos y riesgo operativo/contractual.
Formula: Pagos realizados en o antes de la fecha comprometida ÷ pagos programados y aprobados × 100
Direction: ↑ | Unit: % | Frequency: Mensual
2023: 83.3% | 2024: 92.3% | 2025: 92.9% | 2026: 100.0%
3Y Baseline: 89.5% | Target 2026: 100%
Direction-adjusted momentum: +11.7% | Status: Strong improvement
Warning threshold: &lt;100% y ≥95% | Critical threshold: &lt;95%
Underlying 2026 values: Pagos realizados en o antes de la fecha comprometida = 15.0 días; pagos programados y aprobados = 15 # / base
Static action from catalog: Revisar desviación y definir acción correctiva cuando no se alcance la meta.
Anti-gaming control: No reprogramar fechas retroactivamente; conservar fecha original y causa de cambio.
RELATED KPI CONTEXT
- ADM-001 | Facturación de donativos emitida dentro del SLA | 2026=100.0% | baseline=89.1% | momentum=+12.3% | status=Strong improvement | relation=Same strategic objective; Same department; Same BSC perspective
- ADM-002 | Solicitudes de compra procesadas dentro del SLA | 2026=100.0% | baseline=89.1% | momentum=+12.3% | status=Strong improvement | relation=Same strategic objective; Same department; Same BSC perspective
- ADM-016 | Viajes gestionados dentro de una semana | 2026=100.0% | baseline=89.0% | momentum=+12.4% | status=Strong improvement | relation=Same strategic objective; Same department; Same BSC perspective
- ADM-004 | Presupuestos anuales aprobados dentro del calendario | 2026=100.0% | baseline=89.0% | momentum=+12.4% | status=Strong improvement | relation=Strategic-map adjacent objective; Same department
- ADM-006 | Informes regulatorios presentados en tiempo y forma | 2026=100.0% | baseline=89.0% | momentum=+12.4% | status=Strong improvement | relation=Strategic-map adjacent objective; Same department
- ADM-017 | Viáticos comprobados dentro de 30 días | 2026=100.0% | baseline=89.0% | momentum=+12.4% | status=Strong improvement | relation=Same strategic objective; Same department; Same BSC perspective
- REC-P04 | Cumplimiento agregado de SLA administrativos | 2026=96.0% | baseline=84.0% | momentum=+14.3% | status=Strong improvement | relation=Same strategic objective; Same department; Same BSC perspective
- LEG-001 | Tiempo de ciclo para liberación contractual | 2026=3.1 Días hábiles | baseline=4.9 Días hábiles | momentum=+36.7%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4" s="20" t="str">
        <x:v>Analyze the selected KPI using only the supplied context. Explain what is changing, what related KPIs matter, what should be investigated first, and recommend a concrete next action.</x:v>
      </x:c>
      <x:c r="G4" s="20" t="str">
        <x:v>1) Diagnosis; 2) Evidence; 3) Likely Drivers; 4) Recommended Action; 5) Confidence &amp; Data Gaps</x:v>
      </x:c>
      <x:c r="H4" s="20" t="str">
        <x:v>PROTOTYPE ONLY — synthetic data; human approval required.</x:v>
      </x:c>
    </x:row>
    <x:row r="5" ht="90" customHeight="1">
      <x:c r="A5" s="20" t="str">
        <x:v>ADM-004</x:v>
      </x:c>
      <x:c r="B5" s="20" t="str">
        <x:v>Presupuestos anuales aprobados dentro del calendario</x:v>
      </x:c>
      <x:c r="C5" s="20" t="str">
        <x:v>Administración</x:v>
      </x:c>
      <x:c r="D5" s="20" t="str">
        <x:v>L4. Fortalecer colaboración interdepartamental</x:v>
      </x:c>
      <x:c r="E5" s="20" t="str">
        <x:v>SELECTED KPI
KPI_ID: ADM-004
KPI: Presupuestos anuales aprobados dentro del calendario
Department: Administración
BSC Perspective: Capacidades y tecnología
Strategic Objective: L4. Fortalecer colaboración interdepartamental
Owner: Administración
Purpose: Medir cumplimiento del proceso presupuestario, no contar archivos producidos.
Formula: Presupuestos anuales aprobados dentro de Ago–Oct ÷ presupuestos requeridos × 100
Direction: ↑ | Unit: % | Frequency: Anual con seguimiento mensual Ago–Oct
2023: 84.0% | 2024: 88.9% | 2025: 94.0% | 2026: 100.0%
3Y Baseline: 89.0% | Target 2026: 100% (5 de 5)
Direction-adjusted momentum: +12.4% | Status: Strong improvement
Warning threshold: &lt;100% | Critical threshold: &lt;80%
Underlying 2026 values: Presupuestos anuales aprobados dentro de Ago–Oct = 125.00 Moneda; presupuestos requeridos = 125.00 Moneda
Static action from catalog: Revisar desviación y definir acción correctiva cuando no se alcance la meta.
Anti-gaming control: Validar contra evidencia documental y resultado real, no sólo contra actividad reportada.
RELATED KPI CONTEXT
- ADM-012 | Nuevos convenios universitarios activados | 2026=2 # | baseline=1 # | momentum=+50.0% | status=Strong improvement | relation=Same strategic objective; Same department; Same BSC perspective
- ADM-013 | Convenios universitarios renovados antes de vencimiento | 2026=100.0% | baseline=89.2% | momentum=+12.1% | status=Strong improvement | relation=Same strategic objective; Same department; Same BSC perspective
- MKT-001 | Cumplimiento del manual/protocolo de comunicación global | 2026=96.0% | baseline=84.1% | momentum=+14.2% | status=Strong improvement | relation=Same strategic objective; Same BSC perspective
- ADM-001 | Facturación de donativos emitida dentro del SLA | 2026=100.0% | baseline=89.1% | momentum=+12.3% | status=Strong improvement | relation=Strategic-map adjacent objective; Same department
- ADM-002 | Solicitudes de compra procesadas dentro del SLA | 2026=100.0% | baseline=89.1% | momentum=+12.3% | status=Strong improvement | relation=Strategic-map adjacent objective; Same department
- ADM-003 | Pagos realizados en la fecha programada | 2026=100.0% | baseline=89.5% | momentum=+11.7% | status=Strong improvement | relation=Strategic-map adjacent objective; Same department
- ADM-016 | Viajes gestionados dentro de una semana | 2026=100.0% | baseline=89.0% | momentum=+12.4% | status=Strong improvement | relation=Strategic-map adjacent objective; Same department
- MKT-004 | Compromisos de mejora de comunicación cerrados en plazo | 2026=92.0% | baseline=81.0% | momentum=+13.6%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5" s="20" t="str">
        <x:v>Analyze the selected KPI using only the supplied context. Explain what is changing, what related KPIs matter, what should be investigated first, and recommend a concrete next action.</x:v>
      </x:c>
      <x:c r="G5" s="20" t="str">
        <x:v>1) Diagnosis; 2) Evidence; 3) Likely Drivers; 4) Recommended Action; 5) Confidence &amp; Data Gaps</x:v>
      </x:c>
      <x:c r="H5" s="20" t="str">
        <x:v>PROTOTYPE ONLY — synthetic data; human approval required.</x:v>
      </x:c>
    </x:row>
    <x:row r="6" ht="90" customHeight="1">
      <x:c r="A6" s="20" t="str">
        <x:v>ADM-006</x:v>
      </x:c>
      <x:c r="B6" s="20" t="str">
        <x:v>Informes regulatorios presentados en tiempo y forma</x:v>
      </x:c>
      <x:c r="C6" s="20" t="str">
        <x:v>Administración</x:v>
      </x:c>
      <x:c r="D6" s="20" t="str">
        <x:v>C3. Fortalecer confianza y credibilidad institucional</x:v>
      </x:c>
      <x:c r="E6" s="20" t="str">
        <x:v>SELECTED KPI
KPI_ID: ADM-006
KPI: Informes regulatorios presentados en tiempo y forma
Department: Administración
BSC Perspective: Beneficiarios y grupos de interés
Strategic Objective: C3. Fortalecer confianza y credibilidad institucional
Owner: Administración
Purpose: Medir cumplimiento regulatorio, no la cantidad fija de informes.
Formula: Informes regulatorios presentados dentro del plazo y con expediente completo ÷ informes regulatorios programados × 100
Direction: ↑ | Unit: % | Frequency: Trimestral / anual según calendario
2023: 84.0% | 2024: 88.9% | 2025: 94.0% | 2026: 100.0%
3Y Baseline: 89.0% | Target 2026: 100% (3 de 3)
Direction-adjusted momentum: +12.4% | Status: Strong improvement
Warning threshold: &lt;100% | Critical threshold: &lt;100% al vencimiento
Underlying 2026 values: Informes regulatorios presentados dentro del plazo y con expediente completo = 125 # / base; informes regulatorios programados = 125 # / base
Static action from catalog: Escalar cualquier informe en riesgo 30 días antes del vencimiento.
Anti-gaming control: El cumplimiento exige acuse/recepción y expediente completo, no sólo envío.
RELATED KPI CONTEXT
- ADM-008 | Acreditaciones institucionales renovadas antes de vencimiento | 2026=100.0% | baseline=89.3% | momentum=+11.9% | status=Strong improvement | relation=Same strategic objective; Same department; Same BSC perspective
- ADM-010 | Países con ruta de acreditación regulatoria definida y validada | 2026=100.0% | baseline=91.7% | momentum=+9.1% | status=Improving | relation=Same strategic objective; Same department; Same BSC perspective
- LEG-010 | Cumplimiento jurídico-fiscal de comunicaciones institucionales | 2026=100.0% | baseline=89.2% | momentum=+12.1% | status=Strong improvement | relation=Same strategic objective; Same BSC perspective
- ADM-001 | Facturación de donativos emitida dentro del SLA | 2026=100.0% | baseline=89.1% | momentum=+12.3% | status=Strong improvement | relation=Strategic-map adjacent objective; Same department
- ADM-002 | Solicitudes de compra procesadas dentro del SLA | 2026=100.0% | baseline=89.1% | momentum=+12.3% | status=Strong improvement | relation=Strategic-map adjacent objective; Same department
- ADM-003 | Pagos realizados en la fecha programada | 2026=100.0% | baseline=89.5% | momentum=+11.7% | status=Strong improvement | relation=Strategic-map adjacent objective; Same department
- ADM-016 | Viajes gestionados dentro de una semana | 2026=100.0% | baseline=89.0% | momentum=+12.4% | status=Strong improvement | relation=Strategic-map adjacent objective; Same department
- LEG-012 | Países objetivo con autorización fiscal para recibir donativos deducibles | 2026=100.0% | baseline=91.7% | momentum=+9.1% | status=Improving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6" s="20" t="str">
        <x:v>Analyze the selected KPI using only the supplied context. Explain what is changing, what related KPIs matter, what should be investigated first, and recommend a concrete next action.</x:v>
      </x:c>
      <x:c r="G6" s="20" t="str">
        <x:v>1) Diagnosis; 2) Evidence; 3) Likely Drivers; 4) Recommended Action; 5) Confidence &amp; Data Gaps</x:v>
      </x:c>
      <x:c r="H6" s="20" t="str">
        <x:v>PROTOTYPE ONLY — synthetic data; human approval required.</x:v>
      </x:c>
    </x:row>
    <x:row r="7" ht="90" customHeight="1">
      <x:c r="A7" s="20" t="str">
        <x:v>ADM-008</x:v>
      </x:c>
      <x:c r="B7" s="20" t="str">
        <x:v>Acreditaciones institucionales renovadas antes de vencimiento</x:v>
      </x:c>
      <x:c r="C7" s="20" t="str">
        <x:v>Administración</x:v>
      </x:c>
      <x:c r="D7" s="20" t="str">
        <x:v>C3. Fortalecer confianza y credibilidad institucional</x:v>
      </x:c>
      <x:c r="E7" s="20" t="str">
        <x:v>SELECTED KPI
KPI_ID: ADM-008
KPI: Acreditaciones institucionales renovadas antes de vencimiento
Department: Administración
BSC Perspective: Beneficiarios y grupos de interés
Strategic Objective: C3. Fortalecer confianza y credibilidad institucional
Owner: Administración
Purpose: Proteger credibilidad institucional y continuidad de acreditaciones.
Formula: Acreditaciones ESR/AIT renovadas antes del vencimiento ÷ acreditaciones con renovación exigible × 100
Direction: ↑ | Unit: % | Frequency: Mensual durante ventana de renovación
2023: 83.3% | 2024: 89.5% | 2025: 95.2% | 2026: 100.0%
3Y Baseline: 89.3% | Target 2026: 100%
Direction-adjusted momentum: +11.9% | Status: Strong improvement
Warning threshold: &lt;100% con &gt;30 días a vencimiento | Critical threshold: Alguna acreditación vencida
Underlying 2026 values: Acreditaciones ESR/AIT renovadas antes del vencimiento = 22 # / base; acreditaciones con renovación exigible = 22 # / base
Static action from catalog: Revisar desviación y definir acción correctiva cuando no se alcance la meta.
Anti-gaming control: Contar sólo renovaciones oficialmente aceptadas por el organismo acreditador.
RELATED KPI CONTEXT
- ADM-006 | Informes regulatorios presentados en tiempo y forma | 2026=100.0% | baseline=89.0% | momentum=+12.4% | status=Strong improvement | relation=Same strategic objective; Same department; Same BSC perspective
- ADM-010 | Países con ruta de acreditación regulatoria definida y validada | 2026=100.0% | baseline=91.7% | momentum=+9.1% | status=Improving | relation=Same strategic objective; Same department; Same BSC perspective
- LEG-010 | Cumplimiento jurídico-fiscal de comunicaciones institucionales | 2026=100.0% | baseline=89.2% | momentum=+12.1% | status=Strong improvement | relation=Same strategic objective; Same BSC perspective
- ADM-001 | Facturación de donativos emitida dentro del SLA | 2026=100.0% | baseline=89.1% | momentum=+12.3% | status=Strong improvement | relation=Strategic-map adjacent objective; Same department
- ADM-002 | Solicitudes de compra procesadas dentro del SLA | 2026=100.0% | baseline=89.1% | momentum=+12.3% | status=Strong improvement | relation=Strategic-map adjacent objective; Same department
- ADM-003 | Pagos realizados en la fecha programada | 2026=100.0% | baseline=89.5% | momentum=+11.7% | status=Strong improvement | relation=Strategic-map adjacent objective; Same department
- ADM-016 | Viajes gestionados dentro de una semana | 2026=100.0% | baseline=89.0% | momentum=+12.4% | status=Strong improvement | relation=Strategic-map adjacent objective; Same department
- LEG-012 | Países objetivo con autorización fiscal para recibir donativos deducibles | 2026=100.0% | baseline=91.7% | momentum=+9.1% | status=Improving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7" s="20" t="str">
        <x:v>Analyze the selected KPI using only the supplied context. Explain what is changing, what related KPIs matter, what should be investigated first, and recommend a concrete next action.</x:v>
      </x:c>
      <x:c r="G7" s="20" t="str">
        <x:v>1) Diagnosis; 2) Evidence; 3) Likely Drivers; 4) Recommended Action; 5) Confidence &amp; Data Gaps</x:v>
      </x:c>
      <x:c r="H7" s="20" t="str">
        <x:v>PROTOTYPE ONLY — synthetic data; human approval required.</x:v>
      </x:c>
    </x:row>
    <x:row r="8" ht="90" customHeight="1">
      <x:c r="A8" s="20" t="str">
        <x:v>ADM-010</x:v>
      </x:c>
      <x:c r="B8" s="20" t="str">
        <x:v>Países con ruta de acreditación regulatoria definida y validada</x:v>
      </x:c>
      <x:c r="C8" s="20" t="str">
        <x:v>Administración</x:v>
      </x:c>
      <x:c r="D8" s="20" t="str">
        <x:v>C3. Fortalecer confianza y credibilidad institucional</x:v>
      </x:c>
      <x:c r="E8" s="20" t="str">
        <x:v>SELECTED KPI
KPI_ID: ADM-010
KPI: Países con ruta de acreditación regulatoria definida y validada
Department: Administración
BSC Perspective: Beneficiarios y grupos de interés
Strategic Objective: C3. Fortalecer confianza y credibilidad institucional
Owner: Administración
Purpose: Medir preparación real para acreditaciones internacionales, no número de contactos.
Formula: Países objetivo con requisitos, autoridad, evidencia y ruta de acreditación validados ÷ países objetivo × 100
Direction: ↑ | Unit: % | Frequency: Trimestral
2023: 75.0% | 2024: 100.0% | 2025: 100.0% | 2026: 100.0%
3Y Baseline: 91.7% | Target 2026: 100% (2 de 2)
Direction-adjusted momentum: +9.1% | Status: Improving
Warning threshold: &lt;100% al Q3 | Critical threshold: &lt;100% al cierre
Underlying 2026 values: Países objetivo con requisitos, autoridad, evidencia y ruta de acreditación validados = 4 # / base; países objetivo = 4 # / base
Static action from catalog: Revisar desviación y definir acción correctiva cuando no se alcance la meta.
Anti-gaming control: Requiere validación Jurídico + Administración y matriz de requisitos completa.
RELATED KPI CONTEXT
- ADM-006 | Informes regulatorios presentados en tiempo y forma | 2026=100.0% | baseline=89.0% | momentum=+12.4% | status=Strong improvement | relation=Same strategic objective; Same department; Same BSC perspective
- ADM-008 | Acreditaciones institucionales renovadas antes de vencimiento | 2026=100.0% | baseline=89.3% | momentum=+11.9% | status=Strong improvement | relation=Same strategic objective; Same department; Same BSC perspective
- LEG-010 | Cumplimiento jurídico-fiscal de comunicaciones institucionales | 2026=100.0% | baseline=89.2% | momentum=+12.1% | status=Strong improvement | relation=Same strategic objective; Same BSC perspective
- ADM-001 | Facturación de donativos emitida dentro del SLA | 2026=100.0% | baseline=89.1% | momentum=+12.3% | status=Strong improvement | relation=Strategic-map adjacent objective; Same department
- ADM-002 | Solicitudes de compra procesadas dentro del SLA | 2026=100.0% | baseline=89.1% | momentum=+12.3% | status=Strong improvement | relation=Strategic-map adjacent objective; Same department
- ADM-003 | Pagos realizados en la fecha programada | 2026=100.0% | baseline=89.5% | momentum=+11.7% | status=Strong improvement | relation=Strategic-map adjacent objective; Same department
- ADM-016 | Viajes gestionados dentro de una semana | 2026=100.0% | baseline=89.0% | momentum=+12.4% | status=Strong improvement | relation=Strategic-map adjacent objective; Same department
- LEG-012 | Países objetivo con autorización fiscal para recibir donativos deducibles | 2026=100.0% | baseline=91.7% | momentum=+9.1% | status=Improving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8" s="20" t="str">
        <x:v>Analyze the selected KPI using only the supplied context. Explain what is changing, what related KPIs matter, what should be investigated first, and recommend a concrete next action.</x:v>
      </x:c>
      <x:c r="G8" s="20" t="str">
        <x:v>1) Diagnosis; 2) Evidence; 3) Likely Drivers; 4) Recommended Action; 5) Confidence &amp; Data Gaps</x:v>
      </x:c>
      <x:c r="H8" s="20" t="str">
        <x:v>PROTOTYPE ONLY — synthetic data; human approval required.</x:v>
      </x:c>
    </x:row>
    <x:row r="9" ht="90" customHeight="1">
      <x:c r="A9" s="20" t="str">
        <x:v>ADM-012</x:v>
      </x:c>
      <x:c r="B9" s="20" t="str">
        <x:v>Nuevos convenios universitarios activados</x:v>
      </x:c>
      <x:c r="C9" s="20" t="str">
        <x:v>Administración</x:v>
      </x:c>
      <x:c r="D9" s="20" t="str">
        <x:v>L4. Fortalecer colaboración interdepartamental</x:v>
      </x:c>
      <x:c r="E9" s="20" t="str">
        <x:v>SELECTED KPI
KPI_ID: ADM-012
KPI: Nuevos convenios universitarios activados
Department: Administración
BSC Perspective: Capacidades y tecnología
Strategic Objective: L4. Fortalecer colaboración interdepartamental
Owner: Administración
Purpose: Medir expansión efectiva de la red de universidades, no sólo contactos.
Formula: Convenios nuevos firmados y habilitados para recibir prestadores
Direction: ↑ | Unit: # | Frequency: Trimestral
2023: 1 # | 2024: 1 # | 2025: 2 # | 2026: 2 #
3Y Baseline: 1 # | Target 2026: ≥2
Direction-adjusted momentum: +50.0% | Status: Strong improvement
Warning threshold: &lt;2 al Q4 | Critical threshold: 0 al Q4
Underlying 2026 values: Convenios nuevos firmados y habilitados para recibir prestadores = 2 #
Static action from catalog: Revisar desviación y definir acción correctiva cuando no se alcance la meta.
Anti-gaming control: Contar sólo convenios vigentes con capacidad real de canalizar prestadores.
RELATED KPI CONTEXT
- ADM-004 | Presupuestos anuales aprobados dentro del calendario | 2026=100.0% | baseline=89.0% | momentum=+12.4% | status=Strong improvement | relation=Same strategic objective; Same department; Same BSC perspective
- ADM-013 | Convenios universitarios renovados antes de vencimiento | 2026=100.0% | baseline=89.2% | momentum=+12.1% | status=Strong improvement | relation=Same strategic objective; Same department; Same BSC perspective
- MKT-001 | Cumplimiento del manual/protocolo de comunicación global | 2026=96.0% | baseline=84.1% | momentum=+14.2% | status=Strong improvement | relation=Same strategic objective; Same BSC perspective
- ADM-001 | Facturación de donativos emitida dentro del SLA | 2026=100.0% | baseline=89.1% | momentum=+12.3% | status=Strong improvement | relation=Strategic-map adjacent objective; Same department
- ADM-002 | Solicitudes de compra procesadas dentro del SLA | 2026=100.0% | baseline=89.1% | momentum=+12.3% | status=Strong improvement | relation=Strategic-map adjacent objective; Same department
- ADM-003 | Pagos realizados en la fecha programada | 2026=100.0% | baseline=89.5% | momentum=+11.7% | status=Strong improvement | relation=Strategic-map adjacent objective; Same department
- ADM-016 | Viajes gestionados dentro de una semana | 2026=100.0% | baseline=89.0% | momentum=+12.4% | status=Strong improvement | relation=Strategic-map adjacent objective; Same department
- MKT-004 | Compromisos de mejora de comunicación cerrados en plazo | 2026=92.0% | baseline=81.0% | momentum=+13.6%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9" s="20" t="str">
        <x:v>Analyze the selected KPI using only the supplied context. Explain what is changing, what related KPIs matter, what should be investigated first, and recommend a concrete next action.</x:v>
      </x:c>
      <x:c r="G9" s="20" t="str">
        <x:v>1) Diagnosis; 2) Evidence; 3) Likely Drivers; 4) Recommended Action; 5) Confidence &amp; Data Gaps</x:v>
      </x:c>
      <x:c r="H9" s="20" t="str">
        <x:v>PROTOTYPE ONLY — synthetic data; human approval required.</x:v>
      </x:c>
    </x:row>
    <x:row r="10" ht="90" customHeight="1">
      <x:c r="A10" s="20" t="str">
        <x:v>ADM-013</x:v>
      </x:c>
      <x:c r="B10" s="20" t="str">
        <x:v>Convenios universitarios renovados antes de vencimiento</x:v>
      </x:c>
      <x:c r="C10" s="20" t="str">
        <x:v>Administración</x:v>
      </x:c>
      <x:c r="D10" s="20" t="str">
        <x:v>L4. Fortalecer colaboración interdepartamental</x:v>
      </x:c>
      <x:c r="E10" s="20" t="str">
        <x:v>SELECTED KPI
KPI_ID: ADM-013
KPI: Convenios universitarios renovados antes de vencimiento
Department: Administración
BSC Perspective: Capacidades y tecnología
Strategic Objective: L4. Fortalecer colaboración interdepartamental
Owner: Administración
Purpose: Evitar interrupciones en la disponibilidad de servicio social.
Formula: Convenios renovados antes de vencimiento ÷ convenios que vencen en 2026 × 100
Direction: ↑ | Unit: % | Frequency: Anual
2023: 84.3% | 2024: 89.5% | 2025: 93.8% | 2026: 100.0%
3Y Baseline: 89.2% | Target 2026: 100%
Direction-adjusted momentum: +12.1% | Status: Strong improvement
Warning threshold: &lt;100% con 30 días a vencimiento | Critical threshold: Convenio vencido sin renovación
Underlying 2026 values: Convenios renovados antes de vencimiento = 88 # / base; convenios que vencen en 2026 = 88 # / base
Static action from catalog: Revisar desviación y definir acción correctiva cuando no se alcance la meta.
Anti-gaming control: Validar contra evidencia documental y resultado real, no sólo contra actividad reportada.
RELATED KPI CONTEXT
- ADM-004 | Presupuestos anuales aprobados dentro del calendario | 2026=100.0% | baseline=89.0% | momentum=+12.4% | status=Strong improvement | relation=Same strategic objective; Same department; Same BSC perspective
- ADM-012 | Nuevos convenios universitarios activados | 2026=2 # | baseline=1 # | momentum=+50.0% | status=Strong improvement | relation=Same strategic objective; Same department; Same BSC perspective
- MKT-001 | Cumplimiento del manual/protocolo de comunicación global | 2026=96.0% | baseline=84.1% | momentum=+14.2% | status=Strong improvement | relation=Same strategic objective; Same BSC perspective
- ADM-001 | Facturación de donativos emitida dentro del SLA | 2026=100.0% | baseline=89.1% | momentum=+12.3% | status=Strong improvement | relation=Strategic-map adjacent objective; Same department
- ADM-002 | Solicitudes de compra procesadas dentro del SLA | 2026=100.0% | baseline=89.1% | momentum=+12.3% | status=Strong improvement | relation=Strategic-map adjacent objective; Same department
- ADM-003 | Pagos realizados en la fecha programada | 2026=100.0% | baseline=89.5% | momentum=+11.7% | status=Strong improvement | relation=Strategic-map adjacent objective; Same department
- ADM-016 | Viajes gestionados dentro de una semana | 2026=100.0% | baseline=89.0% | momentum=+12.4% | status=Strong improvement | relation=Strategic-map adjacent objective; Same department
- MKT-004 | Compromisos de mejora de comunicación cerrados en plazo | 2026=92.0% | baseline=81.0% | momentum=+13.6%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0" s="20" t="str">
        <x:v>Analyze the selected KPI using only the supplied context. Explain what is changing, what related KPIs matter, what should be investigated first, and recommend a concrete next action.</x:v>
      </x:c>
      <x:c r="G10" s="20" t="str">
        <x:v>1) Diagnosis; 2) Evidence; 3) Likely Drivers; 4) Recommended Action; 5) Confidence &amp; Data Gaps</x:v>
      </x:c>
      <x:c r="H10" s="20" t="str">
        <x:v>PROTOTYPE ONLY — synthetic data; human approval required.</x:v>
      </x:c>
    </x:row>
    <x:row r="11" ht="90" customHeight="1">
      <x:c r="A11" s="20" t="str">
        <x:v>ADM-014</x:v>
      </x:c>
      <x:c r="B11" s="20" t="str">
        <x:v>Prestadores de servicio social incorporados</x:v>
      </x:c>
      <x:c r="C11" s="20" t="str">
        <x:v>Administración</x:v>
      </x:c>
      <x:c r="D11" s="20" t="str">
        <x:v>L3. Fortalecer capacidades del equipo</x:v>
      </x:c>
      <x:c r="E11" s="20" t="str">
        <x:v>SELECTED KPI
KPI_ID: ADM-014
KPI: Prestadores de servicio social incorporados
Department: Administración
BSC Perspective: Capacidades y tecnología
Strategic Objective: L3. Fortalecer capacidades del equipo
Owner: Administración
Purpose: Medir capacidad real obtenida para las áreas. El +10% original es ambiguo sin baseline.
Formula: Número de prestadores que formalizan ingreso durante 2026
Direction: ↑ | Unit: # | Frequency: Mensual
2023: 4 # | 2024: 5 # | 2025: 6 # | 2026: 7 #
3Y Baseline: 5 # | Target 2026: ≥7
Direction-adjusted momentum: +40.0% | Status: Strong improvement
Warning threshold: &lt;7 al cierre de Q3 | Critical threshold: &lt;7 al cierre de 2026
Underlying 2026 values: Número de prestadores que formalizan ingreso durante 2026 = 7 #
Static action from catalog: Revisar desviación y definir acción correctiva cuando no se alcance la meta.
Anti-gaming control: Contar sólo prestadores con alta formal y fecha de inicio.
RELATED KPI CONTEXT
- LEG-006 | Cobertura de certificación antilavado del equipo Jurídico | 2026=100.0% | baseline=89.2% | momentum=+12.2% | status=Strong improvement | relation=Same strategic objective; Same BSC perspective
- REC-L04 | Cobertura de capacitación crítica | 2026=100.0% | baseline=89.0% | momentum=+12.4% | status=Strong improvement | relation=Same strategic objective; Same BSC perspective
- FND-016 | Nuevas alianzas estratégicas activas por país | 2026=4 # alianzas | baseline=3 # alianzas | momentum=+50.0% | status=Strong improvement | relation=Strategic-map adjacent objective
- MKT-008 | Cumplimiento de ejecución multicanal del lanzamiento | 2026=100.0% | baseline=89.0% | momentum=+12.4% | status=Strong improvement | relation=Strategic-map adjacent objective
- ADM-004 | Presupuestos anuales aprobados dentro del calendario | 2026=100.0% | baseline=89.0% | momentum=+12.4% | status=Strong improvement | relation=Same department; Same BSC perspective
- ADM-012 | Nuevos convenios universitarios activados | 2026=2 # | baseline=1 # | momentum=+50.0% | status=Strong improvement | relation=Same department; Same BSC perspective
- ADM-013 | Convenios universitarios renovados antes de vencimiento | 2026=100.0% | baseline=89.2% | momentum=+12.1% | status=Strong improvement | relation=Same department; Same BSC perspective
- MKT-011 | Actividades principales con cobertura completa de comunicación e impacto | 2026=100.0% | baseline=89.2% | momentum=+12.1% | status=Strong improvement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1" s="20" t="str">
        <x:v>Analyze the selected KPI using only the supplied context. Explain what is changing, what related KPIs matter, what should be investigated first, and recommend a concrete next action.</x:v>
      </x:c>
      <x:c r="G11" s="20" t="str">
        <x:v>1) Diagnosis; 2) Evidence; 3) Likely Drivers; 4) Recommended Action; 5) Confidence &amp; Data Gaps</x:v>
      </x:c>
      <x:c r="H11" s="20" t="str">
        <x:v>PROTOTYPE ONLY — synthetic data; human approval required.</x:v>
      </x:c>
    </x:row>
    <x:row r="12" ht="90" customHeight="1">
      <x:c r="A12" s="20" t="str">
        <x:v>ADM-015</x:v>
      </x:c>
      <x:c r="B12" s="20" t="str">
        <x:v>Reportes financieros mensuales entregados en tiempo</x:v>
      </x:c>
      <x:c r="C12" s="20" t="str">
        <x:v>Administración</x:v>
      </x:c>
      <x:c r="D12" s="20" t="str">
        <x:v>F4. Mejorar eficiencia y control presupuestal</x:v>
      </x:c>
      <x:c r="E12" s="20" t="str">
        <x:v>SELECTED KPI
KPI_ID: ADM-015
KPI: Reportes financieros mensuales entregados en tiempo
Department: Administración
BSC Perspective: Sostenibilidad financiera
Strategic Objective: F4. Mejorar eficiencia y control presupuestal
Owner: Administración
Purpose: Asegurar disponibilidad oportuna de información financiera; no contar simplemente 5 reportes.
Formula: Reportes financieros entregados dentro de la ventana comprometida ÷ reportes programados en el periodo × 100
Direction: ↑ | Unit: % | Frequency: Mensual
2023: 84.0% | 2024: 88.9% | 2025: 94.0% | 2026: 100.0%
3Y Baseline: 89.0% | Target 2026: 100%
Direction-adjusted momentum: +12.4% | Status: Strong improvement
Warning threshold: &lt;100% y ≥95% | Critical threshold: &lt;95%
Underlying 2026 values: Reportes financieros entregados dentro de la ventana comprometida = 125 # / base; reportes programados en el periodo = 125 # / base
Static action from catalog: Revisar desviación y definir acción correctiva cuando no se alcance la meta.
Anti-gaming control: Registrar fecha real de cierre y entrega; no cambiar retroactivamente la fecha comprometida.
RELATED KPI CONTEXT
- LEG-005 | Ahorro en costos internos derivados de la simplificación | 2026=20.4% | baseline=15.5% | momentum=+31.3% | status=Strong improvement | relation=Same strategic objective; Same BSC perspective
- REC-F05 | Variación presupuestal | 2026=4.2% | baseline=7.5% | momentum=+44.0% | status=Strong improvement | relation=Same strategic objective; Same BSC perspective
- REC-F06 | Costo por beneficiario | 2026=3,550.00 MXN/USD por beneficiario | baseline=3,958.33 MXN/USD por beneficiario | momentum=N/A | status=No data | relation=Same strategic objective; Same BSC perspective
- ADM-001 | Facturación de donativos emitida dentro del SLA | 2026=100.0% | baseline=89.1% | momentum=+12.3% | status=Strong improvement | relation=Strategic-map adjacent objective; Same department
- ADM-002 | Solicitudes de compra procesadas dentro del SLA | 2026=100.0% | baseline=89.1% | momentum=+12.3% | status=Strong improvement | relation=Strategic-map adjacent objective; Same department
- ADM-003 | Pagos realizados en la fecha programada | 2026=100.0% | baseline=89.5% | momentum=+11.7% | status=Strong improvement | relation=Strategic-map adjacent objective; Same department
- ADM-016 | Viajes gestionados dentro de una semana | 2026=100.0% | baseline=89.0% | momentum=+12.4% | status=Strong improvement | relation=Strategic-map adjacent objective; Same department
- FND-001 | Fondos recaudados — Tu Donativo x2 (Chivas) | 2026=40,800 MXN | baseline=31,333 MXN | momentum=+30.2% | status=Strong improvement | relation=Same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2" s="20" t="str">
        <x:v>Analyze the selected KPI using only the supplied context. Explain what is changing, what related KPIs matter, what should be investigated first, and recommend a concrete next action.</x:v>
      </x:c>
      <x:c r="G12" s="20" t="str">
        <x:v>1) Diagnosis; 2) Evidence; 3) Likely Drivers; 4) Recommended Action; 5) Confidence &amp; Data Gaps</x:v>
      </x:c>
      <x:c r="H12" s="20" t="str">
        <x:v>PROTOTYPE ONLY — synthetic data; human approval required.</x:v>
      </x:c>
    </x:row>
    <x:row r="13" ht="90" customHeight="1">
      <x:c r="A13" s="20" t="str">
        <x:v>ADM-016</x:v>
      </x:c>
      <x:c r="B13" s="20" t="str">
        <x:v>Viajes gestionados dentro de una semana</x:v>
      </x:c>
      <x:c r="C13" s="20" t="str">
        <x:v>Administración</x:v>
      </x:c>
      <x:c r="D13" s="20" t="str">
        <x:v>P4. Simplificar y digitalizar procesos</x:v>
      </x:c>
      <x:c r="E13" s="20" t="str">
        <x:v>SELECTED KPI
KPI_ID: ADM-016
KPI: Viajes gestionados dentro de una semana
Department: Administración
BSC Perspective: Procesos internos
Strategic Objective: P4. Simplificar y digitalizar procesos
Owner: Administración
Purpose: Medir oportunidad, no sólo gestión eventual.
Formula: Viajes gestionados dentro de 7 días desde solicitud completa ÷ viajes solicitados × 100
Direction: ↑ | Unit: % | Frequency: Mensual
2023: 84.0% | 2024: 88.9% | 2025: 94.0% | 2026: 100.0%
3Y Baseline: 89.0% | Target 2026: 100%
Direction-adjusted momentum: +12.4% | Status: Strong improvement
Warning threshold: &lt;100% y ≥95% | Critical threshold: &lt;95%
Underlying 2026 values: Viajes gestionados dentro de 7 días desde solicitud completa = 125.0 días; viajes solicitados = 125 # / base
Static action from catalog: Revisar desviación y definir acción correctiva cuando no se alcance la meta.
Anti-gaming control: El SLA inicia con solicitud completa; urgencias fuera de política se reportan aparte.
RELATED KPI CONTEXT
- ADM-001 | Facturación de donativos emitida dentro del SLA | 2026=100.0% | baseline=89.1% | momentum=+12.3% | status=Strong improvement | relation=Same strategic objective; Same department; Same BSC perspective
- ADM-002 | Solicitudes de compra procesadas dentro del SLA | 2026=100.0% | baseline=89.1% | momentum=+12.3% | status=Strong improvement | relation=Same strategic objective; Same department; Same BSC perspective
- ADM-003 | Pagos realizados en la fecha programada | 2026=100.0% | baseline=89.5% | momentum=+11.7% | status=Strong improvement | relation=Same strategic objective; Same department; Same BSC perspective
- ADM-004 | Presupuestos anuales aprobados dentro del calendario | 2026=100.0% | baseline=89.0% | momentum=+12.4% | status=Strong improvement | relation=Strategic-map adjacent objective; Same department
- ADM-006 | Informes regulatorios presentados en tiempo y forma | 2026=100.0% | baseline=89.0% | momentum=+12.4% | status=Strong improvement | relation=Strategic-map adjacent objective; Same department
- ADM-017 | Viáticos comprobados dentro de 30 días | 2026=100.0% | baseline=89.0% | momentum=+12.4% | status=Strong improvement | relation=Same strategic objective; Same department; Same BSC perspective
- REC-P04 | Cumplimiento agregado de SLA administrativos | 2026=96.0% | baseline=84.0% | momentum=+14.3% | status=Strong improvement | relation=Same strategic objective; Same department; Same BSC perspective
- LEG-001 | Tiempo de ciclo para liberación contractual | 2026=3.1 Días hábiles | baseline=4.9 Días hábiles | momentum=+36.7%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3" s="20" t="str">
        <x:v>Analyze the selected KPI using only the supplied context. Explain what is changing, what related KPIs matter, what should be investigated first, and recommend a concrete next action.</x:v>
      </x:c>
      <x:c r="G13" s="20" t="str">
        <x:v>1) Diagnosis; 2) Evidence; 3) Likely Drivers; 4) Recommended Action; 5) Confidence &amp; Data Gaps</x:v>
      </x:c>
      <x:c r="H13" s="20" t="str">
        <x:v>PROTOTYPE ONLY — synthetic data; human approval required.</x:v>
      </x:c>
    </x:row>
    <x:row r="14" ht="90" customHeight="1">
      <x:c r="A14" s="20" t="str">
        <x:v>ADM-017</x:v>
      </x:c>
      <x:c r="B14" s="20" t="str">
        <x:v>Viáticos comprobados dentro de 30 días</x:v>
      </x:c>
      <x:c r="C14" s="20" t="str">
        <x:v>Administración</x:v>
      </x:c>
      <x:c r="D14" s="20" t="str">
        <x:v>P4. Simplificar y digitalizar procesos</x:v>
      </x:c>
      <x:c r="E14" s="20" t="str">
        <x:v>SELECTED KPI
KPI_ID: ADM-017
KPI: Viáticos comprobados dentro de 30 días
Department: Administración
BSC Perspective: Procesos internos
Strategic Objective: P4. Simplificar y digitalizar procesos
Owner: Administración
Purpose: Reducir rezagos de comprobación y riesgo de control interno.
Formula: Viajes comprobados dentro de 30 días posteriores al regreso ÷ viajes concluidos que requieren comprobación × 100
Direction: ↑ | Unit: % | Frequency: Mensual
2023: 84.0% | 2024: 88.9% | 2025: 94.0% | 2026: 100.0%
3Y Baseline: 89.0% | Target 2026: 100%
Direction-adjusted momentum: +12.4% | Status: Strong improvement
Warning threshold: &lt;100% y ≥95% | Critical threshold: &lt;95%
Underlying 2026 values: Viajes comprobados dentro de 30 días posteriores al regreso = 125.0 días; viajes concluidos que requieren comprobación = 125 # / base
Static action from catalog: Revisar desviación y definir acción correctiva cuando no se alcance la meta.
Anti-gaming control: Usar fecha de regreso y fecha de comprobación aceptada, no fecha de envío preliminar.
RELATED KPI CONTEXT
- ADM-001 | Facturación de donativos emitida dentro del SLA | 2026=100.0% | baseline=89.1% | momentum=+12.3% | status=Strong improvement | relation=Same strategic objective; Same department; Same BSC perspective
- ADM-002 | Solicitudes de compra procesadas dentro del SLA | 2026=100.0% | baseline=89.1% | momentum=+12.3% | status=Strong improvement | relation=Same strategic objective; Same department; Same BSC perspective
- ADM-003 | Pagos realizados en la fecha programada | 2026=100.0% | baseline=89.5% | momentum=+11.7% | status=Strong improvement | relation=Same strategic objective; Same department; Same BSC perspective
- ADM-004 | Presupuestos anuales aprobados dentro del calendario | 2026=100.0% | baseline=89.0% | momentum=+12.4% | status=Strong improvement | relation=Strategic-map adjacent objective; Same department
- ADM-006 | Informes regulatorios presentados en tiempo y forma | 2026=100.0% | baseline=89.0% | momentum=+12.4% | status=Strong improvement | relation=Strategic-map adjacent objective; Same department
- ADM-016 | Viajes gestionados dentro de una semana | 2026=100.0% | baseline=89.0% | momentum=+12.4% | status=Strong improvement | relation=Same strategic objective; Same department; Same BSC perspective
- REC-P04 | Cumplimiento agregado de SLA administrativos | 2026=96.0% | baseline=84.0% | momentum=+14.3% | status=Strong improvement | relation=Same strategic objective; Same department; Same BSC perspective
- LEG-001 | Tiempo de ciclo para liberación contractual | 2026=3.1 Días hábiles | baseline=4.9 Días hábiles | momentum=+36.7%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4" s="20" t="str">
        <x:v>Analyze the selected KPI using only the supplied context. Explain what is changing, what related KPIs matter, what should be investigated first, and recommend a concrete next action.</x:v>
      </x:c>
      <x:c r="G14" s="20" t="str">
        <x:v>1) Diagnosis; 2) Evidence; 3) Likely Drivers; 4) Recommended Action; 5) Confidence &amp; Data Gaps</x:v>
      </x:c>
      <x:c r="H14" s="20" t="str">
        <x:v>PROTOTYPE ONLY — synthetic data; human approval required.</x:v>
      </x:c>
    </x:row>
    <x:row r="15" ht="90" customHeight="1">
      <x:c r="A15" s="20" t="str">
        <x:v>OPS-001</x:v>
      </x:c>
      <x:c r="B15" s="20" t="str">
        <x:v>Países con operación programática activa según modelo definido</x:v>
      </x:c>
      <x:c r="C15" s="20" t="str">
        <x:v>Operaciones</x:v>
      </x:c>
      <x:c r="D15" s="20" t="str">
        <x:v>S2. Ampliar alcance geográfico y poblacional</x:v>
      </x:c>
      <x:c r="E15" s="20" t="str">
        <x:v>SELECTED KPI
KPI_ID: OPS-001
KPI: Países con operación programática activa según modelo definido
Department: Operaciones
BSC Perspective: Resultados estratégicos
Strategic Objective: S2. Ampliar alcance geográfico y poblacional
Owner: Operaciones
Purpose: Medir expansión real y activa, no sólo presencia legal.
Formula: Número de países con al menos un programa activo y esquema operativo documentado
Direction: ↑ | Unit: # países | Frequency: Trimestral
2023: 2 # países | 2024: 3 # países | 2025: 3 # países | 2026: 4 # países
3Y Baseline: 3 # países | Target 2026: 4 (3 directos + 1 directo o en alianza)
Direction-adjusted momentum: +50.0% | Status: Strong improvement
Warning threshold: &lt;4 al Q4 | Critical threshold: &lt;3 al Q4
Underlying 2026 values: Número de países con al menos un programa activo y esquema operativo documentado = 4 #
Static action from catalog: Revisar desviación y definir acción correctiva cuando no se alcance la meta.
Anti-gaming control: País activo requiere beneficiarios atendidos, responsable operativo y evidencia de ejecución.
RELATED KPI CONTEXT
- REC-S02 | Cumplimiento de cobertura total de beneficiarios | 2026=96.0% | baseline=84.0% | momentum=+14.3% | status=Strong improvement | relation=Same strategic objective; Same department; Same BSC perspective
- OPS-002 | Asistencia regular de beneficiarios | 2026=82.0% | baseline=71.0% | momentum=+15.5% | status=Strong improvement | relation=Strategic-map adjacent objective; Same department
- OPS-008 | Cobertura del piloto de nutrición infantil | 2026=100.0% | baseline=89.0% | momentum=+12.4% | status=Strong improvement | relation=Strategic-map adjacent objective; Same department
- OPS-012 | Países con plan de escalamiento de nutrición listo para 2027 | 2026=100.0% | baseline=91.7% | momentum=+9.1% | status=Improving | relation=Strategic-map adjacent objective; Same department
- OPS-013 | Cumplimiento de cobertura — Sueña Chivas Estadio | 2026=100.0% | baseline=89.0% | momentum=+12.4% | status=Strong improvement | relation=Strategic-map adjacent objective; Same department
- OPS-003 | Mejora de habilidades psicosociales | 2026=30.6% | baseline=23.3% | momentum=+31.3% | status=Strong improvement | relation=Same department; Same BSC perspective
- OPS-014 | Cumplimiento de cobertura — Sueña Chivas Tour | 2026=100.0% | baseline=89.0% | momentum=+12.4% | status=Strong improvement | relation=Strategic-map adjacent objective; Same department
- OPS-015 | Sueña Chivas Individuales completados | 2026=12 # | baseline=9 # | momentum=+28.6% | status=Strong improvement | relation=Strategic-map adjacent objective; Same department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5" s="20" t="str">
        <x:v>Analyze the selected KPI using only the supplied context. Explain what is changing, what related KPIs matter, what should be investigated first, and recommend a concrete next action.</x:v>
      </x:c>
      <x:c r="G15" s="20" t="str">
        <x:v>1) Diagnosis; 2) Evidence; 3) Likely Drivers; 4) Recommended Action; 5) Confidence &amp; Data Gaps</x:v>
      </x:c>
      <x:c r="H15" s="20" t="str">
        <x:v>PROTOTYPE ONLY — synthetic data; human approval required.</x:v>
      </x:c>
    </x:row>
    <x:row r="16" ht="90" customHeight="1">
      <x:c r="A16" s="20" t="str">
        <x:v>OPS-002</x:v>
      </x:c>
      <x:c r="B16" s="20" t="str">
        <x:v>Asistencia regular de beneficiarios</x:v>
      </x:c>
      <x:c r="C16" s="20" t="str">
        <x:v>Operaciones</x:v>
      </x:c>
      <x:c r="D16" s="20" t="str">
        <x:v>C1. Incrementar alcance y acceso</x:v>
      </x:c>
      <x:c r="E16" s="20" t="str">
        <x:v>SELECTED KPI
KPI_ID: OPS-002
KPI: Asistencia regular de beneficiarios
Department: Operaciones
BSC Perspective: Beneficiarios y grupos de interés
Strategic Objective: C1. Incrementar alcance y acceso
Owner: Operaciones
Purpose: Monitorear adherencia y continuidad de participación.
Formula: Beneficiarios que cumplen criterio de asistencia regular ÷ beneficiarios inscritos activos × 100
Direction: ↑ | Unit: % | Frequency: Mensual
2023: 66.0% | 2024: 71.0% | 2025: 76.0% | 2026: 82.0%
3Y Baseline: 71.0% | Target 2026: ≥80%
Direction-adjusted momentum: +15.5% | Status: Strong improvement
Warning threshold: 70–79.9% | Critical threshold: &lt;70%
Underlying 2026 values: Beneficiarios que cumplen criterio de asistencia regular = 922 # / base; beneficiarios inscritos activos = 1,125 # / base
Static action from catalog: Revisar desviación y definir acción correctiva cuando no se alcance la meta.
Anti-gaming control: Definir previamente 'asistencia regular' y no excluir abandonos del denominador sin causa documentada.
RELATED KPI CONTEXT
- OPS-008 | Cobertura del piloto de nutrición infantil | 2026=100.0% | baseline=89.0% | momentum=+12.4% | status=Strong improvement | relation=Same strategic objective; Same department; Same BSC perspective
- OPS-013 | Cumplimiento de cobertura — Sueña Chivas Estadio | 2026=100.0% | baseline=89.0% | momentum=+12.4% | status=Strong improvement | relation=Same strategic objective; Same department; Same BSC perspective
- OPS-014 | Cumplimiento de cobertura — Sueña Chivas Tour | 2026=100.0% | baseline=89.0% | momentum=+12.4% | status=Strong improvement | relation=Same strategic objective; Same department; Same BSC perspective
- OPS-012 | Países con plan de escalamiento de nutrición listo para 2027 | 2026=100.0% | baseline=91.7% | momentum=+9.1% | status=Improving | relation=Strategic-map adjacent objective; Same department
- OPS-001 | Países con operación programática activa según modelo definido | 2026=4 # países | baseline=3 # países | momentum=+50.0% | status=Strong improvement | relation=Strategic-map adjacent objective; Same department
- OPS-015 | Sueña Chivas Individuales completados | 2026=12 # | baseline=9 # | momentum=+28.6% | status=Strong improvement | relation=Same strategic objective; Same department; Same BSC perspective
- REC-C01 | Tasa de finalización/retención de participantes | 2026=87.0% | baseline=76.0% | momentum=+14.5% | status=Strong improvement | relation=Same strategic objective; Same department; Same BSC perspective
- OPS-006 | Beneficiarios que alcanzan competencia deportiva inicial | 2026=72.0% | baseline=61.0% | momentum=+18.0% | status=Strong improvement | relation=Same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6" s="20" t="str">
        <x:v>Analyze the selected KPI using only the supplied context. Explain what is changing, what related KPIs matter, what should be investigated first, and recommend a concrete next action.</x:v>
      </x:c>
      <x:c r="G16" s="20" t="str">
        <x:v>1) Diagnosis; 2) Evidence; 3) Likely Drivers; 4) Recommended Action; 5) Confidence &amp; Data Gaps</x:v>
      </x:c>
      <x:c r="H16" s="20" t="str">
        <x:v>PROTOTYPE ONLY — synthetic data; human approval required.</x:v>
      </x:c>
    </x:row>
    <x:row r="17" ht="90" customHeight="1">
      <x:c r="A17" s="20" t="str">
        <x:v>OPS-003</x:v>
      </x:c>
      <x:c r="B17" s="20" t="str">
        <x:v>Mejora de habilidades psicosociales</x:v>
      </x:c>
      <x:c r="C17" s="20" t="str">
        <x:v>Operaciones</x:v>
      </x:c>
      <x:c r="D17" s="20" t="str">
        <x:v>S1. Generar impacto integral y medible</x:v>
      </x:c>
      <x:c r="E17" s="20" t="str">
        <x:v>SELECTED KPI
KPI_ID: OPS-003
KPI: Mejora de habilidades psicosociales
Department: Operaciones
BSC Perspective: Resultados estratégicos
Strategic Objective: S1. Generar impacto integral y medible
Owner: Operaciones
Purpose: Medir outcome psicosocial real.
Formula: Cambio porcentual promedio pre–post en instrumento psicosocial validado
Direction: ↑ | Unit: % | Frequency: Por cohorte / cierre de programa
2023: 19.5% | 2024: 23.4% | 2025: 27.0% | 2026: 30.6%
3Y Baseline: 23.3% | Target 2026: ≥30%
Direction-adjusted momentum: +31.3% | Status: Strong improvement
Warning threshold: 20–29.9% | Critical threshold: &lt;20%
Underlying 2026 values: Cambio porcentual promedio pre–post en instrumento psicosocial validado = 30.6%
Static action from catalog: Revisar desviación y definir acción correctiva cuando no se alcance la meta.
Anti-gaming control: Mismo instrumento y ventana pre/post; reportar tamaño de muestra y pérdida de seguimiento.
RELATED KPI CONTEXT
- OPS-004 | Mejora de habilidades deportivas | 2026=30.6% | baseline=23.3% | momentum=+31.3% | status=Strong improvement | relation=Same strategic objective; Same department; Same BSC perspective
- OPS-005 | Incremento del tiempo de actividad física de beneficiarios | 2026=30.6% | baseline=23.3% | momentum=+31.3% | status=Strong improvement | relation=Same strategic objective; Same department; Same BSC perspective
- OPS-010 | Incremento de actividad física — programa de nutrición | 2026=62.0% | baseline=51.0% | momentum=+21.6% | status=Strong improvement | relation=Same strategic objective; Same department; Same BSC perspective
- REC-C02 | Beneficiarios con mejora significativa en el outcome principal | 2026=88.0% | baseline=74.3% | momentum=+18.4% | status=Strong improvement | relation=Strategic-map adjacent objective; Same department
- OPS-002 | Asistencia regular de beneficiarios | 2026=82.0% | baseline=71.0% | momentum=+15.5% | status=Strong improvement | relation=Strategic-map adjacent objective; Same department
- OPS-010B | Cobertura de acceso al suplemento nutricional | 2026=100.0% | baseline=89.0% | momentum=+12.4% | status=Strong improvement | relation=Same strategic objective; Same department; Same BSC perspective
- OPS-006 | Beneficiarios que alcanzan competencia deportiva inicial | 2026=72.0% | baseline=61.0% | momentum=+18.0% | status=Strong improvement | relation=Strategic-map adjacent objective; Same department
- REC-S01 | Programas que alcanzan su meta principal de impacto | 2026=93.3% | baseline=81.8% | momentum=+14.1%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7" s="20" t="str">
        <x:v>Analyze the selected KPI using only the supplied context. Explain what is changing, what related KPIs matter, what should be investigated first, and recommend a concrete next action.</x:v>
      </x:c>
      <x:c r="G17" s="20" t="str">
        <x:v>1) Diagnosis; 2) Evidence; 3) Likely Drivers; 4) Recommended Action; 5) Confidence &amp; Data Gaps</x:v>
      </x:c>
      <x:c r="H17" s="20" t="str">
        <x:v>PROTOTYPE ONLY — synthetic data; human approval required.</x:v>
      </x:c>
    </x:row>
    <x:row r="18" ht="90" customHeight="1">
      <x:c r="A18" s="20" t="str">
        <x:v>OPS-004</x:v>
      </x:c>
      <x:c r="B18" s="20" t="str">
        <x:v>Mejora de habilidades deportivas</x:v>
      </x:c>
      <x:c r="C18" s="20" t="str">
        <x:v>Operaciones</x:v>
      </x:c>
      <x:c r="D18" s="20" t="str">
        <x:v>S1. Generar impacto integral y medible</x:v>
      </x:c>
      <x:c r="E18" s="20" t="str">
        <x:v>SELECTED KPI
KPI_ID: OPS-004
KPI: Mejora de habilidades deportivas
Department: Operaciones
BSC Perspective: Resultados estratégicos
Strategic Objective: S1. Generar impacto integral y medible
Owner: Operaciones
Purpose: Medir desarrollo deportivo real.
Formula: Cambio porcentual promedio pre–post en evaluación deportiva estandarizada
Direction: ↑ | Unit: % | Frequency: Por cohorte / cierre de programa
2023: 19.5% | 2024: 23.4% | 2025: 27.0% | 2026: 30.6%
3Y Baseline: 23.3% | Target 2026: ≥30%
Direction-adjusted momentum: +31.3% | Status: Strong improvement
Warning threshold: 20–29.9% | Critical threshold: &lt;20%
Underlying 2026 values: Cambio porcentual promedio pre–post en evaluación deportiva estandarizada = 30.6%
Static action from catalog: Revisar desviación y definir acción correctiva cuando no se alcance la meta.
Anti-gaming control: Evaluadores capacitados, rúbrica estable y registro de datos faltantes.
RELATED KPI CONTEXT
- OPS-003 | Mejora de habilidades psicosociales | 2026=30.6% | baseline=23.3% | momentum=+31.3% | status=Strong improvement | relation=Same strategic objective; Same department; Same BSC perspective
- OPS-005 | Incremento del tiempo de actividad física de beneficiarios | 2026=30.6% | baseline=23.3% | momentum=+31.3% | status=Strong improvement | relation=Same strategic objective; Same department; Same BSC perspective
- OPS-010 | Incremento de actividad física — programa de nutrición | 2026=62.0% | baseline=51.0% | momentum=+21.6% | status=Strong improvement | relation=Same strategic objective; Same department; Same BSC perspective
- REC-C02 | Beneficiarios con mejora significativa en el outcome principal | 2026=88.0% | baseline=74.3% | momentum=+18.4% | status=Strong improvement | relation=Strategic-map adjacent objective; Same department
- OPS-002 | Asistencia regular de beneficiarios | 2026=82.0% | baseline=71.0% | momentum=+15.5% | status=Strong improvement | relation=Strategic-map adjacent objective; Same department
- OPS-010B | Cobertura de acceso al suplemento nutricional | 2026=100.0% | baseline=89.0% | momentum=+12.4% | status=Strong improvement | relation=Same strategic objective; Same department; Same BSC perspective
- OPS-006 | Beneficiarios que alcanzan competencia deportiva inicial | 2026=72.0% | baseline=61.0% | momentum=+18.0% | status=Strong improvement | relation=Strategic-map adjacent objective; Same department
- REC-S01 | Programas que alcanzan su meta principal de impacto | 2026=93.3% | baseline=81.8% | momentum=+14.1%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8" s="20" t="str">
        <x:v>Analyze the selected KPI using only the supplied context. Explain what is changing, what related KPIs matter, what should be investigated first, and recommend a concrete next action.</x:v>
      </x:c>
      <x:c r="G18" s="20" t="str">
        <x:v>1) Diagnosis; 2) Evidence; 3) Likely Drivers; 4) Recommended Action; 5) Confidence &amp; Data Gaps</x:v>
      </x:c>
      <x:c r="H18" s="20" t="str">
        <x:v>PROTOTYPE ONLY — synthetic data; human approval required.</x:v>
      </x:c>
    </x:row>
    <x:row r="19" ht="90" customHeight="1">
      <x:c r="A19" s="20" t="str">
        <x:v>OPS-005</x:v>
      </x:c>
      <x:c r="B19" s="20" t="str">
        <x:v>Incremento del tiempo de actividad física de beneficiarios</x:v>
      </x:c>
      <x:c r="C19" s="20" t="str">
        <x:v>Operaciones</x:v>
      </x:c>
      <x:c r="D19" s="20" t="str">
        <x:v>S1. Generar impacto integral y medible</x:v>
      </x:c>
      <x:c r="E19" s="20" t="str">
        <x:v>SELECTED KPI
KPI_ID: OPS-005
KPI: Incremento del tiempo de actividad física de beneficiarios
Department: Operaciones
BSC Perspective: Resultados estratégicos
Strategic Objective: S1. Generar impacto integral y medible
Owner: Operaciones
Purpose: Medir cambio conductual, no duración programada de las sesiones.
Formula: (Minutos promedio post − minutos promedio baseline) ÷ minutos promedio baseline × 100
Direction: ↑ | Unit: % | Frequency: Por cohorte
2023: 19.5% | 2024: 23.4% | 2025: 27.0% | 2026: 30.6%
3Y Baseline: 23.3% | Target 2026: ≥30%
Direction-adjusted momentum: +31.3% | Status: Strong improvement
Warning threshold: 20–29.9% | Critical threshold: &lt;20%
Underlying 2026 values: Minutos promedio post = 142.35 minutos; minutos promedio baseline = 109.00 minutos
Static action from catalog: Revisar desviación y definir acción correctiva cuando no se alcance la meta.
Anti-gaming control: Usar método de medición consistente y distinguir actividad en sesión vs actividad total semanal.
RELATED KPI CONTEXT
- OPS-003 | Mejora de habilidades psicosociales | 2026=30.6% | baseline=23.3% | momentum=+31.3% | status=Strong improvement | relation=Same strategic objective; Same department; Same BSC perspective
- OPS-004 | Mejora de habilidades deportivas | 2026=30.6% | baseline=23.3% | momentum=+31.3% | status=Strong improvement | relation=Same strategic objective; Same department; Same BSC perspective
- OPS-010 | Incremento de actividad física — programa de nutrición | 2026=62.0% | baseline=51.0% | momentum=+21.6% | status=Strong improvement | relation=Same strategic objective; Same department; Same BSC perspective
- REC-C02 | Beneficiarios con mejora significativa en el outcome principal | 2026=88.0% | baseline=74.3% | momentum=+18.4% | status=Strong improvement | relation=Strategic-map adjacent objective; Same department
- OPS-002 | Asistencia regular de beneficiarios | 2026=82.0% | baseline=71.0% | momentum=+15.5% | status=Strong improvement | relation=Strategic-map adjacent objective; Same department
- OPS-010B | Cobertura de acceso al suplemento nutricional | 2026=100.0% | baseline=89.0% | momentum=+12.4% | status=Strong improvement | relation=Same strategic objective; Same department; Same BSC perspective
- OPS-006 | Beneficiarios que alcanzan competencia deportiva inicial | 2026=72.0% | baseline=61.0% | momentum=+18.0% | status=Strong improvement | relation=Strategic-map adjacent objective; Same department
- REC-S01 | Programas que alcanzan su meta principal de impacto | 2026=93.3% | baseline=81.8% | momentum=+14.1%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9" s="20" t="str">
        <x:v>Analyze the selected KPI using only the supplied context. Explain what is changing, what related KPIs matter, what should be investigated first, and recommend a concrete next action.</x:v>
      </x:c>
      <x:c r="G19" s="20" t="str">
        <x:v>1) Diagnosis; 2) Evidence; 3) Likely Drivers; 4) Recommended Action; 5) Confidence &amp; Data Gaps</x:v>
      </x:c>
      <x:c r="H19" s="20" t="str">
        <x:v>PROTOTYPE ONLY — synthetic data; human approval required.</x:v>
      </x:c>
    </x:row>
    <x:row r="20" ht="90" customHeight="1">
      <x:c r="A20" s="20" t="str">
        <x:v>OPS-006</x:v>
      </x:c>
      <x:c r="B20" s="20" t="str">
        <x:v>Beneficiarios que alcanzan competencia deportiva inicial</x:v>
      </x:c>
      <x:c r="C20" s="20" t="str">
        <x:v>Operaciones</x:v>
      </x:c>
      <x:c r="D20" s="20" t="str">
        <x:v>C2. Mejorar resultados obtenidos</x:v>
      </x:c>
      <x:c r="E20" s="20" t="str">
        <x:v>SELECTED KPI
KPI_ID: OPS-006
KPI: Beneficiarios que alcanzan competencia deportiva inicial
Department: Operaciones
BSC Perspective: Beneficiarios y grupos de interés
Strategic Objective: C2. Mejorar resultados obtenidos
Owner: Operaciones
Purpose: Convertir el '70% de habilidad' en una proporción interpretable.
Formula: Beneficiarios que alcanzan el umbral de competencia inicial ÷ beneficiarios evaluados × 100
Direction: ↑ | Unit: % | Frequency: Por cohorte
2023: 56.0% | 2024: 61.0% | 2025: 66.0% | 2026: 72.0%
3Y Baseline: 61.0% | Target 2026: ≥70%
Direction-adjusted momentum: +18.0% | Status: Strong improvement
Warning threshold: 60–69.9% | Critical threshold: &lt;60%
Underlying 2026 values: Beneficiarios que alcanzan el umbral de competencia inicial = 810 # / base; beneficiarios evaluados = 1,125 # / base
Static action from catalog: Revisar desviación y definir acción correctiva cuando no se alcance la meta.
Anti-gaming control: Definir umbral antes del programa y mantener rúbrica común.
RELATED KPI CONTEXT
- REC-C02 | Beneficiarios con mejora significativa en el outcome principal | 2026=88.0% | baseline=74.3% | momentum=+18.4% | status=Strong improvement | relation=Same strategic objective; Same department; Same BSC perspective
- OPS-009 | Cobertura de seguimiento nutricional con registros completos | 2026=96.0% | baseline=84.0% | momentum=+14.3% | status=Strong improvement | relation=Strategic-map adjacent objective; Same department
- OPS-012 | Países con plan de escalamiento de nutrición listo para 2027 | 2026=100.0% | baseline=91.7% | momentum=+9.1% | status=Improving | relation=Strategic-map adjacent objective; Same department
- OPS-019 | Proyectos OSC con seguimiento y reporte de resultados aprobado | 2026=100.0% | baseline=89.0% | momentum=+12.4% | status=Strong improvement | relation=Strategic-map adjacent objective; Same department
- OPS-003 | Mejora de habilidades psicosociales | 2026=30.6% | baseline=23.3% | momentum=+31.3% | status=Strong improvement | relation=Strategic-map adjacent objective; Same department
- OPS-002 | Asistencia regular de beneficiarios | 2026=82.0% | baseline=71.0% | momentum=+15.5% | status=Strong improvement | relation=Same department; Same BSC perspective
- OPS-004 | Mejora de habilidades deportivas | 2026=30.6% | baseline=23.3% | momentum=+31.3% | status=Strong improvement | relation=Strategic-map adjacent objective; Same department
- OPS-005 | Incremento del tiempo de actividad física de beneficiarios | 2026=30.6% | baseline=23.3% | momentum=+31.3% | status=Strong improvement | relation=Strategic-map adjacent objective; Same department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20" s="20" t="str">
        <x:v>Analyze the selected KPI using only the supplied context. Explain what is changing, what related KPIs matter, what should be investigated first, and recommend a concrete next action.</x:v>
      </x:c>
      <x:c r="G20" s="20" t="str">
        <x:v>1) Diagnosis; 2) Evidence; 3) Likely Drivers; 4) Recommended Action; 5) Confidence &amp; Data Gaps</x:v>
      </x:c>
      <x:c r="H20" s="20" t="str">
        <x:v>PROTOTYPE ONLY — synthetic data; human approval required.</x:v>
      </x:c>
    </x:row>
    <x:row r="21" ht="90" customHeight="1">
      <x:c r="A21" s="20" t="str">
        <x:v>OPS-008</x:v>
      </x:c>
      <x:c r="B21" s="20" t="str">
        <x:v>Cobertura del piloto de nutrición infantil</x:v>
      </x:c>
      <x:c r="C21" s="20" t="str">
        <x:v>Operaciones</x:v>
      </x:c>
      <x:c r="D21" s="20" t="str">
        <x:v>C1. Incrementar alcance y acceso</x:v>
      </x:c>
      <x:c r="E21" s="20" t="str">
        <x:v>SELECTED KPI
KPI_ID: OPS-008
KPI: Cobertura del piloto de nutrición infantil
Department: Operaciones
BSC Perspective: Beneficiarios y grupos de interés
Strategic Objective: C1. Incrementar alcance y acceso
Owner: Operaciones
Purpose: Medir cobertura del piloto; la comunidad es un hito, no un KPI.
Formula: NNA incorporados al piloto ÷ meta de participantes × 100
Direction: ↑ | Unit: % | Frequency: Mensual durante implementación
2023: 84.0% | 2024: 88.9% | 2025: 94.0% | 2026: 100.0%
3Y Baseline: 89.0% | Target 2026: 100%
Direction-adjusted momentum: +12.4% | Status: Strong improvement
Warning threshold: 90–99% | Critical threshold: &lt;90%
Underlying 2026 values: NNA incorporados al piloto = 125 # / base; meta de participantes = 125 # / base
Static action from catalog: Revisar desviación y definir acción correctiva cuando no se alcance la meta.
Anti-gaming control: Contar sólo participantes con alta y medición basal.
RELATED KPI CONTEXT
- OPS-002 | Asistencia regular de beneficiarios | 2026=82.0% | baseline=71.0% | momentum=+15.5% | status=Strong improvement | relation=Same strategic objective; Same department; Same BSC perspective
- OPS-013 | Cumplimiento de cobertura — Sueña Chivas Estadio | 2026=100.0% | baseline=89.0% | momentum=+12.4% | status=Strong improvement | relation=Same strategic objective; Same department; Same BSC perspective
- OPS-014 | Cumplimiento de cobertura — Sueña Chivas Tour | 2026=100.0% | baseline=89.0% | momentum=+12.4% | status=Strong improvement | relation=Same strategic objective; Same department; Same BSC perspective
- OPS-012 | Países con plan de escalamiento de nutrición listo para 2027 | 2026=100.0% | baseline=91.7% | momentum=+9.1% | status=Improving | relation=Strategic-map adjacent objective; Same department
- OPS-001 | Países con operación programática activa según modelo definido | 2026=4 # países | baseline=3 # países | momentum=+50.0% | status=Strong improvement | relation=Strategic-map adjacent objective; Same department
- OPS-015 | Sueña Chivas Individuales completados | 2026=12 # | baseline=9 # | momentum=+28.6% | status=Strong improvement | relation=Same strategic objective; Same department; Same BSC perspective
- REC-C01 | Tasa de finalización/retención de participantes | 2026=87.0% | baseline=76.0% | momentum=+14.5% | status=Strong improvement | relation=Same strategic objective; Same department; Same BSC perspective
- OPS-006 | Beneficiarios que alcanzan competencia deportiva inicial | 2026=72.0% | baseline=61.0% | momentum=+18.0% | status=Strong improvement | relation=Same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21" s="20" t="str">
        <x:v>Analyze the selected KPI using only the supplied context. Explain what is changing, what related KPIs matter, what should be investigated first, and recommend a concrete next action.</x:v>
      </x:c>
      <x:c r="G21" s="20" t="str">
        <x:v>1) Diagnosis; 2) Evidence; 3) Likely Drivers; 4) Recommended Action; 5) Confidence &amp; Data Gaps</x:v>
      </x:c>
      <x:c r="H21" s="20" t="str">
        <x:v>PROTOTYPE ONLY — synthetic data; human approval required.</x:v>
      </x:c>
    </x:row>
    <x:row r="22" ht="90" customHeight="1">
      <x:c r="A22" s="20" t="str">
        <x:v>OPS-009</x:v>
      </x:c>
      <x:c r="B22" s="20" t="str">
        <x:v>Cobertura de seguimiento nutricional con registros completos</x:v>
      </x:c>
      <x:c r="C22" s="20" t="str">
        <x:v>Operaciones</x:v>
      </x:c>
      <x:c r="D22" s="20" t="str">
        <x:v>P2. Fortalecer medición de impacto</x:v>
      </x:c>
      <x:c r="E22" s="20" t="str">
        <x:v>SELECTED KPI
KPI_ID: OPS-009
KPI: Cobertura de seguimiento nutricional con registros completos
Department: Operaciones
BSC Perspective: Procesos internos
Strategic Objective: P2. Fortalecer medición de impacto
Owner: Operaciones
Purpose: Asegurar calidad del dato para evaluar impacto del piloto.
Formula: Participantes con mediciones periódicas completas ÷ participantes activos elegibles × 100
Direction: ↑ | Unit: % | Frequency: Mensual
2023: 79.0% | 2024: 84.3% | 2025: 88.8% | 2026: 96.0%
3Y Baseline: 84.0% | Target 2026: ≥95%
Direction-adjusted momentum: +14.3% | Status: Strong improvement
Warning threshold: 90–94.9% | Critical threshold: &lt;90%
Underlying 2026 values: Participantes con mediciones periódicas completas = 120 # / base; participantes activos elegibles = 125 # / base
Static action from catalog: Revisar desviación y definir acción correctiva cuando no se alcance la meta.
Anti-gaming control: Definir campos obligatorios y no considerar 'completo' un registro con mediciones críticas faltantes.
RELATED KPI CONTEXT
- OPS-019 | Proyectos OSC con seguimiento y reporte de resultados aprobado | 2026=100.0% | baseline=89.0% | momentum=+12.4% | status=Strong improvement | relation=Same strategic objective; Same department; Same BSC perspective
- REC-P02 | Cobertura de medición de impacto | 2026=100.0% | baseline=89.0% | momentum=+12.4% | status=Strong improvement | relation=Same strategic objective; Same department; Same BSC perspective
- MKT-002 | Acciones de mejora derivadas de analítica implementadas en plazo | 2026=82.1% | baseline=71.7% | momentum=+14.6% | status=Strong improvement | relation=Same strategic objective; Same BSC perspective
- OPS-006 | Beneficiarios que alcanzan competencia deportiva inicial | 2026=72.0% | baseline=61.0% | momentum=+18.0% | status=Strong improvement | relation=Strategic-map adjacent objective; Same department
- OPS-003 | Mejora de habilidades psicosociales | 2026=30.6% | baseline=23.3% | momentum=+31.3% | status=Strong improvement | relation=Strategic-map adjacent objective; Same department
- OPS-004 | Mejora de habilidades deportivas | 2026=30.6% | baseline=23.3% | momentum=+31.3% | status=Strong improvement | relation=Strategic-map adjacent objective; Same department
- OPS-005 | Incremento del tiempo de actividad física de beneficiarios | 2026=30.6% | baseline=23.3% | momentum=+31.3% | status=Strong improvement | relation=Strategic-map adjacent objective; Same department
- OPS-012 | Países con plan de escalamiento de nutrición listo para 2027 | 2026=100.0% | baseline=91.7% | momentum=+9.1% | status=Improving | relation=Same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22" s="20" t="str">
        <x:v>Analyze the selected KPI using only the supplied context. Explain what is changing, what related KPIs matter, what should be investigated first, and recommend a concrete next action.</x:v>
      </x:c>
      <x:c r="G22" s="20" t="str">
        <x:v>1) Diagnosis; 2) Evidence; 3) Likely Drivers; 4) Recommended Action; 5) Confidence &amp; Data Gaps</x:v>
      </x:c>
      <x:c r="H22" s="20" t="str">
        <x:v>PROTOTYPE ONLY — synthetic data; human approval required.</x:v>
      </x:c>
    </x:row>
    <x:row r="23" ht="90" customHeight="1">
      <x:c r="A23" s="20" t="str">
        <x:v>OPS-010</x:v>
      </x:c>
      <x:c r="B23" s="20" t="str">
        <x:v>Incremento de actividad física — programa de nutrición</x:v>
      </x:c>
      <x:c r="C23" s="20" t="str">
        <x:v>Operaciones</x:v>
      </x:c>
      <x:c r="D23" s="20" t="str">
        <x:v>S1. Generar impacto integral y medible</x:v>
      </x:c>
      <x:c r="E23" s="20" t="str">
        <x:v>SELECTED KPI
KPI_ID: OPS-010
KPI: Incremento de actividad física — programa de nutrición
Department: Operaciones
BSC Perspective: Resultados estratégicos
Strategic Objective: S1. Generar impacto integral y medible
Owner: Operaciones
Purpose: Separar el outcome de actividad física del acceso a suplemento.
Formula: (Actividad física post − baseline) ÷ baseline × 100
Direction: ↑ | Unit: % | Frequency: Por cohorte
2023: 46.0% | 2024: 51.0% | 2025: 56.0% | 2026: 62.0%
3Y Baseline: 51.0% | Target 2026: ≥60%
Direction-adjusted momentum: +21.6% | Status: Strong improvement
Warning threshold: 40–59.9% | Critical threshold: &lt;40%
Underlying 2026 values: Actividad física post = 177 # / base; baseline = 109 # / base
Static action from catalog: Revisar desviación y definir acción correctiva cuando no se alcance la meta.
Anti-gaming control: Misma métrica pre/post; reportar adherencia y pérdidas.
RELATED KPI CONTEXT
- OPS-003 | Mejora de habilidades psicosociales | 2026=30.6% | baseline=23.3% | momentum=+31.3% | status=Strong improvement | relation=Same strategic objective; Same department; Same BSC perspective
- OPS-004 | Mejora de habilidades deportivas | 2026=30.6% | baseline=23.3% | momentum=+31.3% | status=Strong improvement | relation=Same strategic objective; Same department; Same BSC perspective
- OPS-005 | Incremento del tiempo de actividad física de beneficiarios | 2026=30.6% | baseline=23.3% | momentum=+31.3% | status=Strong improvement | relation=Same strategic objective; Same department; Same BSC perspective
- REC-C02 | Beneficiarios con mejora significativa en el outcome principal | 2026=88.0% | baseline=74.3% | momentum=+18.4% | status=Strong improvement | relation=Strategic-map adjacent objective; Same department
- OPS-002 | Asistencia regular de beneficiarios | 2026=82.0% | baseline=71.0% | momentum=+15.5% | status=Strong improvement | relation=Strategic-map adjacent objective; Same department
- OPS-010B | Cobertura de acceso al suplemento nutricional | 2026=100.0% | baseline=89.0% | momentum=+12.4% | status=Strong improvement | relation=Same strategic objective; Same department; Same BSC perspective
- OPS-006 | Beneficiarios que alcanzan competencia deportiva inicial | 2026=72.0% | baseline=61.0% | momentum=+18.0% | status=Strong improvement | relation=Strategic-map adjacent objective; Same department
- REC-S01 | Programas que alcanzan su meta principal de impacto | 2026=93.3% | baseline=81.8% | momentum=+14.1%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23" s="20" t="str">
        <x:v>Analyze the selected KPI using only the supplied context. Explain what is changing, what related KPIs matter, what should be investigated first, and recommend a concrete next action.</x:v>
      </x:c>
      <x:c r="G23" s="20" t="str">
        <x:v>1) Diagnosis; 2) Evidence; 3) Likely Drivers; 4) Recommended Action; 5) Confidence &amp; Data Gaps</x:v>
      </x:c>
      <x:c r="H23" s="20" t="str">
        <x:v>PROTOTYPE ONLY — synthetic data; human approval required.</x:v>
      </x:c>
    </x:row>
    <x:row r="24" ht="90" customHeight="1">
      <x:c r="A24" s="20" t="str">
        <x:v>OPS-012</x:v>
      </x:c>
      <x:c r="B24" s="20" t="str">
        <x:v>Países con plan de escalamiento de nutrición listo para 2027</x:v>
      </x:c>
      <x:c r="C24" s="20" t="str">
        <x:v>Operaciones</x:v>
      </x:c>
      <x:c r="D24" s="20" t="str">
        <x:v>P1. Estandarizar y escalar programas</x:v>
      </x:c>
      <x:c r="E24" s="20" t="str">
        <x:v>SELECTED KPI
KPI_ID: OPS-012
KPI: Países con plan de escalamiento de nutrición listo para 2027
Department: Operaciones
BSC Perspective: Procesos internos
Strategic Objective: P1. Estandarizar y escalar programas
Owner: Operaciones
Purpose: Medir readiness de expansión, no sólo producir documentos.
Formula: Países objetivo con plan operativo aprobado y listo para ejecución ÷ países objetivo × 100
Direction: ↑ | Unit: % | Frequency: Trimestral
2023: 75.0% | 2024: 100.0% | 2025: 100.0% | 2026: 100.0%
3Y Baseline: 91.7% | Target 2026: 100% (2 de 2)
Direction-adjusted momentum: +9.1% | Status: Improving
Warning threshold: &lt;100% al Q4 | Critical threshold: &lt;50% al Q4
Underlying 2026 values: Países objetivo con plan operativo aprobado y listo para ejecución = 4 # / base; países objetivo = 4 # / base
Static action from catalog: Revisar desviación y definir acción correctiva cuando no se alcance la meta.
Anti-gaming control: Plan 'listo' exige presupuesto preliminar, aliados/requisitos y responsable identificado.
RELATED KPI CONTEXT
- REC-P01 | Programas ejecutados conforme al plan | 2026=93.3% | baseline=81.8% | momentum=+14.1% | status=Strong improvement | relation=Same strategic objective; Same department; Same BSC perspective
- OPS-002 | Asistencia regular de beneficiarios | 2026=82.0% | baseline=71.0% | momentum=+15.5% | status=Strong improvement | relation=Strategic-map adjacent objective; Same department
- OPS-006 | Beneficiarios que alcanzan competencia deportiva inicial | 2026=72.0% | baseline=61.0% | momentum=+18.0% | status=Strong improvement | relation=Strategic-map adjacent objective; Same department
- OPS-008 | Cobertura del piloto de nutrición infantil | 2026=100.0% | baseline=89.0% | momentum=+12.4% | status=Strong improvement | relation=Strategic-map adjacent objective; Same department
- OPS-013 | Cumplimiento de cobertura — Sueña Chivas Estadio | 2026=100.0% | baseline=89.0% | momentum=+12.4% | status=Strong improvement | relation=Strategic-map adjacent objective; Same department
- OPS-009 | Cobertura de seguimiento nutricional con registros completos | 2026=96.0% | baseline=84.0% | momentum=+14.3% | status=Strong improvement | relation=Same department; Same BSC perspective
- OPS-014 | Cumplimiento de cobertura — Sueña Chivas Tour | 2026=100.0% | baseline=89.0% | momentum=+12.4% | status=Strong improvement | relation=Strategic-map adjacent objective; Same department
- OPS-015 | Sueña Chivas Individuales completados | 2026=12 # | baseline=9 # | momentum=+28.6% | status=Strong improvement | relation=Strategic-map adjacent objective; Same department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24" s="20" t="str">
        <x:v>Analyze the selected KPI using only the supplied context. Explain what is changing, what related KPIs matter, what should be investigated first, and recommend a concrete next action.</x:v>
      </x:c>
      <x:c r="G24" s="20" t="str">
        <x:v>1) Diagnosis; 2) Evidence; 3) Likely Drivers; 4) Recommended Action; 5) Confidence &amp; Data Gaps</x:v>
      </x:c>
      <x:c r="H24" s="20" t="str">
        <x:v>PROTOTYPE ONLY — synthetic data; human approval required.</x:v>
      </x:c>
    </x:row>
    <x:row r="25" ht="90" customHeight="1">
      <x:c r="A25" s="20" t="str">
        <x:v>OPS-013</x:v>
      </x:c>
      <x:c r="B25" s="20" t="str">
        <x:v>Cumplimiento de cobertura — Sueña Chivas Estadio</x:v>
      </x:c>
      <x:c r="C25" s="20" t="str">
        <x:v>Operaciones</x:v>
      </x:c>
      <x:c r="D25" s="20" t="str">
        <x:v>C1. Incrementar alcance y acceso</x:v>
      </x:c>
      <x:c r="E25" s="20" t="str">
        <x:v>SELECTED KPI
KPI_ID: OPS-013
KPI: Cumplimiento de cobertura — Sueña Chivas Estadio
Department: Operaciones
BSC Perspective: Beneficiarios y grupos de interés
Strategic Objective: C1. Incrementar alcance y acceso
Owner: Operaciones
Purpose: Medir cobertura real; eventos son driver operativo.
Formula: Participantes atendidos ÷ meta anual de participantes × 100
Direction: ↑ | Unit: % | Frequency: Mensual / acumulado
2023: 84.0% | 2024: 88.9% | 2025: 94.0% | 2026: 100.0%
3Y Baseline: 89.0% | Target 2026: 100% (3,200; 32 eventos)
Direction-adjusted momentum: +12.4% | Status: Strong improvement
Warning threshold: 90–99% | Critical threshold: &lt;90%
Underlying 2026 values: Participantes atendidos = 125 # / base; meta anual de participantes = 125 # / base
Static action from catalog: Revisar desviación y definir acción correctiva cuando no se alcance la meta.
Anti-gaming control: Evitar doble conteo de personas cuando la intención sea alcance único; reportar ambos si aplica.
RELATED KPI CONTEXT
- OPS-002 | Asistencia regular de beneficiarios | 2026=82.0% | baseline=71.0% | momentum=+15.5% | status=Strong improvement | relation=Same strategic objective; Same department; Same BSC perspective
- OPS-008 | Cobertura del piloto de nutrición infantil | 2026=100.0% | baseline=89.0% | momentum=+12.4% | status=Strong improvement | relation=Same strategic objective; Same department; Same BSC perspective
- OPS-014 | Cumplimiento de cobertura — Sueña Chivas Tour | 2026=100.0% | baseline=89.0% | momentum=+12.4% | status=Strong improvement | relation=Same strategic objective; Same department; Same BSC perspective
- OPS-012 | Países con plan de escalamiento de nutrición listo para 2027 | 2026=100.0% | baseline=91.7% | momentum=+9.1% | status=Improving | relation=Strategic-map adjacent objective; Same department
- OPS-001 | Países con operación programática activa según modelo definido | 2026=4 # países | baseline=3 # países | momentum=+50.0% | status=Strong improvement | relation=Strategic-map adjacent objective; Same department
- OPS-015 | Sueña Chivas Individuales completados | 2026=12 # | baseline=9 # | momentum=+28.6% | status=Strong improvement | relation=Same strategic objective; Same department; Same BSC perspective
- REC-C01 | Tasa de finalización/retención de participantes | 2026=87.0% | baseline=76.0% | momentum=+14.5% | status=Strong improvement | relation=Same strategic objective; Same department; Same BSC perspective
- OPS-006 | Beneficiarios que alcanzan competencia deportiva inicial | 2026=72.0% | baseline=61.0% | momentum=+18.0% | status=Strong improvement | relation=Same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25" s="20" t="str">
        <x:v>Analyze the selected KPI using only the supplied context. Explain what is changing, what related KPIs matter, what should be investigated first, and recommend a concrete next action.</x:v>
      </x:c>
      <x:c r="G25" s="20" t="str">
        <x:v>1) Diagnosis; 2) Evidence; 3) Likely Drivers; 4) Recommended Action; 5) Confidence &amp; Data Gaps</x:v>
      </x:c>
      <x:c r="H25" s="20" t="str">
        <x:v>PROTOTYPE ONLY — synthetic data; human approval required.</x:v>
      </x:c>
    </x:row>
    <x:row r="26" ht="90" customHeight="1">
      <x:c r="A26" s="20" t="str">
        <x:v>OPS-014</x:v>
      </x:c>
      <x:c r="B26" s="20" t="str">
        <x:v>Cumplimiento de cobertura — Sueña Chivas Tour</x:v>
      </x:c>
      <x:c r="C26" s="20" t="str">
        <x:v>Operaciones</x:v>
      </x:c>
      <x:c r="D26" s="20" t="str">
        <x:v>C1. Incrementar alcance y acceso</x:v>
      </x:c>
      <x:c r="E26" s="20" t="str">
        <x:v>SELECTED KPI
KPI_ID: OPS-014
KPI: Cumplimiento de cobertura — Sueña Chivas Tour
Department: Operaciones
BSC Perspective: Beneficiarios y grupos de interés
Strategic Objective: C1. Incrementar alcance y acceso
Owner: Operaciones
Purpose: Medir cobertura real del Tour.
Formula: Participantes atendidos ÷ meta anual de participantes × 100
Direction: ↑ | Unit: % | Frequency: Mensual / acumulado
2023: 84.0% | 2024: 88.9% | 2025: 94.0% | 2026: 100.0%
3Y Baseline: 89.0% | Target 2026: 100% (1,080; indicador fuente menciona 32 eventos)
Direction-adjusted momentum: +12.4% | Status: Strong improvement
Warning threshold: 90–99% | Critical threshold: &lt;90%
Underlying 2026 values: Participantes atendidos = 125 # / base; meta anual de participantes = 125 # / base
Static action from catalog: Revisar desviación y definir acción correctiva cuando no se alcance la meta.
Anti-gaming control: Mantener registro de participantes y comunidades para evitar duplicidades.
RELATED KPI CONTEXT
- OPS-002 | Asistencia regular de beneficiarios | 2026=82.0% | baseline=71.0% | momentum=+15.5% | status=Strong improvement | relation=Same strategic objective; Same department; Same BSC perspective
- OPS-008 | Cobertura del piloto de nutrición infantil | 2026=100.0% | baseline=89.0% | momentum=+12.4% | status=Strong improvement | relation=Same strategic objective; Same department; Same BSC perspective
- OPS-013 | Cumplimiento de cobertura — Sueña Chivas Estadio | 2026=100.0% | baseline=89.0% | momentum=+12.4% | status=Strong improvement | relation=Same strategic objective; Same department; Same BSC perspective
- OPS-012 | Países con plan de escalamiento de nutrición listo para 2027 | 2026=100.0% | baseline=91.7% | momentum=+9.1% | status=Improving | relation=Strategic-map adjacent objective; Same department
- OPS-001 | Países con operación programática activa según modelo definido | 2026=4 # países | baseline=3 # países | momentum=+50.0% | status=Strong improvement | relation=Strategic-map adjacent objective; Same department
- OPS-015 | Sueña Chivas Individuales completados | 2026=12 # | baseline=9 # | momentum=+28.6% | status=Strong improvement | relation=Same strategic objective; Same department; Same BSC perspective
- REC-C01 | Tasa de finalización/retención de participantes | 2026=87.0% | baseline=76.0% | momentum=+14.5% | status=Strong improvement | relation=Same strategic objective; Same department; Same BSC perspective
- OPS-006 | Beneficiarios que alcanzan competencia deportiva inicial | 2026=72.0% | baseline=61.0% | momentum=+18.0% | status=Strong improvement | relation=Same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26" s="20" t="str">
        <x:v>Analyze the selected KPI using only the supplied context. Explain what is changing, what related KPIs matter, what should be investigated first, and recommend a concrete next action.</x:v>
      </x:c>
      <x:c r="G26" s="20" t="str">
        <x:v>1) Diagnosis; 2) Evidence; 3) Likely Drivers; 4) Recommended Action; 5) Confidence &amp; Data Gaps</x:v>
      </x:c>
      <x:c r="H26" s="20" t="str">
        <x:v>PROTOTYPE ONLY — synthetic data; human approval required.</x:v>
      </x:c>
    </x:row>
    <x:row r="27" ht="90" customHeight="1">
      <x:c r="A27" s="20" t="str">
        <x:v>OPS-015</x:v>
      </x:c>
      <x:c r="B27" s="20" t="str">
        <x:v>Sueña Chivas Individuales completados</x:v>
      </x:c>
      <x:c r="C27" s="20" t="str">
        <x:v>Operaciones</x:v>
      </x:c>
      <x:c r="D27" s="20" t="str">
        <x:v>C1. Incrementar alcance y acceso</x:v>
      </x:c>
      <x:c r="E27" s="20" t="str">
        <x:v>SELECTED KPI
KPI_ID: OPS-015
KPI: Sueña Chivas Individuales completados
Department: Operaciones
BSC Perspective: Beneficiarios y grupos de interés
Strategic Objective: C1. Incrementar alcance y acceso
Owner: Operaciones
Purpose: Medir cumplimiento del objetivo anual de experiencias individuales.
Formula: Número de experiencias individuales completadas conforme a protocolo
Direction: ↑ | Unit: # | Frequency: Mensual / acumulado
2023: 8 # | 2024: 9 # | 2025: 11 # | 2026: 12 #
3Y Baseline: 9 # | Target 2026: ≥12
Direction-adjusted momentum: +28.6% | Status: Strong improvement
Warning threshold: &lt;12 al Q4 | Critical threshold: &lt;10 al Q4
Underlying 2026 values: Número de experiencias individuales completadas conforme a protocolo = 12 #
Static action from catalog: Revisar desviación y definir acción correctiva cuando no se alcance la meta.
Anti-gaming control: Contar sólo experiencias completadas y documentadas; reportar cancelaciones por separado.
RELATED KPI CONTEXT
- OPS-002 | Asistencia regular de beneficiarios | 2026=82.0% | baseline=71.0% | momentum=+15.5% | status=Strong improvement | relation=Same strategic objective; Same department; Same BSC perspective
- OPS-008 | Cobertura del piloto de nutrición infantil | 2026=100.0% | baseline=89.0% | momentum=+12.4% | status=Strong improvement | relation=Same strategic objective; Same department; Same BSC perspective
- OPS-013 | Cumplimiento de cobertura — Sueña Chivas Estadio | 2026=100.0% | baseline=89.0% | momentum=+12.4% | status=Strong improvement | relation=Same strategic objective; Same department; Same BSC perspective
- OPS-012 | Países con plan de escalamiento de nutrición listo para 2027 | 2026=100.0% | baseline=91.7% | momentum=+9.1% | status=Improving | relation=Strategic-map adjacent objective; Same department
- OPS-001 | Países con operación programática activa según modelo definido | 2026=4 # países | baseline=3 # países | momentum=+50.0% | status=Strong improvement | relation=Strategic-map adjacent objective; Same department
- OPS-014 | Cumplimiento de cobertura — Sueña Chivas Tour | 2026=100.0% | baseline=89.0% | momentum=+12.4% | status=Strong improvement | relation=Same strategic objective; Same department; Same BSC perspective
- REC-C01 | Tasa de finalización/retención de participantes | 2026=87.0% | baseline=76.0% | momentum=+14.5% | status=Strong improvement | relation=Same strategic objective; Same department; Same BSC perspective
- OPS-006 | Beneficiarios que alcanzan competencia deportiva inicial | 2026=72.0% | baseline=61.0% | momentum=+18.0% | status=Strong improvement | relation=Same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27" s="20" t="str">
        <x:v>Analyze the selected KPI using only the supplied context. Explain what is changing, what related KPIs matter, what should be investigated first, and recommend a concrete next action.</x:v>
      </x:c>
      <x:c r="G27" s="20" t="str">
        <x:v>1) Diagnosis; 2) Evidence; 3) Likely Drivers; 4) Recommended Action; 5) Confidence &amp; Data Gaps</x:v>
      </x:c>
      <x:c r="H27" s="20" t="str">
        <x:v>PROTOTYPE ONLY — synthetic data; human approval required.</x:v>
      </x:c>
    </x:row>
    <x:row r="28" ht="90" customHeight="1">
      <x:c r="A28" s="20" t="str">
        <x:v>OPS-016</x:v>
      </x:c>
      <x:c r="B28" s="20" t="str">
        <x:v>Proyectos OSC financiados conforme a reglas de operación</x:v>
      </x:c>
      <x:c r="C28" s="20" t="str">
        <x:v>Operaciones</x:v>
      </x:c>
      <x:c r="D28" s="20" t="str">
        <x:v>P6. Construir ecosistema de alianzas</x:v>
      </x:c>
      <x:c r="E28" s="20" t="str">
        <x:v>SELECTED KPI
KPI_ID: OPS-016
KPI: Proyectos OSC financiados conforme a reglas de operación
Department: Operaciones
BSC Perspective: Procesos internos
Strategic Objective: P6. Construir ecosistema de alianzas
Owner: Operaciones
Purpose: Medir resultado del proceso de convocatoria, no existencia del documento base.
Formula: Número de proyectos OSC aprobados, formalizados y financiados conforme a reglas
Direction: ↑ | Unit: # proyectos | Frequency: Trimestral
2023: 2 # proyectos | 2024: 3 # proyectos | 2025: 3 # proyectos | 2026: 4 # proyectos
3Y Baseline: 3 # proyectos | Target 2026: 4
Direction-adjusted momentum: +50.0% | Status: Strong improvement
Warning threshold: &lt;4 al Q4 | Critical threshold: &lt;3 al Q4
Underlying 2026 values: Número de proyectos OSC aprobados, formalizados y financiados conforme a reglas = 4 #
Static action from catalog: Revisar desviación y definir acción correctiva cuando no se alcance la meta.
Anti-gaming control: Contar sólo proyectos con dictamen, convenio y desembolso/evidencia de apoyo.
RELATED KPI CONTEXT
- OPS-020 | Donativos en especie asignados a organizaciones elegibles | 2026=100.0% | baseline=89.0% | momentum=+12.4% | status=Strong improvement | relation=Same strategic objective; Same department; Same BSC perspective
- FND-016 | Nuevas alianzas estratégicas activas por país | 2026=4 # alianzas | baseline=3 # alianzas | momentum=+50.0% | status=Strong improvement | relation=Same strategic objective; Same BSC perspective
- REC-P07 | Conversión de alianzas estratégicas a recursos o capacidad programática | 2026=72.0% | baseline=61.2% | momentum=+17.7% | status=Strong improvement | relation=Same strategic objective; Same BSC perspective
- ADM-004 | Presupuestos anuales aprobados dentro del calendario | 2026=100.0% | baseline=89.0% | momentum=+12.4% | status=Strong improvement | relation=Strategic-map adjacent objective
- ADM-012 | Nuevos convenios universitarios activados | 2026=2 # | baseline=1 # | momentum=+50.0% | status=Strong improvement | relation=Strategic-map adjacent objective
- OPS-009 | Cobertura de seguimiento nutricional con registros completos | 2026=96.0% | baseline=84.0% | momentum=+14.3% | status=Strong improvement | relation=Same department; Same BSC perspective
- OPS-012 | Países con plan de escalamiento de nutrición listo para 2027 | 2026=100.0% | baseline=91.7% | momentum=+9.1% | status=Improving | relation=Same department; Same BSC perspective
- OPS-019 | Proyectos OSC con seguimiento y reporte de resultados aprobado | 2026=100.0% | baseline=89.0% | momentum=+12.4% | status=Strong improvement | relation=Same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28" s="20" t="str">
        <x:v>Analyze the selected KPI using only the supplied context. Explain what is changing, what related KPIs matter, what should be investigated first, and recommend a concrete next action.</x:v>
      </x:c>
      <x:c r="G28" s="20" t="str">
        <x:v>1) Diagnosis; 2) Evidence; 3) Likely Drivers; 4) Recommended Action; 5) Confidence &amp; Data Gaps</x:v>
      </x:c>
      <x:c r="H28" s="20" t="str">
        <x:v>PROTOTYPE ONLY — synthetic data; human approval required.</x:v>
      </x:c>
    </x:row>
    <x:row r="29" ht="90" customHeight="1">
      <x:c r="A29" s="20" t="str">
        <x:v>OPS-019</x:v>
      </x:c>
      <x:c r="B29" s="20" t="str">
        <x:v>Proyectos OSC con seguimiento y reporte de resultados aprobado</x:v>
      </x:c>
      <x:c r="C29" s="20" t="str">
        <x:v>Operaciones</x:v>
      </x:c>
      <x:c r="D29" s="20" t="str">
        <x:v>P2. Fortalecer medición de impacto</x:v>
      </x:c>
      <x:c r="E29" s="20" t="str">
        <x:v>SELECTED KPI
KPI_ID: OPS-019
KPI: Proyectos OSC con seguimiento y reporte de resultados aprobado
Department: Operaciones
BSC Perspective: Procesos internos
Strategic Objective: P2. Fortalecer medición de impacto
Owner: Operaciones
Purpose: Medir rendición de cuentas y cierre efectivo.
Formula: Proyectos apoyados con informe de aplicación y resultados aprobado ÷ proyectos apoyados × 100
Direction: ↑ | Unit: % | Frequency: Trimestral / cierre de proyecto
2023: 84.0% | 2024: 88.9% | 2025: 94.0% | 2026: 100.0%
3Y Baseline: 89.0% | Target 2026: 100% (4 de 4)
Direction-adjusted momentum: +12.4% | Status: Strong improvement
Warning threshold: &lt;100% | Critical threshold: &lt;75%
Underlying 2026 values: Proyectos apoyados con informe de aplicación y resultados aprobado = 125 # / base; proyectos apoyados = 125 # / base
Static action from catalog: Revisar desviación y definir acción correctiva cuando no se alcance la meta.
Anti-gaming control: Informe debe contener evidencia financiera y resultados; no sólo recepción del archivo.
RELATED KPI CONTEXT
- OPS-009 | Cobertura de seguimiento nutricional con registros completos | 2026=96.0% | baseline=84.0% | momentum=+14.3% | status=Strong improvement | relation=Same strategic objective; Same department; Same BSC perspective
- REC-P02 | Cobertura de medición de impacto | 2026=100.0% | baseline=89.0% | momentum=+12.4% | status=Strong improvement | relation=Same strategic objective; Same department; Same BSC perspective
- MKT-002 | Acciones de mejora derivadas de analítica implementadas en plazo | 2026=82.1% | baseline=71.7% | momentum=+14.6% | status=Strong improvement | relation=Same strategic objective; Same BSC perspective
- OPS-006 | Beneficiarios que alcanzan competencia deportiva inicial | 2026=72.0% | baseline=61.0% | momentum=+18.0% | status=Strong improvement | relation=Strategic-map adjacent objective; Same department
- OPS-003 | Mejora de habilidades psicosociales | 2026=30.6% | baseline=23.3% | momentum=+31.3% | status=Strong improvement | relation=Strategic-map adjacent objective; Same department
- OPS-004 | Mejora de habilidades deportivas | 2026=30.6% | baseline=23.3% | momentum=+31.3% | status=Strong improvement | relation=Strategic-map adjacent objective; Same department
- OPS-005 | Incremento del tiempo de actividad física de beneficiarios | 2026=30.6% | baseline=23.3% | momentum=+31.3% | status=Strong improvement | relation=Strategic-map adjacent objective; Same department
- OPS-012 | Países con plan de escalamiento de nutrición listo para 2027 | 2026=100.0% | baseline=91.7% | momentum=+9.1% | status=Improving | relation=Same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29" s="20" t="str">
        <x:v>Analyze the selected KPI using only the supplied context. Explain what is changing, what related KPIs matter, what should be investigated first, and recommend a concrete next action.</x:v>
      </x:c>
      <x:c r="G29" s="20" t="str">
        <x:v>1) Diagnosis; 2) Evidence; 3) Likely Drivers; 4) Recommended Action; 5) Confidence &amp; Data Gaps</x:v>
      </x:c>
      <x:c r="H29" s="20" t="str">
        <x:v>PROTOTYPE ONLY — synthetic data; human approval required.</x:v>
      </x:c>
    </x:row>
    <x:row r="30" ht="90" customHeight="1">
      <x:c r="A30" s="20" t="str">
        <x:v>OPS-020</x:v>
      </x:c>
      <x:c r="B30" s="20" t="str">
        <x:v>Donativos en especie asignados a organizaciones elegibles</x:v>
      </x:c>
      <x:c r="C30" s="20" t="str">
        <x:v>Operaciones</x:v>
      </x:c>
      <x:c r="D30" s="20" t="str">
        <x:v>P6. Construir ecosistema de alianzas</x:v>
      </x:c>
      <x:c r="E30" s="20" t="str">
        <x:v>SELECTED KPI
KPI_ID: OPS-020
KPI: Donativos en especie asignados a organizaciones elegibles
Department: Operaciones
BSC Perspective: Procesos internos
Strategic Objective: P6. Construir ecosistema de alianzas
Owner: Operaciones
Purpose: Evitar inventario o donativos ociosos y asegurar trazabilidad.
Formula: Valor o unidades de donativos en especie asignados ÷ total recibido/designado para colocación × 100
Direction: ↑ | Unit: % | Frequency: Mensual
2023: 84.0% | 2024: 88.9% | 2025: 94.0% | 2026: 100.0%
3Y Baseline: 89.0% | Target 2026: 100%
Direction-adjusted momentum: +12.4% | Status: Strong improvement
Warning threshold: 95–99.9% | Critical threshold: &lt;95%
Underlying 2026 values: Valor o unidades de donativos en especie asignados = 125.00 Moneda; total recibido/designado para colocación = 125 # / base
Static action from catalog: Revisar desviación y definir acción correctiva cuando no se alcance la meta.
Anti-gaming control: Medir también tiempo de asignación y aceptación por la organización receptora.
RELATED KPI CONTEXT
- OPS-016 | Proyectos OSC financiados conforme a reglas de operación | 2026=4 # proyectos | baseline=3 # proyectos | momentum=+50.0% | status=Strong improvement | relation=Same strategic objective; Same department; Same BSC perspective
- FND-016 | Nuevas alianzas estratégicas activas por país | 2026=4 # alianzas | baseline=3 # alianzas | momentum=+50.0% | status=Strong improvement | relation=Same strategic objective; Same BSC perspective
- REC-P07 | Conversión de alianzas estratégicas a recursos o capacidad programática | 2026=72.0% | baseline=61.2% | momentum=+17.7% | status=Strong improvement | relation=Same strategic objective; Same BSC perspective
- ADM-004 | Presupuestos anuales aprobados dentro del calendario | 2026=100.0% | baseline=89.0% | momentum=+12.4% | status=Strong improvement | relation=Strategic-map adjacent objective
- ADM-012 | Nuevos convenios universitarios activados | 2026=2 # | baseline=1 # | momentum=+50.0% | status=Strong improvement | relation=Strategic-map adjacent objective
- OPS-009 | Cobertura de seguimiento nutricional con registros completos | 2026=96.0% | baseline=84.0% | momentum=+14.3% | status=Strong improvement | relation=Same department; Same BSC perspective
- OPS-012 | Países con plan de escalamiento de nutrición listo para 2027 | 2026=100.0% | baseline=91.7% | momentum=+9.1% | status=Improving | relation=Same department; Same BSC perspective
- OPS-019 | Proyectos OSC con seguimiento y reporte de resultados aprobado | 2026=100.0% | baseline=89.0% | momentum=+12.4% | status=Strong improvement | relation=Same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30" s="20" t="str">
        <x:v>Analyze the selected KPI using only the supplied context. Explain what is changing, what related KPIs matter, what should be investigated first, and recommend a concrete next action.</x:v>
      </x:c>
      <x:c r="G30" s="20" t="str">
        <x:v>1) Diagnosis; 2) Evidence; 3) Likely Drivers; 4) Recommended Action; 5) Confidence &amp; Data Gaps</x:v>
      </x:c>
      <x:c r="H30" s="20" t="str">
        <x:v>PROTOTYPE ONLY — synthetic data; human approval required.</x:v>
      </x:c>
    </x:row>
    <x:row r="31" ht="90" customHeight="1">
      <x:c r="A31" s="20" t="str">
        <x:v>LEG-001</x:v>
      </x:c>
      <x:c r="B31" s="20" t="str">
        <x:v>Tiempo de ciclo para liberación contractual</x:v>
      </x:c>
      <x:c r="C31" s="20" t="str">
        <x:v>Jurídico</x:v>
      </x:c>
      <x:c r="D31" s="20" t="str">
        <x:v>P4. Simplificar y digitalizar procesos</x:v>
      </x:c>
      <x:c r="E31" s="20" t="str">
        <x:v>SELECTED KPI
KPI_ID: LEG-001
KPI: Tiempo de ciclo para liberación contractual
Department: Jurídico
BSC Perspective: Procesos internos
Strategic Objective: P4. Simplificar y digitalizar procesos
Owner: Jurídico
Purpose: Medir directamente la velocidad del proceso contractual.
Formula: Mediana de días hábiles desde solicitud completa hasta liberación de contrato/convenio
Direction: ↓ | Unit: Días hábiles | Frequency: Mensual
2023: 5.8 Días hábiles | 2024: 4.9 Días hábiles | 2025: 4.0 Días hábiles | 2026: 3.1 Días hábiles
3Y Baseline: 4.9 Días hábiles | Target 2026: ≤3 días y ≥40% de reducción vs baseline
Direction-adjusted momentum: +36.7% | Status: Strong improvement
Warning threshold: &gt;3 y ≤5 días | Critical threshold: &gt;5 días
Underlying 2026 values: Mediana de días hábiles desde solicitud completa hasta liberación de contrato/convenio = 3.1 días
Static action from catalog: Revisar desviación y definir acción correctiva cuando no se alcance la meta.
Anti-gaming control: El inicio es la recepción completa; documentar pausas por información faltante o contraparte.
RELATED KPI CONTEXT
- LEG-004 | Reducción de procesos administrativos duplicados por estructura societaria | 2026=52.0% | baseline=41.0% | momentum=+26.8% | status=Strong improvement | relation=Same strategic objective; Same department; Same BSC perspective
- ADM-001 | Facturación de donativos emitida dentro del SLA | 2026=100.0% | baseline=89.1% | momentum=+12.3% | status=Strong improvement | relation=Same strategic objective; Same BSC perspective
- ADM-002 | Solicitudes de compra procesadas dentro del SLA | 2026=100.0% | baseline=89.1% | momentum=+12.3% | status=Strong improvement | relation=Same strategic objective; Same BSC perspective
- LEG-003 | Reducción de cargas regulatorias duplicadas con cumplimiento íntegro | 2026=52.0% | baseline=41.0% | momentum=+26.8% | status=Strong improvement | relation=Strategic-map adjacent objective; Same department; Same BSC perspective
- LEG-015 | Proyectos OSC con reglas de operación aplicables antes de aprobación | 2026=100.0% | baseline=89.0% | momentum=+12.4% | status=Strong improvement | relation=Strategic-map adjacent objective; Same department; Same BSC perspective
- LEG-016 | Donativos a OSC con convenio formalizado previo al desembolso | 2026=100.0% | baseline=89.2% | momentum=+12.1% | status=Strong improvement | relation=Strategic-map adjacent objective; Same department; Same BSC perspective
- LEG-017 | Proyectos OSC con cierre operativo-financiero validado | 2026=100.0% | baseline=89.0% | momentum=+12.4% | status=Strong improvement | relation=Strategic-map adjacent objective; Same department; Same BSC perspective
- REC-P06 | Obligaciones regulatorias vencidas | 2026=0 # | baseline=3 # | momentum=+100.0% | status=Strong improvement | relation=Strategic-map adjacent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31" s="20" t="str">
        <x:v>Analyze the selected KPI using only the supplied context. Explain what is changing, what related KPIs matter, what should be investigated first, and recommend a concrete next action.</x:v>
      </x:c>
      <x:c r="G31" s="20" t="str">
        <x:v>1) Diagnosis; 2) Evidence; 3) Likely Drivers; 4) Recommended Action; 5) Confidence &amp; Data Gaps</x:v>
      </x:c>
      <x:c r="H31" s="20" t="str">
        <x:v>PROTOTYPE ONLY — synthetic data; human approval required.</x:v>
      </x:c>
    </x:row>
    <x:row r="32" ht="90" customHeight="1">
      <x:c r="A32" s="20" t="str">
        <x:v>LEG-002</x:v>
      </x:c>
      <x:c r="B32" s="20" t="str">
        <x:v>Expedientes jurídicos completos en repositorio digital</x:v>
      </x:c>
      <x:c r="C32" s="20" t="str">
        <x:v>Jurídico</x:v>
      </x:c>
      <x:c r="D32" s="20" t="str">
        <x:v>L2. Integrar información en una sola plataforma</x:v>
      </x:c>
      <x:c r="E32" s="20" t="str">
        <x:v>SELECTED KPI
KPI_ID: LEG-002
KPI: Expedientes jurídicos completos en repositorio digital
Department: Jurídico
BSC Perspective: Capacidades y tecnología
Strategic Objective: L2. Integrar información en una sola plataforma
Owner: Jurídico
Purpose: Medir uso y calidad de la base digital, no sólo su existencia.
Formula: Expedientes activos con documentación, responsable y fechas límite completas ÷ expedientes activos × 100
Direction: ↑ | Unit: % | Frequency: Mensual
2023: 84.4% | 2024: 88.7% | 2025: 94.2% | 2026: 100.0%
3Y Baseline: 89.1% | Target 2026: 100%
Direction-adjusted momentum: +12.2% | Status: Strong improvement
Warning threshold: 95–99.9% | Critical threshold: &lt;95%
Underlying 2026 values: Expedientes activos con documentación, responsable y fechas límite completas = 112.0 días; expedientes activos = 112 # / base
Static action from catalog: Revisar desviación y definir acción correctiva cuando no se alcance la meta.
Anti-gaming control: Auditoría aleatoria de expedientes; 'completo' requiere campos y documentos obligatorios.
RELATED KPI CONTEXT
- LEG-008 | Adopción activa de WEBDOX por usuarios jurídicos | 2026=90.9% | baseline=81.4% | momentum=+11.7% | status=Strong improvement | relation=Same strategic objective; Same department; Same BSC perspective
- LEG-009 | Convenios tramitados end-to-end en WEBDOX | 2026=92.0% | baseline=81.2% | momentum=+13.3% | status=Strong improvement | relation=Same strategic objective; Same department; Same BSC perspective
- REC-L02 | Adopción de la plataforma de gestión | 2026=92.0% | baseline=80.9% | momentum=+13.7% | status=Strong improvement | relation=Same strategic objective; Same BSC perspective
- LEG-001 | Tiempo de ciclo para liberación contractual | 2026=3.1 Días hábiles | baseline=4.9 Días hábiles | momentum=+36.7% | status=Strong improvement | relation=Strategic-map adjacent objective; Same department
- LEG-003 | Reducción de cargas regulatorias duplicadas con cumplimiento íntegro | 2026=52.0% | baseline=41.0% | momentum=+26.8% | status=Strong improvement | relation=Strategic-map adjacent objective; Same department
- LEG-004 | Reducción de procesos administrativos duplicados por estructura societaria | 2026=52.0% | baseline=41.0% | momentum=+26.8% | status=Strong improvement | relation=Strategic-map adjacent objective; Same department
- LEG-015 | Proyectos OSC con reglas de operación aplicables antes de aprobación | 2026=100.0% | baseline=89.0% | momentum=+12.4% | status=Strong improvement | relation=Strategic-map adjacent objective; Same department
- REC-L03 | Cobertura de procesos críticos digitalizados | 2026=81.6% | baseline=71.1% | momentum=+14.8%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32" s="20" t="str">
        <x:v>Analyze the selected KPI using only the supplied context. Explain what is changing, what related KPIs matter, what should be investigated first, and recommend a concrete next action.</x:v>
      </x:c>
      <x:c r="G32" s="20" t="str">
        <x:v>1) Diagnosis; 2) Evidence; 3) Likely Drivers; 4) Recommended Action; 5) Confidence &amp; Data Gaps</x:v>
      </x:c>
      <x:c r="H32" s="20" t="str">
        <x:v>PROTOTYPE ONLY — synthetic data; human approval required.</x:v>
      </x:c>
    </x:row>
    <x:row r="33" ht="90" customHeight="1">
      <x:c r="A33" s="20" t="str">
        <x:v>LEG-003</x:v>
      </x:c>
      <x:c r="B33" s="20" t="str">
        <x:v>Reducción de cargas regulatorias duplicadas con cumplimiento íntegro</x:v>
      </x:c>
      <x:c r="C33" s="20" t="str">
        <x:v>Jurídico</x:v>
      </x:c>
      <x:c r="D33" s="20" t="str">
        <x:v>P5. Fortalecer cumplimiento, transparencia y gobierno</x:v>
      </x:c>
      <x:c r="E33" s="20" t="str">
        <x:v>SELECTED KPI
KPI_ID: LEG-003
KPI: Reducción de cargas regulatorias duplicadas con cumplimiento íntegro
Department: Jurídico
BSC Perspective: Procesos internos
Strategic Objective: P5. Fortalecer cumplimiento, transparencia y gobierno
Owner: Jurídico
Purpose: Simplificar estructura sin crear riesgo de incumplimiento.
Formula: (Número baseline de reportes/obligaciones duplicadas − número actual) ÷ baseline × 100
Direction: ↑ | Unit: % | Frequency: Trimestral
2023: 36.0% | 2024: 41.0% | 2025: 46.0% | 2026: 52.0%
3Y Baseline: 41.0% | Target 2026: ≥50% de reducción y 100% de obligaciones vigentes cumplidas
Direction-adjusted momentum: +26.8% | Status: Strong improvement
Warning threshold: &lt;50% de reducción | Critical threshold: Alguna obligación incumplida
Underlying 2026 values: Número baseline de reportes/obligaciones duplicadas = 100 # / base; número actual = 48 # / base
Static action from catalog: Revisar desviación y definir acción correctiva cuando no se alcance la meta.
Anti-gaming control: No considerar 'reducción' si deriva de omitir una obligación; validar con matriz legal vigente.
RELATED KPI CONTEXT
- LEG-015 | Proyectos OSC con reglas de operación aplicables antes de aprobación | 2026=100.0% | baseline=89.0% | momentum=+12.4% | status=Strong improvement | relation=Same strategic objective; Same department; Same BSC perspective
- LEG-016 | Donativos a OSC con convenio formalizado previo al desembolso | 2026=100.0% | baseline=89.2% | momentum=+12.1% | status=Strong improvement | relation=Same strategic objective; Same department; Same BSC perspective
- LEG-017 | Proyectos OSC con cierre operativo-financiero validado | 2026=100.0% | baseline=89.0% | momentum=+12.4% | status=Strong improvement | relation=Same strategic objective; Same department; Same BSC perspective
- LEG-001 | Tiempo de ciclo para liberación contractual | 2026=3.1 Días hábiles | baseline=4.9 Días hábiles | momentum=+36.7% | status=Strong improvement | relation=Strategic-map adjacent objective; Same department; Same BSC perspective
- LEG-004 | Reducción de procesos administrativos duplicados por estructura societaria | 2026=52.0% | baseline=41.0% | momentum=+26.8% | status=Strong improvement | relation=Strategic-map adjacent objective; Same department; Same BSC perspective
- REC-P06 | Obligaciones regulatorias vencidas | 2026=0 # | baseline=3 # | momentum=+100.0% | status=Strong improvement | relation=Same strategic objective; Same department; Same BSC perspective
- LEG-002 | Expedientes jurídicos completos en repositorio digital | 2026=100.0% | baseline=89.1% | momentum=+12.2% | status=Strong improvement | relation=Strategic-map adjacent objective; Same department
- ADM-001 | Facturación de donativos emitida dentro del SLA | 2026=100.0% | baseline=89.1% | momentum=+12.3% | status=Strong improvement | relation=Strategic-map adjacent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33" s="20" t="str">
        <x:v>Analyze the selected KPI using only the supplied context. Explain what is changing, what related KPIs matter, what should be investigated first, and recommend a concrete next action.</x:v>
      </x:c>
      <x:c r="G33" s="20" t="str">
        <x:v>1) Diagnosis; 2) Evidence; 3) Likely Drivers; 4) Recommended Action; 5) Confidence &amp; Data Gaps</x:v>
      </x:c>
      <x:c r="H33" s="20" t="str">
        <x:v>PROTOTYPE ONLY — synthetic data; human approval required.</x:v>
      </x:c>
    </x:row>
    <x:row r="34" ht="90" customHeight="1">
      <x:c r="A34" s="20" t="str">
        <x:v>LEG-004</x:v>
      </x:c>
      <x:c r="B34" s="20" t="str">
        <x:v>Reducción de procesos administrativos duplicados por estructura societaria</x:v>
      </x:c>
      <x:c r="C34" s="20" t="str">
        <x:v>Jurídico</x:v>
      </x:c>
      <x:c r="D34" s="20" t="str">
        <x:v>P4. Simplificar y digitalizar procesos</x:v>
      </x:c>
      <x:c r="E34" s="20" t="str">
        <x:v>SELECTED KPI
KPI_ID: LEG-004
KPI: Reducción de procesos administrativos duplicados por estructura societaria
Department: Jurídico
BSC Perspective: Procesos internos
Strategic Objective: P4. Simplificar y digitalizar procesos
Owner: Jurídico + Administración
Purpose: Medir la simplificación real de presupuesto, facturación y contabilidad asociada a la reestructura.
Formula: (Procesos/transacciones duplicadas baseline − actuales) ÷ baseline × 100
Direction: ↑ | Unit: % | Frequency: Trimestral
2023: 36.0% | 2024: 41.0% | 2025: 46.0% | 2026: 52.0%
3Y Baseline: 41.0% | Target 2026: ≥50% de reducción
Direction-adjusted momentum: +26.8% | Status: Strong improvement
Warning threshold: 30–49.9% | Critical threshold: &lt;30%
Underlying 2026 values: Procesos/transacciones duplicadas baseline = 100 # / base; actuales = 48 # / base
Static action from catalog: Revisar desviación y definir acción correctiva cuando no se alcance la meta.
Anti-gaming control: Definir universo baseline antes de la reestructura y mantener niveles de servicio.
RELATED KPI CONTEXT
- LEG-001 | Tiempo de ciclo para liberación contractual | 2026=3.1 Días hábiles | baseline=4.9 Días hábiles | momentum=+36.7% | status=Strong improvement | relation=Same strategic objective; Same department; Same BSC perspective
- ADM-001 | Facturación de donativos emitida dentro del SLA | 2026=100.0% | baseline=89.1% | momentum=+12.3% | status=Strong improvement | relation=Same strategic objective; Same BSC perspective
- ADM-002 | Solicitudes de compra procesadas dentro del SLA | 2026=100.0% | baseline=89.1% | momentum=+12.3% | status=Strong improvement | relation=Same strategic objective; Same BSC perspective
- LEG-003 | Reducción de cargas regulatorias duplicadas con cumplimiento íntegro | 2026=52.0% | baseline=41.0% | momentum=+26.8% | status=Strong improvement | relation=Strategic-map adjacent objective; Same department; Same BSC perspective
- LEG-015 | Proyectos OSC con reglas de operación aplicables antes de aprobación | 2026=100.0% | baseline=89.0% | momentum=+12.4% | status=Strong improvement | relation=Strategic-map adjacent objective; Same department; Same BSC perspective
- LEG-016 | Donativos a OSC con convenio formalizado previo al desembolso | 2026=100.0% | baseline=89.2% | momentum=+12.1% | status=Strong improvement | relation=Strategic-map adjacent objective; Same department; Same BSC perspective
- LEG-017 | Proyectos OSC con cierre operativo-financiero validado | 2026=100.0% | baseline=89.0% | momentum=+12.4% | status=Strong improvement | relation=Strategic-map adjacent objective; Same department; Same BSC perspective
- REC-P06 | Obligaciones regulatorias vencidas | 2026=0 # | baseline=3 # | momentum=+100.0% | status=Strong improvement | relation=Strategic-map adjacent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34" s="20" t="str">
        <x:v>Analyze the selected KPI using only the supplied context. Explain what is changing, what related KPIs matter, what should be investigated first, and recommend a concrete next action.</x:v>
      </x:c>
      <x:c r="G34" s="20" t="str">
        <x:v>1) Diagnosis; 2) Evidence; 3) Likely Drivers; 4) Recommended Action; 5) Confidence &amp; Data Gaps</x:v>
      </x:c>
      <x:c r="H34" s="20" t="str">
        <x:v>PROTOTYPE ONLY — synthetic data; human approval required.</x:v>
      </x:c>
    </x:row>
    <x:row r="35" ht="90" customHeight="1">
      <x:c r="A35" s="20" t="str">
        <x:v>LEG-005</x:v>
      </x:c>
      <x:c r="B35" s="20" t="str">
        <x:v>Ahorro en costos internos derivados de la simplificación</x:v>
      </x:c>
      <x:c r="C35" s="20" t="str">
        <x:v>Jurídico</x:v>
      </x:c>
      <x:c r="D35" s="20" t="str">
        <x:v>F4. Mejorar eficiencia y control presupuestal</x:v>
      </x:c>
      <x:c r="E35" s="20" t="str">
        <x:v>SELECTED KPI
KPI_ID: LEG-005
KPI: Ahorro en costos internos derivados de la simplificación
Department: Jurídico
BSC Perspective: Sostenibilidad financiera
Strategic Objective: F4. Mejorar eficiencia y control presupuestal
Owner: Jurídico + Administración
Purpose: Confirmar que la simplificación genera valor económico.
Formula: (Costo baseline comparable − costo actual comparable) ÷ costo baseline comparable × 100
Direction: ↑ | Unit: % | Frequency: Mensual / trimestral acumulado
2023: 13.0% | 2024: 15.6% | 2025: 18.0% | 2026: 20.4%
3Y Baseline: 15.5% | Target 2026: ≥20%
Direction-adjusted momentum: +31.3% | Status: Strong improvement
Warning threshold: 10–19.9% | Critical threshold: &lt;10%
Underlying 2026 values: Costo baseline comparable = 1,344,000.00 Moneda; costo actual comparable = 1,069,824.00 Moneda
Static action from catalog: Revisar desviación y definir acción correctiva cuando no se alcance la meta.
Anti-gaming control: Comparar servicios equivalentes y excluir reducciones de costo que deterioren SLA/calidad.
RELATED KPI CONTEXT
- ADM-015 | Reportes financieros mensuales entregados en tiempo | 2026=100.0% | baseline=89.0% | momentum=+12.4% | status=Strong improvement | relation=Same strategic objective; Same BSC perspective
- REC-F05 | Variación presupuestal | 2026=4.2% | baseline=7.5% | momentum=+44.0% | status=Strong improvement | relation=Same strategic objective; Same BSC perspective
- REC-F06 | Costo por beneficiario | 2026=3,550.00 MXN/USD por beneficiario | baseline=3,958.33 MXN/USD por beneficiario | momentum=N/A | status=No data | relation=Same strategic objective; Same BSC perspective
- LEG-001 | Tiempo de ciclo para liberación contractual | 2026=3.1 Días hábiles | baseline=4.9 Días hábiles | momentum=+36.7% | status=Strong improvement | relation=Strategic-map adjacent objective; Same department
- LEG-003 | Reducción de cargas regulatorias duplicadas con cumplimiento íntegro | 2026=52.0% | baseline=41.0% | momentum=+26.8% | status=Strong improvement | relation=Strategic-map adjacent objective; Same department
- LEG-004 | Reducción de procesos administrativos duplicados por estructura societaria | 2026=52.0% | baseline=41.0% | momentum=+26.8% | status=Strong improvement | relation=Strategic-map adjacent objective; Same department
- LEG-015 | Proyectos OSC con reglas de operación aplicables antes de aprobación | 2026=100.0% | baseline=89.0% | momentum=+12.4% | status=Strong improvement | relation=Strategic-map adjacent objective; Same department
- FND-001 | Fondos recaudados — Tu Donativo x2 (Chivas) | 2026=40,800 MXN | baseline=31,333 MXN | momentum=+30.2% | status=Strong improvement | relation=Same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35" s="20" t="str">
        <x:v>Analyze the selected KPI using only the supplied context. Explain what is changing, what related KPIs matter, what should be investigated first, and recommend a concrete next action.</x:v>
      </x:c>
      <x:c r="G35" s="20" t="str">
        <x:v>1) Diagnosis; 2) Evidence; 3) Likely Drivers; 4) Recommended Action; 5) Confidence &amp; Data Gaps</x:v>
      </x:c>
      <x:c r="H35" s="20" t="str">
        <x:v>PROTOTYPE ONLY — synthetic data; human approval required.</x:v>
      </x:c>
    </x:row>
    <x:row r="36" ht="90" customHeight="1">
      <x:c r="A36" s="20" t="str">
        <x:v>LEG-006</x:v>
      </x:c>
      <x:c r="B36" s="20" t="str">
        <x:v>Cobertura de certificación antilavado del equipo Jurídico</x:v>
      </x:c>
      <x:c r="C36" s="20" t="str">
        <x:v>Jurídico</x:v>
      </x:c>
      <x:c r="D36" s="20" t="str">
        <x:v>L3. Fortalecer capacidades del equipo</x:v>
      </x:c>
      <x:c r="E36" s="20" t="str">
        <x:v>SELECTED KPI
KPI_ID: LEG-006
KPI: Cobertura de certificación antilavado del equipo Jurídico
Department: Jurídico
BSC Perspective: Capacidades y tecnología
Strategic Objective: L3. Fortalecer capacidades del equipo
Owner: Jurídico
Purpose: Medir capacidad de cumplimiento del equipo, no contar certificados sueltos.
Formula: Miembros del equipo Jurídico con certificación vigente ÷ miembros que requieren certificación × 100
Direction: ↑ | Unit: % | Frequency: Mensual durante implementación / anual
2023: 82.9% | 2024: 89.5% | 2025: 95.1% | 2026: 100.0%
3Y Baseline: 89.2% | Target 2026: 100%
Direction-adjusted momentum: +12.2% | Status: Strong improvement
Warning threshold: &lt;100% con certificaciones pendientes | Critical threshold: Algún rol crítico no certificado al vencimiento
Underlying 2026 values: Miembros del equipo Jurídico con certificación vigente = 44 # / base; miembros que requieren certificación = 44 # / base
Static action from catalog: Revisar desviación y definir acción correctiva cuando no se alcance la meta.
Anti-gaming control: Certificación debe ser vigente y pertinente a la función.
RELATED KPI CONTEXT
- ADM-014 | Prestadores de servicio social incorporados | 2026=7 # | baseline=5 # | momentum=+40.0% | status=Strong improvement | relation=Same strategic objective; Same BSC perspective
- REC-L04 | Cobertura de capacitación crítica | 2026=100.0% | baseline=89.0% | momentum=+12.4% | status=Strong improvement | relation=Same strategic objective; Same BSC perspective
- FND-016 | Nuevas alianzas estratégicas activas por país | 2026=4 # alianzas | baseline=3 # alianzas | momentum=+50.0% | status=Strong improvement | relation=Strategic-map adjacent objective
- MKT-008 | Cumplimiento de ejecución multicanal del lanzamiento | 2026=100.0% | baseline=89.0% | momentum=+12.4% | status=Strong improvement | relation=Strategic-map adjacent objective
- LEG-002 | Expedientes jurídicos completos en repositorio digital | 2026=100.0% | baseline=89.1% | momentum=+12.2% | status=Strong improvement | relation=Same department; Same BSC perspective
- LEG-008 | Adopción activa de WEBDOX por usuarios jurídicos | 2026=90.9% | baseline=81.4% | momentum=+11.7% | status=Strong improvement | relation=Same department; Same BSC perspective
- LEG-009 | Convenios tramitados end-to-end en WEBDOX | 2026=92.0% | baseline=81.2% | momentum=+13.3% | status=Strong improvement | relation=Same department; Same BSC perspective
- MKT-011 | Actividades principales con cobertura completa de comunicación e impacto | 2026=100.0% | baseline=89.2% | momentum=+12.1% | status=Strong improvement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36" s="20" t="str">
        <x:v>Analyze the selected KPI using only the supplied context. Explain what is changing, what related KPIs matter, what should be investigated first, and recommend a concrete next action.</x:v>
      </x:c>
      <x:c r="G36" s="20" t="str">
        <x:v>1) Diagnosis; 2) Evidence; 3) Likely Drivers; 4) Recommended Action; 5) Confidence &amp; Data Gaps</x:v>
      </x:c>
      <x:c r="H36" s="20" t="str">
        <x:v>PROTOTYPE ONLY — synthetic data; human approval required.</x:v>
      </x:c>
    </x:row>
    <x:row r="37" ht="90" customHeight="1">
      <x:c r="A37" s="20" t="str">
        <x:v>LEG-008</x:v>
      </x:c>
      <x:c r="B37" s="20" t="str">
        <x:v>Adopción activa de WEBDOX por usuarios jurídicos</x:v>
      </x:c>
      <x:c r="C37" s="20" t="str">
        <x:v>Jurídico</x:v>
      </x:c>
      <x:c r="D37" s="20" t="str">
        <x:v>L2. Integrar información en una sola plataforma</x:v>
      </x:c>
      <x:c r="E37" s="20" t="str">
        <x:v>SELECTED KPI
KPI_ID: LEG-008
KPI: Adopción activa de WEBDOX por usuarios jurídicos
Department: Jurídico
BSC Perspective: Capacidades y tecnología
Strategic Objective: L2. Integrar información en una sola plataforma
Owner: Jurídico
Purpose: Medir adopción efectiva del software, no asistencia a una capacitación.
Formula: Usuarios objetivo que utilizan WEBDOX para los procesos definidos en el periodo ÷ usuarios objetivo × 100
Direction: ↑ | Unit: % | Frequency: Mensual
2023: 77.1% | 2024: 81.6% | 2025: 85.4% | 2026: 90.9%
3Y Baseline: 81.4% | Target 2026: ≥90%
Direction-adjusted momentum: +11.7% | Status: Strong improvement
Warning threshold: 75–89.9% | Critical threshold: &lt;75%
Underlying 2026 values: Usuarios objetivo que utilizan WEBDOX para los procesos definidos en el periodo = 40 # / base; usuarios objetivo = 44 # / base
Static action from catalog: Revisar desviación y definir acción correctiva cuando no se alcance la meta.
Anti-gaming control: Usuario activo requiere uso transaccional real, no sólo login.
RELATED KPI CONTEXT
- LEG-002 | Expedientes jurídicos completos en repositorio digital | 2026=100.0% | baseline=89.1% | momentum=+12.2% | status=Strong improvement | relation=Same strategic objective; Same department; Same BSC perspective
- LEG-009 | Convenios tramitados end-to-end en WEBDOX | 2026=92.0% | baseline=81.2% | momentum=+13.3% | status=Strong improvement | relation=Same strategic objective; Same department; Same BSC perspective
- REC-L02 | Adopción de la plataforma de gestión | 2026=92.0% | baseline=80.9% | momentum=+13.7% | status=Strong improvement | relation=Same strategic objective; Same BSC perspective
- LEG-001 | Tiempo de ciclo para liberación contractual | 2026=3.1 Días hábiles | baseline=4.9 Días hábiles | momentum=+36.7% | status=Strong improvement | relation=Strategic-map adjacent objective; Same department
- LEG-003 | Reducción de cargas regulatorias duplicadas con cumplimiento íntegro | 2026=52.0% | baseline=41.0% | momentum=+26.8% | status=Strong improvement | relation=Strategic-map adjacent objective; Same department
- LEG-004 | Reducción de procesos administrativos duplicados por estructura societaria | 2026=52.0% | baseline=41.0% | momentum=+26.8% | status=Strong improvement | relation=Strategic-map adjacent objective; Same department
- LEG-015 | Proyectos OSC con reglas de operación aplicables antes de aprobación | 2026=100.0% | baseline=89.0% | momentum=+12.4% | status=Strong improvement | relation=Strategic-map adjacent objective; Same department
- REC-L03 | Cobertura de procesos críticos digitalizados | 2026=81.6% | baseline=71.1% | momentum=+14.8%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37" s="20" t="str">
        <x:v>Analyze the selected KPI using only the supplied context. Explain what is changing, what related KPIs matter, what should be investigated first, and recommend a concrete next action.</x:v>
      </x:c>
      <x:c r="G37" s="20" t="str">
        <x:v>1) Diagnosis; 2) Evidence; 3) Likely Drivers; 4) Recommended Action; 5) Confidence &amp; Data Gaps</x:v>
      </x:c>
      <x:c r="H37" s="20" t="str">
        <x:v>PROTOTYPE ONLY — synthetic data; human approval required.</x:v>
      </x:c>
    </x:row>
    <x:row r="38" ht="90" customHeight="1">
      <x:c r="A38" s="20" t="str">
        <x:v>LEG-009</x:v>
      </x:c>
      <x:c r="B38" s="20" t="str">
        <x:v>Convenios tramitados end-to-end en WEBDOX</x:v>
      </x:c>
      <x:c r="C38" s="20" t="str">
        <x:v>Jurídico</x:v>
      </x:c>
      <x:c r="D38" s="20" t="str">
        <x:v>L2. Integrar información en una sola plataforma</x:v>
      </x:c>
      <x:c r="E38" s="20" t="str">
        <x:v>SELECTED KPI
KPI_ID: LEG-009
KPI: Convenios tramitados end-to-end en WEBDOX
Department: Jurídico
BSC Perspective: Capacidades y tecnología
Strategic Objective: L2. Integrar información en una sola plataforma
Owner: Jurídico
Purpose: Medir digitalización efectiva del proceso contractual.
Formula: Convenios elegibles gestionados completamente en WEBDOX ÷ convenios elegibles × 100
Direction: ↑ | Unit: % | Frequency: Mensual
2023: 75.7% | 2024: 81.6% | 2025: 86.4% | 2026: 92.0%
3Y Baseline: 81.2% | Target 2026: ≥90%
Direction-adjusted momentum: +13.3% | Status: Strong improvement
Warning threshold: 75–89.9% | Critical threshold: &lt;75%
Underlying 2026 values: Convenios elegibles gestionados completamente en WEBDOX = 81 # / base; convenios elegibles = 88 # / base
Static action from catalog: Revisar desviación y definir acción correctiva cuando no se alcance la meta.
Anti-gaming control: No permitir doble proceso paralelo fuera de WEBDOX salvo excepción documentada.
RELATED KPI CONTEXT
- LEG-002 | Expedientes jurídicos completos en repositorio digital | 2026=100.0% | baseline=89.1% | momentum=+12.2% | status=Strong improvement | relation=Same strategic objective; Same department; Same BSC perspective
- LEG-008 | Adopción activa de WEBDOX por usuarios jurídicos | 2026=90.9% | baseline=81.4% | momentum=+11.7% | status=Strong improvement | relation=Same strategic objective; Same department; Same BSC perspective
- REC-L02 | Adopción de la plataforma de gestión | 2026=92.0% | baseline=80.9% | momentum=+13.7% | status=Strong improvement | relation=Same strategic objective; Same BSC perspective
- LEG-001 | Tiempo de ciclo para liberación contractual | 2026=3.1 Días hábiles | baseline=4.9 Días hábiles | momentum=+36.7% | status=Strong improvement | relation=Strategic-map adjacent objective; Same department
- LEG-003 | Reducción de cargas regulatorias duplicadas con cumplimiento íntegro | 2026=52.0% | baseline=41.0% | momentum=+26.8% | status=Strong improvement | relation=Strategic-map adjacent objective; Same department
- LEG-004 | Reducción de procesos administrativos duplicados por estructura societaria | 2026=52.0% | baseline=41.0% | momentum=+26.8% | status=Strong improvement | relation=Strategic-map adjacent objective; Same department
- LEG-015 | Proyectos OSC con reglas de operación aplicables antes de aprobación | 2026=100.0% | baseline=89.0% | momentum=+12.4% | status=Strong improvement | relation=Strategic-map adjacent objective; Same department
- REC-L03 | Cobertura de procesos críticos digitalizados | 2026=81.6% | baseline=71.1% | momentum=+14.8%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38" s="20" t="str">
        <x:v>Analyze the selected KPI using only the supplied context. Explain what is changing, what related KPIs matter, what should be investigated first, and recommend a concrete next action.</x:v>
      </x:c>
      <x:c r="G38" s="20" t="str">
        <x:v>1) Diagnosis; 2) Evidence; 3) Likely Drivers; 4) Recommended Action; 5) Confidence &amp; Data Gaps</x:v>
      </x:c>
      <x:c r="H38" s="20" t="str">
        <x:v>PROTOTYPE ONLY — synthetic data; human approval required.</x:v>
      </x:c>
    </x:row>
    <x:row r="39" ht="90" customHeight="1">
      <x:c r="A39" s="20" t="str">
        <x:v>LEG-010</x:v>
      </x:c>
      <x:c r="B39" s="20" t="str">
        <x:v>Cumplimiento jurídico-fiscal de comunicaciones institucionales</x:v>
      </x:c>
      <x:c r="C39" s="20" t="str">
        <x:v>Jurídico</x:v>
      </x:c>
      <x:c r="D39" s="20" t="str">
        <x:v>C3. Fortalecer confianza y credibilidad institucional</x:v>
      </x:c>
      <x:c r="E39" s="20" t="str">
        <x:v>SELECTED KPI
KPI_ID: LEG-010
KPI: Cumplimiento jurídico-fiscal de comunicaciones institucionales
Department: Jurídico
BSC Perspective: Beneficiarios y grupos de interés
Strategic Objective: C3. Fortalecer confianza y credibilidad institucional
Owner: Jurídico
Purpose: Medir aplicación real de los lineamientos, no existencia del manual.
Formula: Comunicaciones/campañas sujetas a revisión aprobadas sin incumplimiento material ÷ comunicaciones/campañas revisadas × 100
Direction: ↑ | Unit: % | Frequency: Mensual / por campaña
2023: 84.2% | 2024: 89.2% | 2025: 94.2% | 2026: 100.0%
3Y Baseline: 89.2% | Target 2026: 100%
Direction-adjusted momentum: +12.1% | Status: Strong improvement
Warning threshold: 95–99.9% | Critical threshold: &lt;95% o incidente material
Underlying 2026 values: Comunicaciones/campañas sujetas a revisión aprobadas sin incumplimiento material = 150 # / base; comunicaciones/campañas revisadas = 150 # / base
Static action from catalog: Revisar desviación y definir acción correctiva cuando no se alcance la meta.
Anti-gaming control: Definir qué piezas requieren revisión y registrar retrabajos/incidentes.
RELATED KPI CONTEXT
- LEG-012 | Países objetivo con autorización fiscal para recibir donativos deducibles | 2026=100.0% | baseline=91.7% | momentum=+9.1% | status=Improving | relation=Same strategic objective; Same department; Same BSC perspective
- LEG-013 | Cobertura de certificaciones de responsabilidad social en sedes internacionales objetivo | 2026=100.0% | baseline=91.7% | momentum=+9.1% | status=Improving | relation=Same strategic objective; Same department; Same BSC perspective
- LEG-014 | Alianzas formalizadas con organismos certificadores internacionales | 2026=2 # | baseline=1 # | momentum=+50.0% | status=Strong improvement | relation=Same strategic objective; Same department; Same BSC perspective
- LEG-001 | Tiempo de ciclo para liberación contractual | 2026=3.1 Días hábiles | baseline=4.9 Días hábiles | momentum=+36.7% | status=Strong improvement | relation=Strategic-map adjacent objective; Same department
- LEG-003 | Reducción de cargas regulatorias duplicadas con cumplimiento íntegro | 2026=52.0% | baseline=41.0% | momentum=+26.8% | status=Strong improvement | relation=Strategic-map adjacent objective; Same department
- LEG-004 | Reducción de procesos administrativos duplicados por estructura societaria | 2026=52.0% | baseline=41.0% | momentum=+26.8% | status=Strong improvement | relation=Strategic-map adjacent objective; Same department
- LEG-015 | Proyectos OSC con reglas de operación aplicables antes de aprobación | 2026=100.0% | baseline=89.0% | momentum=+12.4% | status=Strong improvement | relation=Strategic-map adjacent objective; Same department
- ADM-006 | Informes regulatorios presentados en tiempo y forma | 2026=100.0% | baseline=89.0% | momentum=+12.4%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39" s="20" t="str">
        <x:v>Analyze the selected KPI using only the supplied context. Explain what is changing, what related KPIs matter, what should be investigated first, and recommend a concrete next action.</x:v>
      </x:c>
      <x:c r="G39" s="20" t="str">
        <x:v>1) Diagnosis; 2) Evidence; 3) Likely Drivers; 4) Recommended Action; 5) Confidence &amp; Data Gaps</x:v>
      </x:c>
      <x:c r="H39" s="20" t="str">
        <x:v>PROTOTYPE ONLY — synthetic data; human approval required.</x:v>
      </x:c>
    </x:row>
    <x:row r="40" ht="90" customHeight="1">
      <x:c r="A40" s="20" t="str">
        <x:v>LEG-012</x:v>
      </x:c>
      <x:c r="B40" s="20" t="str">
        <x:v>Países objetivo con autorización fiscal para recibir donativos deducibles</x:v>
      </x:c>
      <x:c r="C40" s="20" t="str">
        <x:v>Jurídico</x:v>
      </x:c>
      <x:c r="D40" s="20" t="str">
        <x:v>C3. Fortalecer confianza y credibilidad institucional</x:v>
      </x:c>
      <x:c r="E40" s="20" t="str">
        <x:v>SELECTED KPI
KPI_ID: LEG-012
KPI: Países objetivo con autorización fiscal para recibir donativos deducibles
Department: Jurídico
BSC Perspective: Beneficiarios y grupos de interés
Strategic Objective: C3. Fortalecer confianza y credibilidad institucional
Owner: Jurídico
Purpose: Medir capacidad legal efectiva de procuración internacional.
Formula: Países objetivo con autorización fiscal/donataria obtenida ÷ países objetivo × 100
Direction: ↑ | Unit: % | Frequency: Trimestral
2023: 75.0% | 2024: 100.0% | 2025: 100.0% | 2026: 100.0%
3Y Baseline: 91.7% | Target 2026: 100% (2 de 2)
Direction-adjusted momentum: +9.1% | Status: Improving
Warning threshold: &lt;100% al Q4 | Critical threshold: 0 autorizaciones al Q4
Underlying 2026 values: Países objetivo con autorización fiscal/donataria obtenida = 4 # / base; países objetivo = 4 # / base
Static action from catalog: Revisar desviación y definir acción correctiva cuando no se alcance la meta.
Anti-gaming control: Contar sólo autorización oficial vigente.
RELATED KPI CONTEXT
- LEG-010 | Cumplimiento jurídico-fiscal de comunicaciones institucionales | 2026=100.0% | baseline=89.2% | momentum=+12.1% | status=Strong improvement | relation=Same strategic objective; Same department; Same BSC perspective
- LEG-013 | Cobertura de certificaciones de responsabilidad social en sedes internacionales objetivo | 2026=100.0% | baseline=91.7% | momentum=+9.1% | status=Improving | relation=Same strategic objective; Same department; Same BSC perspective
- LEG-014 | Alianzas formalizadas con organismos certificadores internacionales | 2026=2 # | baseline=1 # | momentum=+50.0% | status=Strong improvement | relation=Same strategic objective; Same department; Same BSC perspective
- LEG-001 | Tiempo de ciclo para liberación contractual | 2026=3.1 Días hábiles | baseline=4.9 Días hábiles | momentum=+36.7% | status=Strong improvement | relation=Strategic-map adjacent objective; Same department
- LEG-003 | Reducción de cargas regulatorias duplicadas con cumplimiento íntegro | 2026=52.0% | baseline=41.0% | momentum=+26.8% | status=Strong improvement | relation=Strategic-map adjacent objective; Same department
- LEG-004 | Reducción de procesos administrativos duplicados por estructura societaria | 2026=52.0% | baseline=41.0% | momentum=+26.8% | status=Strong improvement | relation=Strategic-map adjacent objective; Same department
- LEG-015 | Proyectos OSC con reglas de operación aplicables antes de aprobación | 2026=100.0% | baseline=89.0% | momentum=+12.4% | status=Strong improvement | relation=Strategic-map adjacent objective; Same department
- ADM-006 | Informes regulatorios presentados en tiempo y forma | 2026=100.0% | baseline=89.0% | momentum=+12.4%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40" s="20" t="str">
        <x:v>Analyze the selected KPI using only the supplied context. Explain what is changing, what related KPIs matter, what should be investigated first, and recommend a concrete next action.</x:v>
      </x:c>
      <x:c r="G40" s="20" t="str">
        <x:v>1) Diagnosis; 2) Evidence; 3) Likely Drivers; 4) Recommended Action; 5) Confidence &amp; Data Gaps</x:v>
      </x:c>
      <x:c r="H40" s="20" t="str">
        <x:v>PROTOTYPE ONLY — synthetic data; human approval required.</x:v>
      </x:c>
    </x:row>
    <x:row r="41" ht="90" customHeight="1">
      <x:c r="A41" s="20" t="str">
        <x:v>LEG-013</x:v>
      </x:c>
      <x:c r="B41" s="20" t="str">
        <x:v>Cobertura de certificaciones de responsabilidad social en sedes internacionales objetivo</x:v>
      </x:c>
      <x:c r="C41" s="20" t="str">
        <x:v>Jurídico</x:v>
      </x:c>
      <x:c r="D41" s="20" t="str">
        <x:v>C3. Fortalecer confianza y credibilidad institucional</x:v>
      </x:c>
      <x:c r="E41" s="20" t="str">
        <x:v>SELECTED KPI
KPI_ID: LEG-013
KPI: Cobertura de certificaciones de responsabilidad social en sedes internacionales objetivo
Department: Jurídico
BSC Perspective: Beneficiarios y grupos de interés
Strategic Objective: C3. Fortalecer confianza y credibilidad institucional
Owner: Jurídico
Purpose: Medir avance de credibilidad institucional internacional.
Formula: Sedes objetivo con certificación equivalente a ESR obtenida ÷ sedes objetivo × 100
Direction: ↑ | Unit: % | Frequency: Trimestral
2023: 75.0% | 2024: 100.0% | 2025: 100.0% | 2026: 100.0%
3Y Baseline: 91.7% | Target 2026: 100% (3 de 3, horizonte fuente 24 meses)
Direction-adjusted momentum: +9.1% | Status: Improving
Warning threshold: Desviación contra plan de 24 meses | Critical threshold: Hito crítico vencido
Underlying 2026 values: Sedes objetivo con certificación equivalente a ESR obtenida = 4 # / base; sedes objetivo = 4 # / base
Static action from catalog: Revisar desviación y definir acción correctiva cuando no se alcance la meta.
Anti-gaming control: Contar sólo certificaciones emitidas por organismos previamente validados.
RELATED KPI CONTEXT
- LEG-010 | Cumplimiento jurídico-fiscal de comunicaciones institucionales | 2026=100.0% | baseline=89.2% | momentum=+12.1% | status=Strong improvement | relation=Same strategic objective; Same department; Same BSC perspective
- LEG-012 | Países objetivo con autorización fiscal para recibir donativos deducibles | 2026=100.0% | baseline=91.7% | momentum=+9.1% | status=Improving | relation=Same strategic objective; Same department; Same BSC perspective
- LEG-014 | Alianzas formalizadas con organismos certificadores internacionales | 2026=2 # | baseline=1 # | momentum=+50.0% | status=Strong improvement | relation=Same strategic objective; Same department; Same BSC perspective
- LEG-001 | Tiempo de ciclo para liberación contractual | 2026=3.1 Días hábiles | baseline=4.9 Días hábiles | momentum=+36.7% | status=Strong improvement | relation=Strategic-map adjacent objective; Same department
- LEG-003 | Reducción de cargas regulatorias duplicadas con cumplimiento íntegro | 2026=52.0% | baseline=41.0% | momentum=+26.8% | status=Strong improvement | relation=Strategic-map adjacent objective; Same department
- LEG-004 | Reducción de procesos administrativos duplicados por estructura societaria | 2026=52.0% | baseline=41.0% | momentum=+26.8% | status=Strong improvement | relation=Strategic-map adjacent objective; Same department
- LEG-015 | Proyectos OSC con reglas de operación aplicables antes de aprobación | 2026=100.0% | baseline=89.0% | momentum=+12.4% | status=Strong improvement | relation=Strategic-map adjacent objective; Same department
- ADM-006 | Informes regulatorios presentados en tiempo y forma | 2026=100.0% | baseline=89.0% | momentum=+12.4%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41" s="20" t="str">
        <x:v>Analyze the selected KPI using only the supplied context. Explain what is changing, what related KPIs matter, what should be investigated first, and recommend a concrete next action.</x:v>
      </x:c>
      <x:c r="G41" s="20" t="str">
        <x:v>1) Diagnosis; 2) Evidence; 3) Likely Drivers; 4) Recommended Action; 5) Confidence &amp; Data Gaps</x:v>
      </x:c>
      <x:c r="H41" s="20" t="str">
        <x:v>PROTOTYPE ONLY — synthetic data; human approval required.</x:v>
      </x:c>
    </x:row>
    <x:row r="42" ht="90" customHeight="1">
      <x:c r="A42" s="20" t="str">
        <x:v>LEG-014</x:v>
      </x:c>
      <x:c r="B42" s="20" t="str">
        <x:v>Alianzas formalizadas con organismos certificadores internacionales</x:v>
      </x:c>
      <x:c r="C42" s="20" t="str">
        <x:v>Jurídico</x:v>
      </x:c>
      <x:c r="D42" s="20" t="str">
        <x:v>C3. Fortalecer confianza y credibilidad institucional</x:v>
      </x:c>
      <x:c r="E42" s="20" t="str">
        <x:v>SELECTED KPI
KPI_ID: LEG-014
KPI: Alianzas formalizadas con organismos certificadores internacionales
Department: Jurídico
BSC Perspective: Beneficiarios y grupos de interés
Strategic Objective: C3. Fortalecer confianza y credibilidad institucional
Owner: Jurídico
Purpose: Medir construcción de red habilitadora para acreditaciones.
Formula: Número de convenios de colaboración/acreditación formalizados con organismos elegibles
Direction: ↑ | Unit: # | Frequency: Trimestral
2023: 1 # | 2024: 1 # | 2025: 2 # | 2026: 2 #
3Y Baseline: 1 # | Target 2026: ≥2
Direction-adjusted momentum: +50.0% | Status: Strong improvement
Warning threshold: &lt;2 al horizonte comprometido | Critical threshold: 0 al horizonte comprometido
Underlying 2026 values: Número de convenios de colaboración/acreditación formalizados con organismos elegibles = 2 #
Static action from catalog: Revisar desviación y definir acción correctiva cuando no se alcance la meta.
Anti-gaming control: Contar sólo convenios vigentes con alcance y contraprestaciones definidos.
RELATED KPI CONTEXT
- LEG-010 | Cumplimiento jurídico-fiscal de comunicaciones institucionales | 2026=100.0% | baseline=89.2% | momentum=+12.1% | status=Strong improvement | relation=Same strategic objective; Same department; Same BSC perspective
- LEG-012 | Países objetivo con autorización fiscal para recibir donativos deducibles | 2026=100.0% | baseline=91.7% | momentum=+9.1% | status=Improving | relation=Same strategic objective; Same department; Same BSC perspective
- LEG-013 | Cobertura de certificaciones de responsabilidad social en sedes internacionales objetivo | 2026=100.0% | baseline=91.7% | momentum=+9.1% | status=Improving | relation=Same strategic objective; Same department; Same BSC perspective
- LEG-001 | Tiempo de ciclo para liberación contractual | 2026=3.1 Días hábiles | baseline=4.9 Días hábiles | momentum=+36.7% | status=Strong improvement | relation=Strategic-map adjacent objective; Same department
- LEG-003 | Reducción de cargas regulatorias duplicadas con cumplimiento íntegro | 2026=52.0% | baseline=41.0% | momentum=+26.8% | status=Strong improvement | relation=Strategic-map adjacent objective; Same department
- LEG-004 | Reducción de procesos administrativos duplicados por estructura societaria | 2026=52.0% | baseline=41.0% | momentum=+26.8% | status=Strong improvement | relation=Strategic-map adjacent objective; Same department
- LEG-015 | Proyectos OSC con reglas de operación aplicables antes de aprobación | 2026=100.0% | baseline=89.0% | momentum=+12.4% | status=Strong improvement | relation=Strategic-map adjacent objective; Same department
- ADM-006 | Informes regulatorios presentados en tiempo y forma | 2026=100.0% | baseline=89.0% | momentum=+12.4%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42" s="20" t="str">
        <x:v>Analyze the selected KPI using only the supplied context. Explain what is changing, what related KPIs matter, what should be investigated first, and recommend a concrete next action.</x:v>
      </x:c>
      <x:c r="G42" s="20" t="str">
        <x:v>1) Diagnosis; 2) Evidence; 3) Likely Drivers; 4) Recommended Action; 5) Confidence &amp; Data Gaps</x:v>
      </x:c>
      <x:c r="H42" s="20" t="str">
        <x:v>PROTOTYPE ONLY — synthetic data; human approval required.</x:v>
      </x:c>
    </x:row>
    <x:row r="43" ht="90" customHeight="1">
      <x:c r="A43" s="20" t="str">
        <x:v>LEG-015</x:v>
      </x:c>
      <x:c r="B43" s="20" t="str">
        <x:v>Proyectos OSC con reglas de operación aplicables antes de aprobación</x:v>
      </x:c>
      <x:c r="C43" s="20" t="str">
        <x:v>Jurídico</x:v>
      </x:c>
      <x:c r="D43" s="20" t="str">
        <x:v>P5. Fortalecer cumplimiento, transparencia y gobierno</x:v>
      </x:c>
      <x:c r="E43" s="20" t="str">
        <x:v>SELECTED KPI
KPI_ID: LEG-015
KPI: Proyectos OSC con reglas de operación aplicables antes de aprobación
Department: Jurídico
BSC Perspective: Procesos internos
Strategic Objective: P5. Fortalecer cumplimiento, transparencia y gobierno
Owner: Jurídico
Purpose: Medir aplicación del marco de control, no producir un documento.
Formula: Proyectos OSC evaluados bajo reglas de operación vigentes ÷ proyectos OSC evaluados × 100
Direction: ↑ | Unit: % | Frequency: Por convocatoria / trimestral
2023: 84.0% | 2024: 88.9% | 2025: 94.0% | 2026: 100.0%
3Y Baseline: 89.0% | Target 2026: 100%
Direction-adjusted momentum: +12.4% | Status: Strong improvement
Warning threshold: &lt;100% | Critical threshold: &lt;100% si hubo desembolso
Underlying 2026 values: Proyectos OSC evaluados bajo reglas de operación vigentes = 125 # / base; proyectos OSC evaluados = 125 # / base
Static action from catalog: Revisar desviación y definir acción correctiva cuando no se alcance la meta.
Anti-gaming control: Las reglas deben estar aprobadas antes del dictamen y no modificarse retroactivamente.
RELATED KPI CONTEXT
- LEG-003 | Reducción de cargas regulatorias duplicadas con cumplimiento íntegro | 2026=52.0% | baseline=41.0% | momentum=+26.8% | status=Strong improvement | relation=Same strategic objective; Same department; Same BSC perspective
- LEG-016 | Donativos a OSC con convenio formalizado previo al desembolso | 2026=100.0% | baseline=89.2% | momentum=+12.1% | status=Strong improvement | relation=Same strategic objective; Same department; Same BSC perspective
- LEG-017 | Proyectos OSC con cierre operativo-financiero validado | 2026=100.0% | baseline=89.0% | momentum=+12.4% | status=Strong improvement | relation=Same strategic objective; Same department; Same BSC perspective
- LEG-001 | Tiempo de ciclo para liberación contractual | 2026=3.1 Días hábiles | baseline=4.9 Días hábiles | momentum=+36.7% | status=Strong improvement | relation=Strategic-map adjacent objective; Same department; Same BSC perspective
- LEG-004 | Reducción de procesos administrativos duplicados por estructura societaria | 2026=52.0% | baseline=41.0% | momentum=+26.8% | status=Strong improvement | relation=Strategic-map adjacent objective; Same department; Same BSC perspective
- REC-P06 | Obligaciones regulatorias vencidas | 2026=0 # | baseline=3 # | momentum=+100.0% | status=Strong improvement | relation=Same strategic objective; Same department; Same BSC perspective
- LEG-002 | Expedientes jurídicos completos en repositorio digital | 2026=100.0% | baseline=89.1% | momentum=+12.2% | status=Strong improvement | relation=Strategic-map adjacent objective; Same department
- ADM-001 | Facturación de donativos emitida dentro del SLA | 2026=100.0% | baseline=89.1% | momentum=+12.3% | status=Strong improvement | relation=Strategic-map adjacent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43" s="20" t="str">
        <x:v>Analyze the selected KPI using only the supplied context. Explain what is changing, what related KPIs matter, what should be investigated first, and recommend a concrete next action.</x:v>
      </x:c>
      <x:c r="G43" s="20" t="str">
        <x:v>1) Diagnosis; 2) Evidence; 3) Likely Drivers; 4) Recommended Action; 5) Confidence &amp; Data Gaps</x:v>
      </x:c>
      <x:c r="H43" s="20" t="str">
        <x:v>PROTOTYPE ONLY — synthetic data; human approval required.</x:v>
      </x:c>
    </x:row>
    <x:row r="44" ht="90" customHeight="1">
      <x:c r="A44" s="20" t="str">
        <x:v>LEG-016</x:v>
      </x:c>
      <x:c r="B44" s="20" t="str">
        <x:v>Donativos a OSC con convenio formalizado previo al desembolso</x:v>
      </x:c>
      <x:c r="C44" s="20" t="str">
        <x:v>Jurídico</x:v>
      </x:c>
      <x:c r="D44" s="20" t="str">
        <x:v>P5. Fortalecer cumplimiento, transparencia y gobierno</x:v>
      </x:c>
      <x:c r="E44" s="20" t="str">
        <x:v>SELECTED KPI
KPI_ID: LEG-016
KPI: Donativos a OSC con convenio formalizado previo al desembolso
Department: Jurídico
BSC Perspective: Procesos internos
Strategic Objective: P5. Fortalecer cumplimiento, transparencia y gobierno
Owner: Jurídico
Purpose: Proteger jurídicamente los apoyos económicos.
Formula: Donativos/proyectos con convenio firmado antes del desembolso ÷ donativos/proyectos aprobados × 100
Direction: ↑ | Unit: % | Frequency: Por operación / trimestral
2023: 84.3% | 2024: 89.5% | 2025: 93.8% | 2026: 100.0%
3Y Baseline: 89.2% | Target 2026: 100% (4 proyectos previstos)
Direction-adjusted momentum: +12.1% | Status: Strong improvement
Warning threshold: &lt;100% | Critical threshold: Cualquier desembolso sin convenio
Underlying 2026 values: Donativos/proyectos con convenio firmado antes del desembolso = 88.00 Moneda; donativos/proyectos aprobados = 88.00 Moneda
Static action from catalog: Revisar desviación y definir acción correctiva cuando no se alcance la meta.
Anti-gaming control: La fecha de firma debe preceder la fecha de desembolso.
RELATED KPI CONTEXT
- LEG-003 | Reducción de cargas regulatorias duplicadas con cumplimiento íntegro | 2026=52.0% | baseline=41.0% | momentum=+26.8% | status=Strong improvement | relation=Same strategic objective; Same department; Same BSC perspective
- LEG-015 | Proyectos OSC con reglas de operación aplicables antes de aprobación | 2026=100.0% | baseline=89.0% | momentum=+12.4% | status=Strong improvement | relation=Same strategic objective; Same department; Same BSC perspective
- LEG-017 | Proyectos OSC con cierre operativo-financiero validado | 2026=100.0% | baseline=89.0% | momentum=+12.4% | status=Strong improvement | relation=Same strategic objective; Same department; Same BSC perspective
- LEG-001 | Tiempo de ciclo para liberación contractual | 2026=3.1 Días hábiles | baseline=4.9 Días hábiles | momentum=+36.7% | status=Strong improvement | relation=Strategic-map adjacent objective; Same department; Same BSC perspective
- LEG-004 | Reducción de procesos administrativos duplicados por estructura societaria | 2026=52.0% | baseline=41.0% | momentum=+26.8% | status=Strong improvement | relation=Strategic-map adjacent objective; Same department; Same BSC perspective
- REC-P06 | Obligaciones regulatorias vencidas | 2026=0 # | baseline=3 # | momentum=+100.0% | status=Strong improvement | relation=Same strategic objective; Same department; Same BSC perspective
- LEG-002 | Expedientes jurídicos completos en repositorio digital | 2026=100.0% | baseline=89.1% | momentum=+12.2% | status=Strong improvement | relation=Strategic-map adjacent objective; Same department
- ADM-001 | Facturación de donativos emitida dentro del SLA | 2026=100.0% | baseline=89.1% | momentum=+12.3% | status=Strong improvement | relation=Strategic-map adjacent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44" s="20" t="str">
        <x:v>Analyze the selected KPI using only the supplied context. Explain what is changing, what related KPIs matter, what should be investigated first, and recommend a concrete next action.</x:v>
      </x:c>
      <x:c r="G44" s="20" t="str">
        <x:v>1) Diagnosis; 2) Evidence; 3) Likely Drivers; 4) Recommended Action; 5) Confidence &amp; Data Gaps</x:v>
      </x:c>
      <x:c r="H44" s="20" t="str">
        <x:v>PROTOTYPE ONLY — synthetic data; human approval required.</x:v>
      </x:c>
    </x:row>
    <x:row r="45" ht="90" customHeight="1">
      <x:c r="A45" s="20" t="str">
        <x:v>LEG-017</x:v>
      </x:c>
      <x:c r="B45" s="20" t="str">
        <x:v>Proyectos OSC con cierre operativo-financiero validado</x:v>
      </x:c>
      <x:c r="C45" s="20" t="str">
        <x:v>Jurídico</x:v>
      </x:c>
      <x:c r="D45" s="20" t="str">
        <x:v>P5. Fortalecer cumplimiento, transparencia y gobierno</x:v>
      </x:c>
      <x:c r="E45" s="20" t="str">
        <x:v>SELECTED KPI
KPI_ID: LEG-017
KPI: Proyectos OSC con cierre operativo-financiero validado
Department: Jurídico
BSC Perspective: Procesos internos
Strategic Objective: P5. Fortalecer cumplimiento, transparencia y gobierno
Owner: Jurídico + Operaciones
Purpose: Medir rendición de cuentas y protección del patrimonio.
Formula: Proyectos apoyados con cierre operativo y financiero validado ÷ proyectos apoyados concluidos × 100
Direction: ↑ | Unit: % | Frequency: Trimestral / cierre de proyecto
2023: 84.0% | 2024: 88.9% | 2025: 94.0% | 2026: 100.0%
3Y Baseline: 89.0% | Target 2026: 100%
Direction-adjusted momentum: +12.4% | Status: Strong improvement
Warning threshold: &lt;100% | Critical threshold: &lt;75% o recursos sin comprobar
Underlying 2026 values: Proyectos apoyados con cierre operativo y financiero validado = 125 # / base; proyectos apoyados concluidos = 125 # / base
Static action from catalog: Revisar desviación y definir acción correctiva cuando no se alcance la meta.
Anti-gaming control: El cierre requiere evidencia operativa, financiera y conciliación de recursos.
RELATED KPI CONTEXT
- LEG-003 | Reducción de cargas regulatorias duplicadas con cumplimiento íntegro | 2026=52.0% | baseline=41.0% | momentum=+26.8% | status=Strong improvement | relation=Same strategic objective; Same department; Same BSC perspective
- LEG-015 | Proyectos OSC con reglas de operación aplicables antes de aprobación | 2026=100.0% | baseline=89.0% | momentum=+12.4% | status=Strong improvement | relation=Same strategic objective; Same department; Same BSC perspective
- LEG-016 | Donativos a OSC con convenio formalizado previo al desembolso | 2026=100.0% | baseline=89.2% | momentum=+12.1% | status=Strong improvement | relation=Same strategic objective; Same department; Same BSC perspective
- LEG-001 | Tiempo de ciclo para liberación contractual | 2026=3.1 Días hábiles | baseline=4.9 Días hábiles | momentum=+36.7% | status=Strong improvement | relation=Strategic-map adjacent objective; Same department; Same BSC perspective
- LEG-004 | Reducción de procesos administrativos duplicados por estructura societaria | 2026=52.0% | baseline=41.0% | momentum=+26.8% | status=Strong improvement | relation=Strategic-map adjacent objective; Same department; Same BSC perspective
- REC-P06 | Obligaciones regulatorias vencidas | 2026=0 # | baseline=3 # | momentum=+100.0% | status=Strong improvement | relation=Same strategic objective; Same department; Same BSC perspective
- LEG-002 | Expedientes jurídicos completos en repositorio digital | 2026=100.0% | baseline=89.1% | momentum=+12.2% | status=Strong improvement | relation=Strategic-map adjacent objective; Same department
- ADM-001 | Facturación de donativos emitida dentro del SLA | 2026=100.0% | baseline=89.1% | momentum=+12.3% | status=Strong improvement | relation=Strategic-map adjacent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45" s="20" t="str">
        <x:v>Analyze the selected KPI using only the supplied context. Explain what is changing, what related KPIs matter, what should be investigated first, and recommend a concrete next action.</x:v>
      </x:c>
      <x:c r="G45" s="20" t="str">
        <x:v>1) Diagnosis; 2) Evidence; 3) Likely Drivers; 4) Recommended Action; 5) Confidence &amp; Data Gaps</x:v>
      </x:c>
      <x:c r="H45" s="20" t="str">
        <x:v>PROTOTYPE ONLY — synthetic data; human approval required.</x:v>
      </x:c>
    </x:row>
    <x:row r="46" ht="90" customHeight="1">
      <x:c r="A46" s="20" t="str">
        <x:v>FND-001</x:v>
      </x:c>
      <x:c r="B46" s="20" t="str">
        <x:v>Fondos recaudados — Tu Donativo x2 (Chivas)</x:v>
      </x:c>
      <x:c r="C46" s="20" t="str">
        <x:v>Procuración de Fondos</x:v>
      </x:c>
      <x:c r="D46" s="20" t="str">
        <x:v>F1. Diversificar y aumentar fuentes</x:v>
      </x:c>
      <x:c r="E46" s="20" t="str">
        <x:v>SELECTED KPI
KPI_ID: FND-001
KPI: Fondos recaudados — Tu Donativo x2 (Chivas)
Department: Procuración de Fondos
BSC Perspective: Sostenibilidad financiera
Strategic Objective: F1. Diversificar y aumentar fuentes
Owner: Procuración de Fondos
Purpose: Usar una meta absoluta verificable y conservar comparativo 2025 como contexto.
Formula: Suma de donativos efectivamente recibidos atribuibles a la campaña
Direction: ↑ | Unit: MXN | Frequency: Durante campaña / cierre
2023: 27,200 MXN | 2024: 31,200 MXN | 2025: 35,600 MXN | 2026: 40,800 MXN
3Y Baseline: 31,333 MXN | Target 2026: ≥$40,000 MXN y no menor a la media 2025
Direction-adjusted momentum: +30.2% | Status: Strong improvement
Warning threshold: &lt;100% de meta al cierre | Critical threshold: &lt;90% de meta al cierre
Underlying 2026 values: Suma de donativos efectivamente recibidos atribuibles a la campaña = 40,800 MXN
Static action from catalog: Revisar desviación y definir acción correctiva cuando no se alcance la meta.
Anti-gaming control: Contar efectivo recibido, neto de devoluciones; no compromisos no cobrados.
RELATED KPI CONTEXT
- FND-002 | Fondos recaudados — ¿Cuánto vale una sonrisa? México | 2026=100 MXN | baseline=359,989 MXN | momentum=-100.0% | status=Deteriorating | relation=Same strategic objective; Same department; Same BSC perspective
- FND-003 | Fondos recaudados — ¿Cuánto vale una sonrisa? USA | 2026=100 USD | baseline=29,989 USD | momentum=-99.7% | status=Deteriorating | relation=Same strategic objective; Same department; Same BSC perspective
- FND-004 | Fondos recaudados — ¿Cuánto vale una sonrisa? Perú | 2026=100 USD | baseline=2,989 USD | momentum=-96.7% | status=Deteriorating | relation=Same strategic objective; Same department; Same BSC perspective
- REC-P07 | Conversión de alianzas estratégicas a recursos o capacidad programática | 2026=72.0% | baseline=61.2% | momentum=+17.7% | status=Strong improvement | relation=Strategic-map adjacent objective; Same department
- FND-016 | Nuevas alianzas estratégicas activas por país | 2026=4 # alianzas | baseline=3 # alianzas | momentum=+50.0% | status=Strong improvement | relation=Strategic-map adjacent objective; Same department
- FND-005 | Sell-through de artículos Mes de Fundación | 2026=100.0% | baseline=89.0% | momentum=+12.4% | status=Strong improvement | relation=Same strategic objective; Same department; Same BSC perspective
- FND-017 | Fondos recaudados — Subasta Omnilife | 2026=100 MXN | baseline=1,599,989 MXN | momentum=-100.0% | status=Deteriorating | relation=Same strategic objective; Same department; Same BSC perspective
- REC-F01 | Cumplimiento de meta total de procuración | 2026=100.0% | baseline=89.0% | momentum=+12.4%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46" s="20" t="str">
        <x:v>Analyze the selected KPI using only the supplied context. Explain what is changing, what related KPIs matter, what should be investigated first, and recommend a concrete next action.</x:v>
      </x:c>
      <x:c r="G46" s="20" t="str">
        <x:v>1) Diagnosis; 2) Evidence; 3) Likely Drivers; 4) Recommended Action; 5) Confidence &amp; Data Gaps</x:v>
      </x:c>
      <x:c r="H46" s="20" t="str">
        <x:v>PROTOTYPE ONLY — synthetic data; human approval required.</x:v>
      </x:c>
    </x:row>
    <x:row r="47" ht="90" customHeight="1">
      <x:c r="A47" s="20" t="str">
        <x:v>FND-002</x:v>
      </x:c>
      <x:c r="B47" s="20" t="str">
        <x:v>Fondos recaudados — ¿Cuánto vale una sonrisa? México</x:v>
      </x:c>
      <x:c r="C47" s="20" t="str">
        <x:v>Procuración de Fondos</x:v>
      </x:c>
      <x:c r="D47" s="20" t="str">
        <x:v>F1. Diversificar y aumentar fuentes</x:v>
      </x:c>
      <x:c r="E47" s="20" t="str">
        <x:v>SELECTED KPI
KPI_ID: FND-002
KPI: Fondos recaudados — ¿Cuánto vale una sonrisa? México
Department: Procuración de Fondos
BSC Perspective: Sostenibilidad financiera
Strategic Objective: F1. Diversificar y aumentar fuentes
Owner: Procuración de Fondos
Purpose: Priorizar resultado financiero absoluto sobre crecimiento porcentual aislado.
Formula: Suma de donativos efectivamente recibidos en la campaña México
Direction: ↑ | Unit: MXN | Frequency: Mensual durante campaña
2023: 359,984 MXN | 2024: 359,989 MXN | 2025: 359,994 MXN | 2026: 100 MXN
3Y Baseline: 359,989 MXN | Target 2026: ≥$360,000 MXN y ≥20% vs 2025
Direction-adjusted momentum: -100.0% | Status: Deteriorating
Warning threshold: &lt;100% de meta | Critical threshold: &lt;90% de meta
Underlying 2026 values: Suma de donativos efectivamente recibidos en la campaña México = 100 MXN
Static action from catalog: Revisar desviación y definir acción correctiva cuando no se alcance la meta.
Anti-gaming control: Separar aportaciones recurrentes y extraordinarias; contar efectivo recibido.
RELATED KPI CONTEXT
- FND-001 | Fondos recaudados — Tu Donativo x2 (Chivas) | 2026=40,800 MXN | baseline=31,333 MXN | momentum=+30.2% | status=Strong improvement | relation=Same strategic objective; Same department; Same BSC perspective
- FND-003 | Fondos recaudados — ¿Cuánto vale una sonrisa? USA | 2026=100 USD | baseline=29,989 USD | momentum=-99.7% | status=Deteriorating | relation=Same strategic objective; Same department; Same BSC perspective
- FND-004 | Fondos recaudados — ¿Cuánto vale una sonrisa? Perú | 2026=100 USD | baseline=2,989 USD | momentum=-96.7% | status=Deteriorating | relation=Same strategic objective; Same department; Same BSC perspective
- REC-P07 | Conversión de alianzas estratégicas a recursos o capacidad programática | 2026=72.0% | baseline=61.2% | momentum=+17.7% | status=Strong improvement | relation=Strategic-map adjacent objective; Same department
- FND-016 | Nuevas alianzas estratégicas activas por país | 2026=4 # alianzas | baseline=3 # alianzas | momentum=+50.0% | status=Strong improvement | relation=Strategic-map adjacent objective; Same department
- FND-005 | Sell-through de artículos Mes de Fundación | 2026=100.0% | baseline=89.0% | momentum=+12.4% | status=Strong improvement | relation=Same strategic objective; Same department; Same BSC perspective
- FND-017 | Fondos recaudados — Subasta Omnilife | 2026=100 MXN | baseline=1,599,989 MXN | momentum=-100.0% | status=Deteriorating | relation=Same strategic objective; Same department; Same BSC perspective
- REC-F01 | Cumplimiento de meta total de procuración | 2026=100.0% | baseline=89.0% | momentum=+12.4%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47" s="20" t="str">
        <x:v>Analyze the selected KPI using only the supplied context. Explain what is changing, what related KPIs matter, what should be investigated first, and recommend a concrete next action.</x:v>
      </x:c>
      <x:c r="G47" s="20" t="str">
        <x:v>1) Diagnosis; 2) Evidence; 3) Likely Drivers; 4) Recommended Action; 5) Confidence &amp; Data Gaps</x:v>
      </x:c>
      <x:c r="H47" s="20" t="str">
        <x:v>PROTOTYPE ONLY — synthetic data; human approval required.</x:v>
      </x:c>
    </x:row>
    <x:row r="48" ht="90" customHeight="1">
      <x:c r="A48" s="20" t="str">
        <x:v>FND-003</x:v>
      </x:c>
      <x:c r="B48" s="20" t="str">
        <x:v>Fondos recaudados — ¿Cuánto vale una sonrisa? USA</x:v>
      </x:c>
      <x:c r="C48" s="20" t="str">
        <x:v>Procuración de Fondos</x:v>
      </x:c>
      <x:c r="D48" s="20" t="str">
        <x:v>F1. Diversificar y aumentar fuentes</x:v>
      </x:c>
      <x:c r="E48" s="20" t="str">
        <x:v>SELECTED KPI
KPI_ID: FND-003
KPI: Fondos recaudados — ¿Cuánto vale una sonrisa? USA
Department: Procuración de Fondos
BSC Perspective: Sostenibilidad financiera
Strategic Objective: F1. Diversificar y aumentar fuentes
Owner: Procuración de Fondos
Purpose: Medir recaudación real en USA.
Formula: Suma de donativos efectivamente recibidos en la campaña USA
Direction: ↑ | Unit: USD | Frequency: Mensual durante campaña
2023: 29,984 USD | 2024: 29,989 USD | 2025: 29,994 USD | 2026: 100 USD
3Y Baseline: 29,989 USD | Target 2026: ≥$30,000 USD y ≥20% vs 2025
Direction-adjusted momentum: -99.7% | Status: Deteriorating
Warning threshold: &lt;100% de meta | Critical threshold: &lt;90% de meta
Underlying 2026 values: Suma de donativos efectivamente recibidos en la campaña USA = 100 USD
Static action from catalog: Revisar desviación y definir acción correctiva cuando no se alcance la meta.
Anti-gaming control: Mantener moneda original y reportar tipo de cambio sólo para consolidación.
RELATED KPI CONTEXT
- FND-001 | Fondos recaudados — Tu Donativo x2 (Chivas) | 2026=40,800 MXN | baseline=31,333 MXN | momentum=+30.2% | status=Strong improvement | relation=Same strategic objective; Same department; Same BSC perspective
- FND-002 | Fondos recaudados — ¿Cuánto vale una sonrisa? México | 2026=100 MXN | baseline=359,989 MXN | momentum=-100.0% | status=Deteriorating | relation=Same strategic objective; Same department; Same BSC perspective
- FND-004 | Fondos recaudados — ¿Cuánto vale una sonrisa? Perú | 2026=100 USD | baseline=2,989 USD | momentum=-96.7% | status=Deteriorating | relation=Same strategic objective; Same department; Same BSC perspective
- REC-P07 | Conversión de alianzas estratégicas a recursos o capacidad programática | 2026=72.0% | baseline=61.2% | momentum=+17.7% | status=Strong improvement | relation=Strategic-map adjacent objective; Same department
- FND-016 | Nuevas alianzas estratégicas activas por país | 2026=4 # alianzas | baseline=3 # alianzas | momentum=+50.0% | status=Strong improvement | relation=Strategic-map adjacent objective; Same department
- FND-005 | Sell-through de artículos Mes de Fundación | 2026=100.0% | baseline=89.0% | momentum=+12.4% | status=Strong improvement | relation=Same strategic objective; Same department; Same BSC perspective
- FND-017 | Fondos recaudados — Subasta Omnilife | 2026=100 MXN | baseline=1,599,989 MXN | momentum=-100.0% | status=Deteriorating | relation=Same strategic objective; Same department; Same BSC perspective
- REC-F01 | Cumplimiento de meta total de procuración | 2026=100.0% | baseline=89.0% | momentum=+12.4%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48" s="20" t="str">
        <x:v>Analyze the selected KPI using only the supplied context. Explain what is changing, what related KPIs matter, what should be investigated first, and recommend a concrete next action.</x:v>
      </x:c>
      <x:c r="G48" s="20" t="str">
        <x:v>1) Diagnosis; 2) Evidence; 3) Likely Drivers; 4) Recommended Action; 5) Confidence &amp; Data Gaps</x:v>
      </x:c>
      <x:c r="H48" s="20" t="str">
        <x:v>PROTOTYPE ONLY — synthetic data; human approval required.</x:v>
      </x:c>
    </x:row>
    <x:row r="49" ht="90" customHeight="1">
      <x:c r="A49" s="20" t="str">
        <x:v>FND-004</x:v>
      </x:c>
      <x:c r="B49" s="20" t="str">
        <x:v>Fondos recaudados — ¿Cuánto vale una sonrisa? Perú</x:v>
      </x:c>
      <x:c r="C49" s="20" t="str">
        <x:v>Procuración de Fondos</x:v>
      </x:c>
      <x:c r="D49" s="20" t="str">
        <x:v>F1. Diversificar y aumentar fuentes</x:v>
      </x:c>
      <x:c r="E49" s="20" t="str">
        <x:v>SELECTED KPI
KPI_ID: FND-004
KPI: Fondos recaudados — ¿Cuánto vale una sonrisa? Perú
Department: Procuración de Fondos
BSC Perspective: Sostenibilidad financiera
Strategic Objective: F1. Diversificar y aumentar fuentes
Owner: Procuración de Fondos
Purpose: Medir recaudación real en Perú.
Formula: Suma de donativos efectivamente recibidos en la campaña Perú
Direction: ↑ | Unit: USD | Frequency: Mensual durante campaña
2023: 2,984 USD | 2024: 2,989 USD | 2025: 2,994 USD | 2026: 100 USD
3Y Baseline: 2,989 USD | Target 2026: ≥$3,000 USD y ≥20% vs 2025
Direction-adjusted momentum: -96.7% | Status: Deteriorating
Warning threshold: &lt;100% de meta | Critical threshold: &lt;90% de meta
Underlying 2026 values: Suma de donativos efectivamente recibidos en la campaña Perú = 100 USD
Static action from catalog: Revisar desviación y definir acción correctiva cuando no se alcance la meta.
Anti-gaming control: Contar efectivo recibido; separar efecto cambiario.
RELATED KPI CONTEXT
- FND-001 | Fondos recaudados — Tu Donativo x2 (Chivas) | 2026=40,800 MXN | baseline=31,333 MXN | momentum=+30.2% | status=Strong improvement | relation=Same strategic objective; Same department; Same BSC perspective
- FND-002 | Fondos recaudados — ¿Cuánto vale una sonrisa? México | 2026=100 MXN | baseline=359,989 MXN | momentum=-100.0% | status=Deteriorating | relation=Same strategic objective; Same department; Same BSC perspective
- FND-003 | Fondos recaudados — ¿Cuánto vale una sonrisa? USA | 2026=100 USD | baseline=29,989 USD | momentum=-99.7% | status=Deteriorating | relation=Same strategic objective; Same department; Same BSC perspective
- REC-P07 | Conversión de alianzas estratégicas a recursos o capacidad programática | 2026=72.0% | baseline=61.2% | momentum=+17.7% | status=Strong improvement | relation=Strategic-map adjacent objective; Same department
- FND-016 | Nuevas alianzas estratégicas activas por país | 2026=4 # alianzas | baseline=3 # alianzas | momentum=+50.0% | status=Strong improvement | relation=Strategic-map adjacent objective; Same department
- FND-005 | Sell-through de artículos Mes de Fundación | 2026=100.0% | baseline=89.0% | momentum=+12.4% | status=Strong improvement | relation=Same strategic objective; Same department; Same BSC perspective
- FND-017 | Fondos recaudados — Subasta Omnilife | 2026=100 MXN | baseline=1,599,989 MXN | momentum=-100.0% | status=Deteriorating | relation=Same strategic objective; Same department; Same BSC perspective
- REC-F01 | Cumplimiento de meta total de procuración | 2026=100.0% | baseline=89.0% | momentum=+12.4%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49" s="20" t="str">
        <x:v>Analyze the selected KPI using only the supplied context. Explain what is changing, what related KPIs matter, what should be investigated first, and recommend a concrete next action.</x:v>
      </x:c>
      <x:c r="G49" s="20" t="str">
        <x:v>1) Diagnosis; 2) Evidence; 3) Likely Drivers; 4) Recommended Action; 5) Confidence &amp; Data Gaps</x:v>
      </x:c>
      <x:c r="H49" s="20" t="str">
        <x:v>PROTOTYPE ONLY — synthetic data; human approval required.</x:v>
      </x:c>
    </x:row>
    <x:row r="50" ht="90" customHeight="1">
      <x:c r="A50" s="20" t="str">
        <x:v>FND-005</x:v>
      </x:c>
      <x:c r="B50" s="20" t="str">
        <x:v>Sell-through de artículos Mes de Fundación</x:v>
      </x:c>
      <x:c r="C50" s="20" t="str">
        <x:v>Procuración de Fondos</x:v>
      </x:c>
      <x:c r="D50" s="20" t="str">
        <x:v>F1. Diversificar y aumentar fuentes</x:v>
      </x:c>
      <x:c r="E50" s="20" t="str">
        <x:v>SELECTED KPI
KPI_ID: FND-005
KPI: Sell-through de artículos Mes de Fundación
Department: Procuración de Fondos
BSC Perspective: Sostenibilidad financiera
Strategic Objective: F1. Diversificar y aumentar fuentes
Owner: Procuración de Fondos
Purpose: Evitar sobreproducción y pérdida de inventario.
Formula: Unidades vendidas ÷ unidades producidas disponibles para venta × 100
Direction: ↑ | Unit: % | Frequency: Semanal durante campaña
2023: 84.0% | 2024: 88.9% | 2025: 94.0% | 2026: 100.0%
3Y Baseline: 89.0% | Target 2026: 100%
Direction-adjusted momentum: +12.4% | Status: Strong improvement
Warning threshold: 90–99.9% | Critical threshold: &lt;90%
Underlying 2026 values: Unidades vendidas = 125 # / base; unidades producidas disponibles para venta = 125 # / base
Static action from catalog: Revisar desviación y definir acción correctiva cuando no se alcance la meta.
Anti-gaming control: Acompañar con margen/contribución y valor de inventario; no reducir artificialmente producción para asegurar 100%.
RELATED KPI CONTEXT
- FND-001 | Fondos recaudados — Tu Donativo x2 (Chivas) | 2026=40,800 MXN | baseline=31,333 MXN | momentum=+30.2% | status=Strong improvement | relation=Same strategic objective; Same department; Same BSC perspective
- FND-002 | Fondos recaudados — ¿Cuánto vale una sonrisa? México | 2026=100 MXN | baseline=359,989 MXN | momentum=-100.0% | status=Deteriorating | relation=Same strategic objective; Same department; Same BSC perspective
- FND-003 | Fondos recaudados — ¿Cuánto vale una sonrisa? USA | 2026=100 USD | baseline=29,989 USD | momentum=-99.7% | status=Deteriorating | relation=Same strategic objective; Same department; Same BSC perspective
- REC-P07 | Conversión de alianzas estratégicas a recursos o capacidad programática | 2026=72.0% | baseline=61.2% | momentum=+17.7% | status=Strong improvement | relation=Strategic-map adjacent objective; Same department
- FND-016 | Nuevas alianzas estratégicas activas por país | 2026=4 # alianzas | baseline=3 # alianzas | momentum=+50.0% | status=Strong improvement | relation=Strategic-map adjacent objective; Same department
- FND-004 | Fondos recaudados — ¿Cuánto vale una sonrisa? Perú | 2026=100 USD | baseline=2,989 USD | momentum=-96.7% | status=Deteriorating | relation=Same strategic objective; Same department; Same BSC perspective
- FND-017 | Fondos recaudados — Subasta Omnilife | 2026=100 MXN | baseline=1,599,989 MXN | momentum=-100.0% | status=Deteriorating | relation=Same strategic objective; Same department; Same BSC perspective
- REC-F01 | Cumplimiento de meta total de procuración | 2026=100.0% | baseline=89.0% | momentum=+12.4%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50" s="20" t="str">
        <x:v>Analyze the selected KPI using only the supplied context. Explain what is changing, what related KPIs matter, what should be investigated first, and recommend a concrete next action.</x:v>
      </x:c>
      <x:c r="G50" s="20" t="str">
        <x:v>1) Diagnosis; 2) Evidence; 3) Likely Drivers; 4) Recommended Action; 5) Confidence &amp; Data Gaps</x:v>
      </x:c>
      <x:c r="H50" s="20" t="str">
        <x:v>PROTOTYPE ONLY — synthetic data; human approval required.</x:v>
      </x:c>
    </x:row>
    <x:row r="51" ht="90" customHeight="1">
      <x:c r="A51" s="20" t="str">
        <x:v>FND-006</x:v>
      </x:c>
      <x:c r="B51" s="20" t="str">
        <x:v>Nuevos donantes recurrentes — USA</x:v>
      </x:c>
      <x:c r="C51" s="20" t="str">
        <x:v>Procuración de Fondos</x:v>
      </x:c>
      <x:c r="D51" s="20" t="str">
        <x:v>F2. Incrementar y retener donantes recurrentes</x:v>
      </x:c>
      <x:c r="E51" s="20" t="str">
        <x:v>SELECTED KPI
KPI_ID: FND-006
KPI: Nuevos donantes recurrentes — USA
Department: Procuración de Fondos
BSC Perspective: Sostenibilidad financiera
Strategic Objective: F2. Incrementar y retener donantes recurrentes
Owner: Procuración de Fondos
Purpose: Usar la meta absoluta y conservar el crecimiento como referencia.
Formula: Número de personas que inician una donación recurrente activa en USA durante 2026
Direction: ↑ | Unit: # donantes | Frequency: Mensual
2023: 57 # donantes | 2024: 62 # donantes | 2025: 67 # donantes | 2026: 73 # donantes
3Y Baseline: 62 # donantes | Target 2026: ≥5 nuevos y ≥71% vs baseline 2025
Direction-adjusted momentum: +17.7% | Status: Strong improvement
Warning threshold: &lt;5 al cierre | Critical threshold: &lt;4 al cierre
Underlying 2026 values: Número de personas que inician una donación recurrente activa en USA durante 2026 = 73 #
Static action from catalog: Revisar desviación y definir acción correctiva cuando no se alcance la meta.
Anti-gaming control: Contar sólo donantes con primer cobro exitoso y método recurrente activo.
RELATED KPI CONTEXT
- FND-007 | Nuevos donantes recurrentes — México | 2026=15 # donantes | baseline=12 # donantes | momentum=+25.0% | status=Strong improvement | relation=Same strategic objective; Same department; Same BSC perspective
- FND-008 | Nuevos donantes recurrentes — Perú | 2026=8 # donantes | baseline=6 # donantes | momentum=+41.2% | status=Strong improvement | relation=Same strategic objective; Same department; Same BSC perspective
- FND-009 | Nuevos donantes recurrentes — Colombia | 2026=5 # donantes | baseline=3 # donantes | momentum=+50.0% | status=Strong improvement | relation=Same strategic objective; Same department; Same BSC perspective
- REC-M02 | Costo de adquisición de nuevo donante | 2026=760.00 MXN/USD por donante | baseline=896.67 MXN/USD por donante | momentum=+15.2% | status=Strong improvement | relation=Strategic-map adjacent objective
- REC-P03 | Conversión de campaña a nuevo donante | 2026=100.0% | baseline=2015.0% | momentum=-95.0% | status=Deteriorating | relation=Strategic-map adjacent objective
- FND-011 | Conversión de voluntarios staff a donantes recurrentes | 2026=4.0% | baseline=3.2% | momentum=+23.7% | status=Strong improvement | relation=Same strategic objective; Same department; Same BSC perspective
- FND-013 | Nuevos donantes recurrentes EOS — Perú | 2026=2 # donantes | baseline=1 # donantes | momentum=+50.0% | status=Strong improvement | relation=Same strategic objective; Same department; Same BSC perspective
- FND-014 | Nuevos donantes recurrentes EOS — Colombia | 2026=2 # donantes | baseline=1 # donantes | momentum=+50.0%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51" s="20" t="str">
        <x:v>Analyze the selected KPI using only the supplied context. Explain what is changing, what related KPIs matter, what should be investigated first, and recommend a concrete next action.</x:v>
      </x:c>
      <x:c r="G51" s="20" t="str">
        <x:v>1) Diagnosis; 2) Evidence; 3) Likely Drivers; 4) Recommended Action; 5) Confidence &amp; Data Gaps</x:v>
      </x:c>
      <x:c r="H51" s="20" t="str">
        <x:v>PROTOTYPE ONLY — synthetic data; human approval required.</x:v>
      </x:c>
    </x:row>
    <x:row r="52" ht="90" customHeight="1">
      <x:c r="A52" s="20" t="str">
        <x:v>FND-007</x:v>
      </x:c>
      <x:c r="B52" s="20" t="str">
        <x:v>Nuevos donantes recurrentes — México</x:v>
      </x:c>
      <x:c r="C52" s="20" t="str">
        <x:v>Procuración de Fondos</x:v>
      </x:c>
      <x:c r="D52" s="20" t="str">
        <x:v>F2. Incrementar y retener donantes recurrentes</x:v>
      </x:c>
      <x:c r="E52" s="20" t="str">
        <x:v>SELECTED KPI
KPI_ID: FND-007
KPI: Nuevos donantes recurrentes — México
Department: Procuración de Fondos
BSC Perspective: Sostenibilidad financiera
Strategic Objective: F2. Incrementar y retener donantes recurrentes
Owner: Procuración de Fondos
Purpose: Medir adquisición recurrente real.
Formula: Número de personas que inician una donación recurrente activa en México durante 2026
Direction: ↑ | Unit: # donantes | Frequency: Mensual
2023: 10 # donantes | 2024: 12 # donantes | 2025: 14 # donantes | 2026: 15 # donantes
3Y Baseline: 12 # donantes | Target 2026: ≥30 nuevos y ≥15% vs 2025
Direction-adjusted momentum: +25.0% | Status: Strong improvement
Warning threshold: &lt;30 al cierre | Critical threshold: &lt;25 al cierre
Underlying 2026 values: Número de personas que inician una donación recurrente activa en México durante 2026 = 15 #
Static action from catalog: Revisar desviación y definir acción correctiva cuando no se alcance la meta.
Anti-gaming control: Contar sólo donantes con primer cobro exitoso; evitar doble conteo de reactivaciones.
RELATED KPI CONTEXT
- FND-006 | Nuevos donantes recurrentes — USA | 2026=73 # donantes | baseline=62 # donantes | momentum=+17.7% | status=Strong improvement | relation=Same strategic objective; Same department; Same BSC perspective
- FND-008 | Nuevos donantes recurrentes — Perú | 2026=8 # donantes | baseline=6 # donantes | momentum=+41.2% | status=Strong improvement | relation=Same strategic objective; Same department; Same BSC perspective
- FND-009 | Nuevos donantes recurrentes — Colombia | 2026=5 # donantes | baseline=3 # donantes | momentum=+50.0% | status=Strong improvement | relation=Same strategic objective; Same department; Same BSC perspective
- REC-M02 | Costo de adquisición de nuevo donante | 2026=760.00 MXN/USD por donante | baseline=896.67 MXN/USD por donante | momentum=+15.2% | status=Strong improvement | relation=Strategic-map adjacent objective
- REC-P03 | Conversión de campaña a nuevo donante | 2026=100.0% | baseline=2015.0% | momentum=-95.0% | status=Deteriorating | relation=Strategic-map adjacent objective
- FND-011 | Conversión de voluntarios staff a donantes recurrentes | 2026=4.0% | baseline=3.2% | momentum=+23.7% | status=Strong improvement | relation=Same strategic objective; Same department; Same BSC perspective
- FND-013 | Nuevos donantes recurrentes EOS — Perú | 2026=2 # donantes | baseline=1 # donantes | momentum=+50.0% | status=Strong improvement | relation=Same strategic objective; Same department; Same BSC perspective
- FND-014 | Nuevos donantes recurrentes EOS — Colombia | 2026=2 # donantes | baseline=1 # donantes | momentum=+50.0%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52" s="20" t="str">
        <x:v>Analyze the selected KPI using only the supplied context. Explain what is changing, what related KPIs matter, what should be investigated first, and recommend a concrete next action.</x:v>
      </x:c>
      <x:c r="G52" s="20" t="str">
        <x:v>1) Diagnosis; 2) Evidence; 3) Likely Drivers; 4) Recommended Action; 5) Confidence &amp; Data Gaps</x:v>
      </x:c>
      <x:c r="H52" s="20" t="str">
        <x:v>PROTOTYPE ONLY — synthetic data; human approval required.</x:v>
      </x:c>
    </x:row>
    <x:row r="53" ht="90" customHeight="1">
      <x:c r="A53" s="20" t="str">
        <x:v>FND-008</x:v>
      </x:c>
      <x:c r="B53" s="20" t="str">
        <x:v>Nuevos donantes recurrentes — Perú</x:v>
      </x:c>
      <x:c r="C53" s="20" t="str">
        <x:v>Procuración de Fondos</x:v>
      </x:c>
      <x:c r="D53" s="20" t="str">
        <x:v>F2. Incrementar y retener donantes recurrentes</x:v>
      </x:c>
      <x:c r="E53" s="20" t="str">
        <x:v>SELECTED KPI
KPI_ID: FND-008
KPI: Nuevos donantes recurrentes — Perú
Department: Procuración de Fondos
BSC Perspective: Sostenibilidad financiera
Strategic Objective: F2. Incrementar y retener donantes recurrentes
Owner: Procuración de Fondos
Purpose: Medir construcción inicial de base recurrente en Perú.
Formula: Nuevos donantes con recurrencia activa y primer cobro exitoso
Direction: ↑ | Unit: # donantes | Frequency: Mensual
2023: 4 # donantes | 2024: 6 # donantes | 2025: 7 # donantes | 2026: 8 # donantes
3Y Baseline: 6 # donantes | Target 2026: ≥8
Direction-adjusted momentum: +41.2% | Status: Strong improvement
Warning threshold: &lt;8 al cierre | Critical threshold: &lt;6 al cierre
Underlying 2026 values: Nuevos donantes con recurrencia activa y primer cobro exitoso = 8 #
Static action from catalog: Revisar desviación y definir acción correctiva cuando no se alcance la meta.
Anti-gaming control: Reportar también valor recurrente mensual; no contar promesas sin cobro.
RELATED KPI CONTEXT
- FND-006 | Nuevos donantes recurrentes — USA | 2026=73 # donantes | baseline=62 # donantes | momentum=+17.7% | status=Strong improvement | relation=Same strategic objective; Same department; Same BSC perspective
- FND-007 | Nuevos donantes recurrentes — México | 2026=15 # donantes | baseline=12 # donantes | momentum=+25.0% | status=Strong improvement | relation=Same strategic objective; Same department; Same BSC perspective
- FND-009 | Nuevos donantes recurrentes — Colombia | 2026=5 # donantes | baseline=3 # donantes | momentum=+50.0% | status=Strong improvement | relation=Same strategic objective; Same department; Same BSC perspective
- REC-M02 | Costo de adquisición de nuevo donante | 2026=760.00 MXN/USD por donante | baseline=896.67 MXN/USD por donante | momentum=+15.2% | status=Strong improvement | relation=Strategic-map adjacent objective
- REC-P03 | Conversión de campaña a nuevo donante | 2026=100.0% | baseline=2015.0% | momentum=-95.0% | status=Deteriorating | relation=Strategic-map adjacent objective
- FND-011 | Conversión de voluntarios staff a donantes recurrentes | 2026=4.0% | baseline=3.2% | momentum=+23.7% | status=Strong improvement | relation=Same strategic objective; Same department; Same BSC perspective
- FND-013 | Nuevos donantes recurrentes EOS — Perú | 2026=2 # donantes | baseline=1 # donantes | momentum=+50.0% | status=Strong improvement | relation=Same strategic objective; Same department; Same BSC perspective
- FND-014 | Nuevos donantes recurrentes EOS — Colombia | 2026=2 # donantes | baseline=1 # donantes | momentum=+50.0%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53" s="20" t="str">
        <x:v>Analyze the selected KPI using only the supplied context. Explain what is changing, what related KPIs matter, what should be investigated first, and recommend a concrete next action.</x:v>
      </x:c>
      <x:c r="G53" s="20" t="str">
        <x:v>1) Diagnosis; 2) Evidence; 3) Likely Drivers; 4) Recommended Action; 5) Confidence &amp; Data Gaps</x:v>
      </x:c>
      <x:c r="H53" s="20" t="str">
        <x:v>PROTOTYPE ONLY — synthetic data; human approval required.</x:v>
      </x:c>
    </x:row>
    <x:row r="54" ht="90" customHeight="1">
      <x:c r="A54" s="20" t="str">
        <x:v>FND-009</x:v>
      </x:c>
      <x:c r="B54" s="20" t="str">
        <x:v>Nuevos donantes recurrentes — Colombia</x:v>
      </x:c>
      <x:c r="C54" s="20" t="str">
        <x:v>Procuración de Fondos</x:v>
      </x:c>
      <x:c r="D54" s="20" t="str">
        <x:v>F2. Incrementar y retener donantes recurrentes</x:v>
      </x:c>
      <x:c r="E54" s="20" t="str">
        <x:v>SELECTED KPI
KPI_ID: FND-009
KPI: Nuevos donantes recurrentes — Colombia
Department: Procuración de Fondos
BSC Perspective: Sostenibilidad financiera
Strategic Objective: F2. Incrementar y retener donantes recurrentes
Owner: Procuración de Fondos
Purpose: Medir construcción inicial de base recurrente en Colombia.
Formula: Nuevos donantes con recurrencia activa y primer cobro exitoso
Direction: ↑ | Unit: # donantes | Frequency: Mensual
2023: 2 # donantes | 2024: 4 # donantes | 2025: 4 # donantes | 2026: 5 # donantes
3Y Baseline: 3 # donantes | Target 2026: ≥5
Direction-adjusted momentum: +50.0% | Status: Strong improvement
Warning threshold: &lt;5 al cierre | Critical threshold: &lt;4 al cierre
Underlying 2026 values: Nuevos donantes con recurrencia activa y primer cobro exitoso = 5 #
Static action from catalog: Revisar desviación y definir acción correctiva cuando no se alcance la meta.
Anti-gaming control: Reportar también valor recurrente mensual; no contar promesas sin cobro.
RELATED KPI CONTEXT
- FND-006 | Nuevos donantes recurrentes — USA | 2026=73 # donantes | baseline=62 # donantes | momentum=+17.7% | status=Strong improvement | relation=Same strategic objective; Same department; Same BSC perspective
- FND-007 | Nuevos donantes recurrentes — México | 2026=15 # donantes | baseline=12 # donantes | momentum=+25.0% | status=Strong improvement | relation=Same strategic objective; Same department; Same BSC perspective
- FND-008 | Nuevos donantes recurrentes — Perú | 2026=8 # donantes | baseline=6 # donantes | momentum=+41.2% | status=Strong improvement | relation=Same strategic objective; Same department; Same BSC perspective
- REC-M02 | Costo de adquisición de nuevo donante | 2026=760.00 MXN/USD por donante | baseline=896.67 MXN/USD por donante | momentum=+15.2% | status=Strong improvement | relation=Strategic-map adjacent objective
- REC-P03 | Conversión de campaña a nuevo donante | 2026=100.0% | baseline=2015.0% | momentum=-95.0% | status=Deteriorating | relation=Strategic-map adjacent objective
- FND-011 | Conversión de voluntarios staff a donantes recurrentes | 2026=4.0% | baseline=3.2% | momentum=+23.7% | status=Strong improvement | relation=Same strategic objective; Same department; Same BSC perspective
- FND-013 | Nuevos donantes recurrentes EOS — Perú | 2026=2 # donantes | baseline=1 # donantes | momentum=+50.0% | status=Strong improvement | relation=Same strategic objective; Same department; Same BSC perspective
- FND-014 | Nuevos donantes recurrentes EOS — Colombia | 2026=2 # donantes | baseline=1 # donantes | momentum=+50.0%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54" s="20" t="str">
        <x:v>Analyze the selected KPI using only the supplied context. Explain what is changing, what related KPIs matter, what should be investigated first, and recommend a concrete next action.</x:v>
      </x:c>
      <x:c r="G54" s="20" t="str">
        <x:v>1) Diagnosis; 2) Evidence; 3) Likely Drivers; 4) Recommended Action; 5) Confidence &amp; Data Gaps</x:v>
      </x:c>
      <x:c r="H54" s="20" t="str">
        <x:v>PROTOTYPE ONLY — synthetic data; human approval required.</x:v>
      </x:c>
    </x:row>
    <x:row r="55" ht="90" customHeight="1">
      <x:c r="A55" s="20" t="str">
        <x:v>FND-010</x:v>
      </x:c>
      <x:c r="B55" s="20" t="str">
        <x:v>Participación de staff en voluntariado corporativo</x:v>
      </x:c>
      <x:c r="C55" s="20" t="str">
        <x:v>Procuración de Fondos</x:v>
      </x:c>
      <x:c r="D55" s="20" t="str">
        <x:v>C4. Fortalecer relación con donantes, aliados y comunidades</x:v>
      </x:c>
      <x:c r="E55" s="20" t="str">
        <x:v>SELECTED KPI
KPI_ID: FND-010
KPI: Participación de staff en voluntariado corporativo
Department: Procuración de Fondos
BSC Perspective: Beneficiarios y grupos de interés
Strategic Objective: C4. Fortalecer relación con donantes, aliados y comunidades
Owner: Procuración de Fondos
Purpose: Usar la meta absoluta del plan y crecimiento como contexto.
Formula: Número de voluntarios staff participantes por evento
Direction: ↑ | Unit: # voluntarios/evento | Frequency: Por evento
2023: 16 # voluntarios/evento | 2024: 20 # voluntarios/evento | 2025: 22 # voluntarios/evento | 2026: 26 # voluntarios/evento
3Y Baseline: 19 # voluntarios/evento | Target 2026: ≥40 por evento y ≥25% vs 2025
Direction-adjusted momentum: +34.5% | Status: Strong improvement
Warning threshold: &lt;40 | Critical threshold: &lt;32
Underlying 2026 values: Número de voluntarios staff participantes por evento = 26 #
Static action from catalog: Revisar desviación y definir acción correctiva cuando no se alcance la meta.
Anti-gaming control: Contar participación efectiva; reportar repetición de voluntarios si se usa alcance único.
RELATED KPI CONTEXT
- FND-012 | Participación de empresarios EOS en voluntariado | 2026=15 # participantes | baseline=12 # participantes | momentum=+25.0% | status=Strong improvement | relation=Same strategic objective; Same department; Same BSC perspective
- REC-C04 | Retención de aliados estratégicos activos | 2026=88.0% | baseline=74.4% | momentum=+18.3% | status=Strong improvement | relation=Same strategic objective; Same department; Same BSC perspective
- MKT-007 | Embajadores Omnilife activos en campaña de nutrición | 2026=100 % y # | baseline=89 % y # | momentum=+12.7% | status=Strong improvement | relation=Same strategic objective; Same BSC perspective
- FND-016 | Nuevas alianzas estratégicas activas por país | 2026=4 # alianzas | baseline=3 # alianzas | momentum=+50.0% | status=Strong improvement | relation=Strategic-map adjacent objective; Same department
- REC-P07 | Conversión de alianzas estratégicas a recursos o capacidad programática | 2026=72.0% | baseline=61.2% | momentum=+17.7% | status=Strong improvement | relation=Strategic-map adjacent objective; Same department
- FND-001 | Fondos recaudados — Tu Donativo x2 (Chivas) | 2026=40,800 MXN | baseline=31,333 MXN | momentum=+30.2% | status=Strong improvement | relation=Same department
- FND-002 | Fondos recaudados — ¿Cuánto vale una sonrisa? México | 2026=100 MXN | baseline=359,989 MXN | momentum=-100.0% | status=Deteriorating | relation=Same department
- ADM-006 | Informes regulatorios presentados en tiempo y forma | 2026=100.0% | baseline=89.0% | momentum=+12.4% | status=Strong improvement | relation=Same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55" s="20" t="str">
        <x:v>Analyze the selected KPI using only the supplied context. Explain what is changing, what related KPIs matter, what should be investigated first, and recommend a concrete next action.</x:v>
      </x:c>
      <x:c r="G55" s="20" t="str">
        <x:v>1) Diagnosis; 2) Evidence; 3) Likely Drivers; 4) Recommended Action; 5) Confidence &amp; Data Gaps</x:v>
      </x:c>
      <x:c r="H55" s="20" t="str">
        <x:v>PROTOTYPE ONLY — synthetic data; human approval required.</x:v>
      </x:c>
    </x:row>
    <x:row r="56" ht="90" customHeight="1">
      <x:c r="A56" s="20" t="str">
        <x:v>FND-011</x:v>
      </x:c>
      <x:c r="B56" s="20" t="str">
        <x:v>Conversión de voluntarios staff a donantes recurrentes</x:v>
      </x:c>
      <x:c r="C56" s="20" t="str">
        <x:v>Procuración de Fondos</x:v>
      </x:c>
      <x:c r="D56" s="20" t="str">
        <x:v>F2. Incrementar y retener donantes recurrentes</x:v>
      </x:c>
      <x:c r="E56" s="20" t="str">
        <x:v>SELECTED KPI
KPI_ID: FND-011
KPI: Conversión de voluntarios staff a donantes recurrentes
Department: Procuración de Fondos
BSC Perspective: Sostenibilidad financiera
Strategic Objective: F2. Incrementar y retener donantes recurrentes
Owner: Procuración de Fondos
Purpose: Medir conversión real; el +4% original no es interpretable sin denominador.
Formula: Nuevos donantes recurrentes atribuibles al voluntariado ÷ participantes elegibles del voluntariado × 100
Direction: ↑ | Unit: % | Frequency: Por evento / 30 días posteriores
2023: 2.8% | 2024: 3.1% | 2025: 3.8% | 2026: 4.0%
3Y Baseline: 3.2% | Target 2026: ≥3 nuevos donantes por evento y mejora de ≥4% vs baseline
Direction-adjusted momentum: +23.7% | Status: Strong improvement
Warning threshold: &lt;3 donantes por evento | Critical threshold: 0 conversiones
Underlying 2026 values: Nuevos donantes recurrentes atribuibles al voluntariado = 9 # / base; participantes elegibles del voluntariado = 225 # / base
Static action from catalog: Revisar desviación y definir acción correctiva cuando no se alcance la meta.
Anti-gaming control: Definir ventana de atribución y deduplicar donantes existentes.
RELATED KPI CONTEXT
- FND-006 | Nuevos donantes recurrentes — USA | 2026=73 # donantes | baseline=62 # donantes | momentum=+17.7% | status=Strong improvement | relation=Same strategic objective; Same department; Same BSC perspective
- FND-007 | Nuevos donantes recurrentes — México | 2026=15 # donantes | baseline=12 # donantes | momentum=+25.0% | status=Strong improvement | relation=Same strategic objective; Same department; Same BSC perspective
- FND-008 | Nuevos donantes recurrentes — Perú | 2026=8 # donantes | baseline=6 # donantes | momentum=+41.2% | status=Strong improvement | relation=Same strategic objective; Same department; Same BSC perspective
- REC-M02 | Costo de adquisición de nuevo donante | 2026=760.00 MXN/USD por donante | baseline=896.67 MXN/USD por donante | momentum=+15.2% | status=Strong improvement | relation=Strategic-map adjacent objective
- REC-P03 | Conversión de campaña a nuevo donante | 2026=100.0% | baseline=2015.0% | momentum=-95.0% | status=Deteriorating | relation=Strategic-map adjacent objective
- FND-009 | Nuevos donantes recurrentes — Colombia | 2026=5 # donantes | baseline=3 # donantes | momentum=+50.0% | status=Strong improvement | relation=Same strategic objective; Same department; Same BSC perspective
- FND-013 | Nuevos donantes recurrentes EOS — Perú | 2026=2 # donantes | baseline=1 # donantes | momentum=+50.0% | status=Strong improvement | relation=Same strategic objective; Same department; Same BSC perspective
- FND-014 | Nuevos donantes recurrentes EOS — Colombia | 2026=2 # donantes | baseline=1 # donantes | momentum=+50.0%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56" s="20" t="str">
        <x:v>Analyze the selected KPI using only the supplied context. Explain what is changing, what related KPIs matter, what should be investigated first, and recommend a concrete next action.</x:v>
      </x:c>
      <x:c r="G56" s="20" t="str">
        <x:v>1) Diagnosis; 2) Evidence; 3) Likely Drivers; 4) Recommended Action; 5) Confidence &amp; Data Gaps</x:v>
      </x:c>
      <x:c r="H56" s="20" t="str">
        <x:v>PROTOTYPE ONLY — synthetic data; human approval required.</x:v>
      </x:c>
    </x:row>
    <x:row r="57" ht="90" customHeight="1">
      <x:c r="A57" s="20" t="str">
        <x:v>FND-012</x:v>
      </x:c>
      <x:c r="B57" s="20" t="str">
        <x:v>Participación de empresarios EOS en voluntariado</x:v>
      </x:c>
      <x:c r="C57" s="20" t="str">
        <x:v>Procuración de Fondos</x:v>
      </x:c>
      <x:c r="D57" s="20" t="str">
        <x:v>C4. Fortalecer relación con donantes, aliados y comunidades</x:v>
      </x:c>
      <x:c r="E57" s="20" t="str">
        <x:v>SELECTED KPI
KPI_ID: FND-012
KPI: Participación de empresarios EOS en voluntariado
Department: Procuración de Fondos
BSC Perspective: Beneficiarios y grupos de interés
Strategic Objective: C4. Fortalecer relación con donantes, aliados y comunidades
Owner: Procuración de Fondos
Purpose: Medir activación de la red EOS con meta absoluta.
Formula: Número de EOS participantes en la actividad de voluntariado
Direction: ↑ | Unit: # participantes | Frequency: Por evento
2023: 10 # participantes | 2024: 12 # participantes | 2025: 14 # participantes | 2026: 15 # participantes
3Y Baseline: 12 # participantes | Target 2026: ≥40 y ≥15% vs 2025
Direction-adjusted momentum: +25.0% | Status: Strong improvement
Warning threshold: &lt;40 | Critical threshold: &lt;34
Underlying 2026 values: Número de EOS participantes en la actividad de voluntariado = 15 #
Static action from catalog: Revisar desviación y definir acción correctiva cuando no se alcance la meta.
Anti-gaming control: Contar asistencia real; distinguir participantes únicos de participaciones.
RELATED KPI CONTEXT
- FND-010 | Participación de staff en voluntariado corporativo | 2026=26 # voluntarios/evento | baseline=19 # voluntarios/evento | momentum=+34.5% | status=Strong improvement | relation=Same strategic objective; Same department; Same BSC perspective
- REC-C04 | Retención de aliados estratégicos activos | 2026=88.0% | baseline=74.4% | momentum=+18.3% | status=Strong improvement | relation=Same strategic objective; Same department; Same BSC perspective
- MKT-007 | Embajadores Omnilife activos en campaña de nutrición | 2026=100 % y # | baseline=89 % y # | momentum=+12.7% | status=Strong improvement | relation=Same strategic objective; Same BSC perspective
- FND-016 | Nuevas alianzas estratégicas activas por país | 2026=4 # alianzas | baseline=3 # alianzas | momentum=+50.0% | status=Strong improvement | relation=Strategic-map adjacent objective; Same department
- REC-P07 | Conversión de alianzas estratégicas a recursos o capacidad programática | 2026=72.0% | baseline=61.2% | momentum=+17.7% | status=Strong improvement | relation=Strategic-map adjacent objective; Same department
- FND-001 | Fondos recaudados — Tu Donativo x2 (Chivas) | 2026=40,800 MXN | baseline=31,333 MXN | momentum=+30.2% | status=Strong improvement | relation=Same department
- FND-002 | Fondos recaudados — ¿Cuánto vale una sonrisa? México | 2026=100 MXN | baseline=359,989 MXN | momentum=-100.0% | status=Deteriorating | relation=Same department
- ADM-006 | Informes regulatorios presentados en tiempo y forma | 2026=100.0% | baseline=89.0% | momentum=+12.4% | status=Strong improvement | relation=Same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57" s="20" t="str">
        <x:v>Analyze the selected KPI using only the supplied context. Explain what is changing, what related KPIs matter, what should be investigated first, and recommend a concrete next action.</x:v>
      </x:c>
      <x:c r="G57" s="20" t="str">
        <x:v>1) Diagnosis; 2) Evidence; 3) Likely Drivers; 4) Recommended Action; 5) Confidence &amp; Data Gaps</x:v>
      </x:c>
      <x:c r="H57" s="20" t="str">
        <x:v>PROTOTYPE ONLY — synthetic data; human approval required.</x:v>
      </x:c>
    </x:row>
    <x:row r="58" ht="90" customHeight="1">
      <x:c r="A58" s="20" t="str">
        <x:v>FND-013</x:v>
      </x:c>
      <x:c r="B58" s="20" t="str">
        <x:v>Nuevos donantes recurrentes EOS — Perú</x:v>
      </x:c>
      <x:c r="C58" s="20" t="str">
        <x:v>Procuración de Fondos</x:v>
      </x:c>
      <x:c r="D58" s="20" t="str">
        <x:v>F2. Incrementar y retener donantes recurrentes</x:v>
      </x:c>
      <x:c r="E58" s="20" t="str">
        <x:v>SELECTED KPI
KPI_ID: FND-013
KPI: Nuevos donantes recurrentes EOS — Perú
Department: Procuración de Fondos
BSC Perspective: Sostenibilidad financiera
Strategic Objective: F2. Incrementar y retener donantes recurrentes
Owner: Procuración de Fondos
Purpose: Medir conversión a donación recurrente.
Formula: Nuevos donantes recurrentes en Perú atribuibles a la activación EOS
Direction: ↑ | Unit: # donantes | Frequency: Por campaña / trimestral
2023: 1 # donantes | 2024: 1 # donantes | 2025: 2 # donantes | 2026: 2 # donantes
3Y Baseline: 1 # donantes | Target 2026: ≥2
Direction-adjusted momentum: +50.0% | Status: Strong improvement
Warning threshold: &lt;2 | Critical threshold: 0
Underlying 2026 values: Nuevos donantes recurrentes en Perú atribuibles a la activación EOS = 2 #
Static action from catalog: Revisar desviación y definir acción correctiva cuando no se alcance la meta.
Anti-gaming control: Ventana de atribución definida; sólo primer cobro exitoso.
RELATED KPI CONTEXT
- FND-006 | Nuevos donantes recurrentes — USA | 2026=73 # donantes | baseline=62 # donantes | momentum=+17.7% | status=Strong improvement | relation=Same strategic objective; Same department; Same BSC perspective
- FND-007 | Nuevos donantes recurrentes — México | 2026=15 # donantes | baseline=12 # donantes | momentum=+25.0% | status=Strong improvement | relation=Same strategic objective; Same department; Same BSC perspective
- FND-008 | Nuevos donantes recurrentes — Perú | 2026=8 # donantes | baseline=6 # donantes | momentum=+41.2% | status=Strong improvement | relation=Same strategic objective; Same department; Same BSC perspective
- REC-M02 | Costo de adquisición de nuevo donante | 2026=760.00 MXN/USD por donante | baseline=896.67 MXN/USD por donante | momentum=+15.2% | status=Strong improvement | relation=Strategic-map adjacent objective
- REC-P03 | Conversión de campaña a nuevo donante | 2026=100.0% | baseline=2015.0% | momentum=-95.0% | status=Deteriorating | relation=Strategic-map adjacent objective
- FND-009 | Nuevos donantes recurrentes — Colombia | 2026=5 # donantes | baseline=3 # donantes | momentum=+50.0% | status=Strong improvement | relation=Same strategic objective; Same department; Same BSC perspective
- FND-011 | Conversión de voluntarios staff a donantes recurrentes | 2026=4.0% | baseline=3.2% | momentum=+23.7% | status=Strong improvement | relation=Same strategic objective; Same department; Same BSC perspective
- FND-014 | Nuevos donantes recurrentes EOS — Colombia | 2026=2 # donantes | baseline=1 # donantes | momentum=+50.0%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58" s="20" t="str">
        <x:v>Analyze the selected KPI using only the supplied context. Explain what is changing, what related KPIs matter, what should be investigated first, and recommend a concrete next action.</x:v>
      </x:c>
      <x:c r="G58" s="20" t="str">
        <x:v>1) Diagnosis; 2) Evidence; 3) Likely Drivers; 4) Recommended Action; 5) Confidence &amp; Data Gaps</x:v>
      </x:c>
      <x:c r="H58" s="20" t="str">
        <x:v>PROTOTYPE ONLY — synthetic data; human approval required.</x:v>
      </x:c>
    </x:row>
    <x:row r="59" ht="90" customHeight="1">
      <x:c r="A59" s="20" t="str">
        <x:v>FND-014</x:v>
      </x:c>
      <x:c r="B59" s="20" t="str">
        <x:v>Nuevos donantes recurrentes EOS — Colombia</x:v>
      </x:c>
      <x:c r="C59" s="20" t="str">
        <x:v>Procuración de Fondos</x:v>
      </x:c>
      <x:c r="D59" s="20" t="str">
        <x:v>F2. Incrementar y retener donantes recurrentes</x:v>
      </x:c>
      <x:c r="E59" s="20" t="str">
        <x:v>SELECTED KPI
KPI_ID: FND-014
KPI: Nuevos donantes recurrentes EOS — Colombia
Department: Procuración de Fondos
BSC Perspective: Sostenibilidad financiera
Strategic Objective: F2. Incrementar y retener donantes recurrentes
Owner: Procuración de Fondos
Purpose: Medir conversión a donación recurrente.
Formula: Nuevos donantes recurrentes en Colombia atribuibles a la activación EOS
Direction: ↑ | Unit: # donantes | Frequency: Por campaña / trimestral
2023: 1 # donantes | 2024: 1 # donantes | 2025: 2 # donantes | 2026: 2 # donantes
3Y Baseline: 1 # donantes | Target 2026: ≥2
Direction-adjusted momentum: +50.0% | Status: Strong improvement
Warning threshold: &lt;2 | Critical threshold: 0
Underlying 2026 values: Nuevos donantes recurrentes en Colombia atribuibles a la activación EOS = 2 #
Static action from catalog: Revisar desviación y definir acción correctiva cuando no se alcance la meta.
Anti-gaming control: Ventana de atribución definida; sólo primer cobro exitoso.
RELATED KPI CONTEXT
- FND-006 | Nuevos donantes recurrentes — USA | 2026=73 # donantes | baseline=62 # donantes | momentum=+17.7% | status=Strong improvement | relation=Same strategic objective; Same department; Same BSC perspective
- FND-007 | Nuevos donantes recurrentes — México | 2026=15 # donantes | baseline=12 # donantes | momentum=+25.0% | status=Strong improvement | relation=Same strategic objective; Same department; Same BSC perspective
- FND-008 | Nuevos donantes recurrentes — Perú | 2026=8 # donantes | baseline=6 # donantes | momentum=+41.2% | status=Strong improvement | relation=Same strategic objective; Same department; Same BSC perspective
- REC-M02 | Costo de adquisición de nuevo donante | 2026=760.00 MXN/USD por donante | baseline=896.67 MXN/USD por donante | momentum=+15.2% | status=Strong improvement | relation=Strategic-map adjacent objective
- REC-P03 | Conversión de campaña a nuevo donante | 2026=100.0% | baseline=2015.0% | momentum=-95.0% | status=Deteriorating | relation=Strategic-map adjacent objective
- FND-009 | Nuevos donantes recurrentes — Colombia | 2026=5 # donantes | baseline=3 # donantes | momentum=+50.0% | status=Strong improvement | relation=Same strategic objective; Same department; Same BSC perspective
- FND-011 | Conversión de voluntarios staff a donantes recurrentes | 2026=4.0% | baseline=3.2% | momentum=+23.7% | status=Strong improvement | relation=Same strategic objective; Same department; Same BSC perspective
- FND-013 | Nuevos donantes recurrentes EOS — Perú | 2026=2 # donantes | baseline=1 # donantes | momentum=+50.0%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59" s="20" t="str">
        <x:v>Analyze the selected KPI using only the supplied context. Explain what is changing, what related KPIs matter, what should be investigated first, and recommend a concrete next action.</x:v>
      </x:c>
      <x:c r="G59" s="20" t="str">
        <x:v>1) Diagnosis; 2) Evidence; 3) Likely Drivers; 4) Recommended Action; 5) Confidence &amp; Data Gaps</x:v>
      </x:c>
      <x:c r="H59" s="20" t="str">
        <x:v>PROTOTYPE ONLY — synthetic data; human approval required.</x:v>
      </x:c>
    </x:row>
    <x:row r="60" ht="90" customHeight="1">
      <x:c r="A60" s="20" t="str">
        <x:v>FND-015</x:v>
      </x:c>
      <x:c r="B60" s="20" t="str">
        <x:v>Nuevos donantes recurrentes EOS — México</x:v>
      </x:c>
      <x:c r="C60" s="20" t="str">
        <x:v>Procuración de Fondos</x:v>
      </x:c>
      <x:c r="D60" s="20" t="str">
        <x:v>F2. Incrementar y retener donantes recurrentes</x:v>
      </x:c>
      <x:c r="E60" s="20" t="str">
        <x:v>SELECTED KPI
KPI_ID: FND-015
KPI: Nuevos donantes recurrentes EOS — México
Department: Procuración de Fondos
BSC Perspective: Sostenibilidad financiera
Strategic Objective: F2. Incrementar y retener donantes recurrentes
Owner: Procuración de Fondos
Purpose: Usar meta absoluta y conservar crecimiento como contexto.
Formula: Nuevos donantes recurrentes en México atribuibles a activación EOS
Direction: ↑ | Unit: # donantes | Frequency: Por campaña / mensual
2023: 53 # donantes | 2024: 58 # donantes | 2025: 63 # donantes | 2026: 69 # donantes
3Y Baseline: 58 # donantes | Target 2026: ≥5 y ≥66.6% vs baseline
Direction-adjusted momentum: +19.0% | Status: Strong improvement
Warning threshold: &lt;5 | Critical threshold: &lt;4
Underlying 2026 values: Nuevos donantes recurrentes en México atribuibles a activación EOS = 69 #
Static action from catalog: Revisar desviación y definir acción correctiva cuando no se alcance la meta.
Anti-gaming control: No contar donantes previamente recurrentes; primer cobro exitoso.
RELATED KPI CONTEXT
- FND-006 | Nuevos donantes recurrentes — USA | 2026=73 # donantes | baseline=62 # donantes | momentum=+17.7% | status=Strong improvement | relation=Same strategic objective; Same department; Same BSC perspective
- FND-007 | Nuevos donantes recurrentes — México | 2026=15 # donantes | baseline=12 # donantes | momentum=+25.0% | status=Strong improvement | relation=Same strategic objective; Same department; Same BSC perspective
- FND-008 | Nuevos donantes recurrentes — Perú | 2026=8 # donantes | baseline=6 # donantes | momentum=+41.2% | status=Strong improvement | relation=Same strategic objective; Same department; Same BSC perspective
- REC-M02 | Costo de adquisición de nuevo donante | 2026=760.00 MXN/USD por donante | baseline=896.67 MXN/USD por donante | momentum=+15.2% | status=Strong improvement | relation=Strategic-map adjacent objective
- REC-P03 | Conversión de campaña a nuevo donante | 2026=100.0% | baseline=2015.0% | momentum=-95.0% | status=Deteriorating | relation=Strategic-map adjacent objective
- FND-009 | Nuevos donantes recurrentes — Colombia | 2026=5 # donantes | baseline=3 # donantes | momentum=+50.0% | status=Strong improvement | relation=Same strategic objective; Same department; Same BSC perspective
- FND-011 | Conversión de voluntarios staff a donantes recurrentes | 2026=4.0% | baseline=3.2% | momentum=+23.7% | status=Strong improvement | relation=Same strategic objective; Same department; Same BSC perspective
- FND-013 | Nuevos donantes recurrentes EOS — Perú | 2026=2 # donantes | baseline=1 # donantes | momentum=+50.0%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60" s="20" t="str">
        <x:v>Analyze the selected KPI using only the supplied context. Explain what is changing, what related KPIs matter, what should be investigated first, and recommend a concrete next action.</x:v>
      </x:c>
      <x:c r="G60" s="20" t="str">
        <x:v>1) Diagnosis; 2) Evidence; 3) Likely Drivers; 4) Recommended Action; 5) Confidence &amp; Data Gaps</x:v>
      </x:c>
      <x:c r="H60" s="20" t="str">
        <x:v>PROTOTYPE ONLY — synthetic data; human approval required.</x:v>
      </x:c>
    </x:row>
    <x:row r="61" ht="90" customHeight="1">
      <x:c r="A61" s="20" t="str">
        <x:v>FND-016</x:v>
      </x:c>
      <x:c r="B61" s="20" t="str">
        <x:v>Nuevas alianzas estratégicas activas por país</x:v>
      </x:c>
      <x:c r="C61" s="20" t="str">
        <x:v>Procuración de Fondos</x:v>
      </x:c>
      <x:c r="D61" s="20" t="str">
        <x:v>P6. Construir ecosistema de alianzas</x:v>
      </x:c>
      <x:c r="E61" s="20" t="str">
        <x:v>SELECTED KPI
KPI_ID: FND-016
KPI: Nuevas alianzas estratégicas activas por país
Department: Procuración de Fondos
BSC Perspective: Procesos internos
Strategic Objective: P6. Construir ecosistema de alianzas
Owner: Procuración de Fondos
Purpose: Medir alianzas activas, no acuerdos nominales.
Formula: Número de alianzas nuevas formalizadas con plan de activación y responsable
Direction: ↑ | Unit: # alianzas | Frequency: Trimestral
2023: 2 # alianzas | 2024: 3 # alianzas | 2025: 3 # alianzas | 2026: 4 # alianzas
3Y Baseline: 3 # alianzas | Target 2026: 4 (1 por México, Colombia, Perú y USA)
Direction-adjusted momentum: +50.0% | Status: Strong improvement
Warning threshold: &lt;4 al Q4 | Critical threshold: &lt;3 al Q4
Underlying 2026 values: Número de alianzas nuevas formalizadas con plan de activación y responsable = 4 #
Static action from catalog: Revisar desviación y definir acción correctiva cuando no se alcance la meta.
Anti-gaming control: Alianza activa requiere convenio/confirmación, plan de trabajo y al menos una acción o recurso comprometido.
RELATED KPI CONTEXT
- REC-P07 | Conversión de alianzas estratégicas a recursos o capacidad programática | 2026=72.0% | baseline=61.2% | momentum=+17.7% | status=Strong improvement | relation=Same strategic objective; Same department; Same BSC perspective
- OPS-016 | Proyectos OSC financiados conforme a reglas de operación | 2026=4 # proyectos | baseline=3 # proyectos | momentum=+50.0% | status=Strong improvement | relation=Same strategic objective; Same BSC perspective
- OPS-020 | Donativos en especie asignados a organizaciones elegibles | 2026=100.0% | baseline=89.0% | momentum=+12.4% | status=Strong improvement | relation=Same strategic objective; Same BSC perspective
- FND-010 | Participación de staff en voluntariado corporativo | 2026=26 # voluntarios/evento | baseline=19 # voluntarios/evento | momentum=+34.5% | status=Strong improvement | relation=Strategic-map adjacent objective; Same department
- FND-012 | Participación de empresarios EOS en voluntariado | 2026=15 # participantes | baseline=12 # participantes | momentum=+25.0% | status=Strong improvement | relation=Strategic-map adjacent objective; Same department
- FND-001 | Fondos recaudados — Tu Donativo x2 (Chivas) | 2026=40,800 MXN | baseline=31,333 MXN | momentum=+30.2% | status=Strong improvement | relation=Strategic-map adjacent objective; Same department
- FND-002 | Fondos recaudados — ¿Cuánto vale una sonrisa? México | 2026=100 MXN | baseline=359,989 MXN | momentum=-100.0% | status=Deteriorating | relation=Strategic-map adjacent objective; Same department
- ADM-001 | Facturación de donativos emitida dentro del SLA | 2026=100.0% | baseline=89.1% | momentum=+12.3% | status=Strong improvement | relation=Same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61" s="20" t="str">
        <x:v>Analyze the selected KPI using only the supplied context. Explain what is changing, what related KPIs matter, what should be investigated first, and recommend a concrete next action.</x:v>
      </x:c>
      <x:c r="G61" s="20" t="str">
        <x:v>1) Diagnosis; 2) Evidence; 3) Likely Drivers; 4) Recommended Action; 5) Confidence &amp; Data Gaps</x:v>
      </x:c>
      <x:c r="H61" s="20" t="str">
        <x:v>PROTOTYPE ONLY — synthetic data; human approval required.</x:v>
      </x:c>
    </x:row>
    <x:row r="62" ht="90" customHeight="1">
      <x:c r="A62" s="20" t="str">
        <x:v>FND-017</x:v>
      </x:c>
      <x:c r="B62" s="20" t="str">
        <x:v>Fondos recaudados — Subasta Omnilife</x:v>
      </x:c>
      <x:c r="C62" s="20" t="str">
        <x:v>Procuración de Fondos</x:v>
      </x:c>
      <x:c r="D62" s="20" t="str">
        <x:v>F1. Diversificar y aumentar fuentes</x:v>
      </x:c>
      <x:c r="E62" s="20" t="str">
        <x:v>SELECTED KPI
KPI_ID: FND-017
KPI: Fondos recaudados — Subasta Omnilife
Department: Procuración de Fondos
BSC Perspective: Sostenibilidad financiera
Strategic Objective: F1. Diversificar y aumentar fuentes
Owner: Procuración de Fondos
Purpose: Medir directamente el resultado financiero de la subasta.
Formula: Suma de fondos efectivamente recibidos por la subasta
Direction: ↑ | Unit: MXN | Frequency: Evento / cierre
2023: 1,599,984 MXN | 2024: 1,599,989 MXN | 2025: 1,599,994 MXN | 2026: 100 MXN
3Y Baseline: 1,599,989 MXN | Target 2026: ≥$1,600,000 MXN y ≥7% vs referencia anterior
Direction-adjusted momentum: -100.0% | Status: Deteriorating
Warning threshold: &lt;100% de meta | Critical threshold: &lt;90% de meta
Underlying 2026 values: Suma de fondos efectivamente recibidos por la subasta = 100 MXN
Static action from catalog: Revisar desviación y definir acción correctiva cuando no se alcance la meta.
Anti-gaming control: Contar ingresos cobrados, netos de anulaciones y costos si se reporta recaudación neta.
RELATED KPI CONTEXT
- FND-001 | Fondos recaudados — Tu Donativo x2 (Chivas) | 2026=40,800 MXN | baseline=31,333 MXN | momentum=+30.2% | status=Strong improvement | relation=Same strategic objective; Same department; Same BSC perspective
- FND-002 | Fondos recaudados — ¿Cuánto vale una sonrisa? México | 2026=100 MXN | baseline=359,989 MXN | momentum=-100.0% | status=Deteriorating | relation=Same strategic objective; Same department; Same BSC perspective
- FND-003 | Fondos recaudados — ¿Cuánto vale una sonrisa? USA | 2026=100 USD | baseline=29,989 USD | momentum=-99.7% | status=Deteriorating | relation=Same strategic objective; Same department; Same BSC perspective
- REC-P07 | Conversión de alianzas estratégicas a recursos o capacidad programática | 2026=72.0% | baseline=61.2% | momentum=+17.7% | status=Strong improvement | relation=Strategic-map adjacent objective; Same department
- FND-016 | Nuevas alianzas estratégicas activas por país | 2026=4 # alianzas | baseline=3 # alianzas | momentum=+50.0% | status=Strong improvement | relation=Strategic-map adjacent objective; Same department
- FND-004 | Fondos recaudados — ¿Cuánto vale una sonrisa? Perú | 2026=100 USD | baseline=2,989 USD | momentum=-96.7% | status=Deteriorating | relation=Same strategic objective; Same department; Same BSC perspective
- FND-005 | Sell-through de artículos Mes de Fundación | 2026=100.0% | baseline=89.0% | momentum=+12.4% | status=Strong improvement | relation=Same strategic objective; Same department; Same BSC perspective
- REC-F01 | Cumplimiento de meta total de procuración | 2026=100.0% | baseline=89.0% | momentum=+12.4%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62" s="20" t="str">
        <x:v>Analyze the selected KPI using only the supplied context. Explain what is changing, what related KPIs matter, what should be investigated first, and recommend a concrete next action.</x:v>
      </x:c>
      <x:c r="G62" s="20" t="str">
        <x:v>1) Diagnosis; 2) Evidence; 3) Likely Drivers; 4) Recommended Action; 5) Confidence &amp; Data Gaps</x:v>
      </x:c>
      <x:c r="H62" s="20" t="str">
        <x:v>PROTOTYPE ONLY — synthetic data; human approval required.</x:v>
      </x:c>
    </x:row>
    <x:row r="63" ht="90" customHeight="1">
      <x:c r="A63" s="20" t="str">
        <x:v>MKT-001</x:v>
      </x:c>
      <x:c r="B63" s="20" t="str">
        <x:v>Cumplimiento del manual/protocolo de comunicación global</x:v>
      </x:c>
      <x:c r="C63" s="20" t="str">
        <x:v>Marketing y Comunicación</x:v>
      </x:c>
      <x:c r="D63" s="20" t="str">
        <x:v>L4. Fortalecer colaboración interdepartamental</x:v>
      </x:c>
      <x:c r="E63" s="20" t="str">
        <x:v>SELECTED KPI
KPI_ID: MKT-001
KPI: Cumplimiento del manual/protocolo de comunicación global
Department: Marketing y Comunicación
BSC Perspective: Capacidades y tecnología
Strategic Objective: L4. Fortalecer colaboración interdepartamental
Owner: Marketing y Comunicación
Purpose: Medir adopción del manual, no su existencia.
Formula: Piezas/campañas auditadas que cumplen lineamientos vigentes ÷ piezas/campañas auditadas × 100
Direction: ↑ | Unit: % | Frequency: Bimestral
2023: 79.2% | 2024: 83.8% | 2025: 89.2% | 2026: 96.0%
3Y Baseline: 84.1% | Target 2026: ≥95%
Direction-adjusted momentum: +14.2% | Status: Strong improvement
Warning threshold: 90–94.9% | Critical threshold: &lt;90%
Underlying 2026 values: Piezas/campañas auditadas que cumplen lineamientos vigentes = 144 # / base; piezas/campañas auditadas = 150 # / base
Static action from catalog: Revisar desviación y definir acción correctiva cuando no se alcance la meta.
Anti-gaming control: Muestreo aleatorio y checklist estable; no auditar sólo piezas fáciles.
RELATED KPI CONTEXT
- MKT-004 | Compromisos de mejora de comunicación cerrados en plazo | 2026=92.0% | baseline=81.0% | momentum=+13.6% | status=Strong improvement | relation=Same strategic objective; Same department; Same BSC perspective
- ADM-004 | Presupuestos anuales aprobados dentro del calendario | 2026=100.0% | baseline=89.0% | momentum=+12.4% | status=Strong improvement | relation=Same strategic objective; Same BSC perspective
- ADM-012 | Nuevos convenios universitarios activados | 2026=2 # | baseline=1 # | momentum=+50.0% | status=Strong improvement | relation=Same strategic objective; Same BSC perspective
- MKT-008 | Cumplimiento de ejecución multicanal del lanzamiento | 2026=100.0% | baseline=89.0% | momentum=+12.4% | status=Strong improvement | relation=Strategic-map adjacent objective; Same department
- MKT-011 | Actividades principales con cobertura completa de comunicación e impacto | 2026=100.0% | baseline=89.2% | momentum=+12.1% | status=Strong improvement | relation=Strategic-map adjacent objective; Same department
- MKT-013 | Campañas de procuración con análisis conjunto MKT–PF | 2026=100.0% | baseline=88.7% | momentum=+12.7% | status=Strong improvement | relation=Strategic-map adjacent objective; Same department
- MKT-014 | Fondos atribuibles a campañas conjuntas Omnilife–Chivas | 2026=2,066.52 MXN/USD | baseline=1,587.03 MXN/USD | momentum=+30.2% | status=Strong improvement | relation=Strategic-map adjacent objective; Same department
- ADM-013 | Convenios universitarios renovados antes de vencimiento | 2026=100.0% | baseline=89.2% | momentum=+12.1%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63" s="20" t="str">
        <x:v>Analyze the selected KPI using only the supplied context. Explain what is changing, what related KPIs matter, what should be investigated first, and recommend a concrete next action.</x:v>
      </x:c>
      <x:c r="G63" s="20" t="str">
        <x:v>1) Diagnosis; 2) Evidence; 3) Likely Drivers; 4) Recommended Action; 5) Confidence &amp; Data Gaps</x:v>
      </x:c>
      <x:c r="H63" s="20" t="str">
        <x:v>PROTOTYPE ONLY — synthetic data; human approval required.</x:v>
      </x:c>
    </x:row>
    <x:row r="64" ht="90" customHeight="1">
      <x:c r="A64" s="20" t="str">
        <x:v>MKT-002</x:v>
      </x:c>
      <x:c r="B64" s="20" t="str">
        <x:v>Acciones de mejora derivadas de analítica implementadas en plazo</x:v>
      </x:c>
      <x:c r="C64" s="20" t="str">
        <x:v>Marketing y Comunicación</x:v>
      </x:c>
      <x:c r="D64" s="20" t="str">
        <x:v>P2. Fortalecer medición de impacto</x:v>
      </x:c>
      <x:c r="E64" s="20" t="str">
        <x:v>SELECTED KPI
KPI_ID: MKT-002
KPI: Acciones de mejora derivadas de analítica implementadas en plazo
Department: Marketing y Comunicación
BSC Perspective: Procesos internos
Strategic Objective: P2. Fortalecer medición de impacto
Owner: Marketing y Comunicación
Purpose: Convertir los 6 informes en decisiones y mejoras ejecutadas.
Formula: Acciones de mejora cerradas dentro del plazo ÷ acciones comprometidas en informes bimestrales × 100
Direction: ↑ | Unit: % | Frequency: Bimestral
2023: 66.7% | 2024: 71.4% | 2025: 76.9% | 2026: 82.1%
3Y Baseline: 71.7% | Target 2026: ≥80%
Direction-adjusted momentum: +14.6% | Status: Strong improvement
Warning threshold: 60–79.9% | Critical threshold: &lt;60%
Underlying 2026 values: Acciones de mejora cerradas dentro del plazo = 46 # / base; acciones comprometidas en informes bimestrales = 56 # / base
Static action from catalog: Revisar desviación y definir acción correctiva cuando no se alcance la meta.
Anti-gaming control: Toda recomendación debe tener owner, fecha y criterio de cierre verificable.
RELATED KPI CONTEXT
- OPS-009 | Cobertura de seguimiento nutricional con registros completos | 2026=96.0% | baseline=84.0% | momentum=+14.3% | status=Strong improvement | relation=Same strategic objective; Same BSC perspective
- OPS-019 | Proyectos OSC con seguimiento y reporte de resultados aprobado | 2026=100.0% | baseline=89.0% | momentum=+12.4% | status=Strong improvement | relation=Same strategic objective; Same BSC perspective
- REC-P02 | Cobertura de medición de impacto | 2026=100.0% | baseline=89.0% | momentum=+12.4% | status=Strong improvement | relation=Same strategic objective; Same BSC perspective
- MKT-003 | Cumplimiento de metas de KPIs digitales prioritarios | 2026=100.0% | baseline=89.0% | momentum=+12.4% | status=Strong improvement | relation=Strategic-map adjacent objective; Same department
- MKT-009 | Cumplimiento del calendario internacional de contenidos | 2026=100.0% | baseline=89.2% | momentum=+12.1% | status=Strong improvement | relation=Strategic-map adjacent objective; Same department
- MKT-010 | Países con presencia digital continua conforme al estándar | 2026=100.0% | baseline=91.7% | momentum=+9.1% | status=Improving | relation=Strategic-map adjacent objective; Same department
- MKT-012 | Cumplimiento del calendario de comunicaciones conjuntas Omnilife–Chivas | 2026=100.0% | baseline=89.2% | momentum=+12.1% | status=Strong improvement | relation=Strategic-map adjacent objective; Same department
- MKT-008 | Cumplimiento de ejecución multicanal del lanzamiento | 2026=100.0% | baseline=89.0% | momentum=+12.4% | status=Strong improvement | relation=Same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64" s="20" t="str">
        <x:v>Analyze the selected KPI using only the supplied context. Explain what is changing, what related KPIs matter, what should be investigated first, and recommend a concrete next action.</x:v>
      </x:c>
      <x:c r="G64" s="20" t="str">
        <x:v>1) Diagnosis; 2) Evidence; 3) Likely Drivers; 4) Recommended Action; 5) Confidence &amp; Data Gaps</x:v>
      </x:c>
      <x:c r="H64" s="20" t="str">
        <x:v>PROTOTYPE ONLY — synthetic data; human approval required.</x:v>
      </x:c>
    </x:row>
    <x:row r="65" ht="90" customHeight="1">
      <x:c r="A65" s="20" t="str">
        <x:v>MKT-003</x:v>
      </x:c>
      <x:c r="B65" s="20" t="str">
        <x:v>Cumplimiento de metas de KPIs digitales prioritarios</x:v>
      </x:c>
      <x:c r="C65" s="20" t="str">
        <x:v>Marketing y Comunicación</x:v>
      </x:c>
      <x:c r="D65" s="20" t="str">
        <x:v>C3. Fortalecer confianza y credibilidad institucional</x:v>
      </x:c>
      <x:c r="E65" s="20" t="str">
        <x:v>SELECTED KPI
KPI_ID: MKT-003
KPI: Cumplimiento de metas de KPIs digitales prioritarios
Department: Marketing y Comunicación
BSC Perspective: Beneficiarios y grupos de interés
Strategic Objective: C3. Fortalecer confianza y credibilidad institucional
Owner: Marketing y Comunicación
Purpose: Evitar la meta genérica de duplicar todos los KPIs; cada métrica debe tener baseline y meta propia.
Formula: KPIs digitales prioritarios que alcanzan su meta ÷ KPIs digitales prioritarios definidos × 100
Direction: ↑ | Unit: % | Frequency: Bimestral
2023: 84.0% | 2024: 88.9% | 2025: 94.0% | 2026: 100.0%
3Y Baseline: 89.0% | Target 2026: 100% de KPIs con meta validada
Direction-adjusted momentum: +12.4% | Status: Strong improvement
Warning threshold: 66–99% | Critical threshold: &lt;66%
Underlying 2026 values: KPIs digitales prioritarios que alcanzan su meta = 125 # / base; KPIs digitales prioritarios definidos = 125 # / base
Static action from catalog: Revisar desviación y definir acción correctiva cuando no se alcance la meta.
Anti-gaming control: Incluir al menos un KPI de calidad/conversión, no sólo volumen de alcance.
RELATED KPI CONTEXT
- MKT-009 | Cumplimiento del calendario internacional de contenidos | 2026=100.0% | baseline=89.2% | momentum=+12.1% | status=Strong improvement | relation=Same strategic objective; Same department; Same BSC perspective
- MKT-010 | Países con presencia digital continua conforme al estándar | 2026=100.0% | baseline=91.7% | momentum=+9.1% | status=Improving | relation=Same strategic objective; Same department; Same BSC perspective
- MKT-012 | Cumplimiento del calendario de comunicaciones conjuntas Omnilife–Chivas | 2026=100.0% | baseline=89.2% | momentum=+12.1% | status=Strong improvement | relation=Same strategic objective; Same department; Same BSC perspective
- MKT-002 | Acciones de mejora derivadas de analítica implementadas en plazo | 2026=82.1% | baseline=71.7% | momentum=+14.6% | status=Strong improvement | relation=Strategic-map adjacent objective; Same department
- ADM-001 | Facturación de donativos emitida dentro del SLA | 2026=100.0% | baseline=89.1% | momentum=+12.3% | status=Strong improvement | relation=Strategic-map adjacent objective
- REC-M03 | Contenido de impacto con evidencia verificable | 2026=100.0% | baseline=89.2% | momentum=+12.1% | status=Strong improvement | relation=Same strategic objective; Same department; Same BSC perspective
- MKT-007 | Embajadores Omnilife activos en campaña de nutrición | 2026=100 % y # | baseline=89 % y # | momentum=+12.7% | status=Strong improvement | relation=Same department; Same BSC perspective
- ADM-006 | Informes regulatorios presentados en tiempo y forma | 2026=100.0% | baseline=89.0% | momentum=+12.4%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65" s="20" t="str">
        <x:v>Analyze the selected KPI using only the supplied context. Explain what is changing, what related KPIs matter, what should be investigated first, and recommend a concrete next action.</x:v>
      </x:c>
      <x:c r="G65" s="20" t="str">
        <x:v>1) Diagnosis; 2) Evidence; 3) Likely Drivers; 4) Recommended Action; 5) Confidence &amp; Data Gaps</x:v>
      </x:c>
      <x:c r="H65" s="20" t="str">
        <x:v>PROTOTYPE ONLY — synthetic data; human approval required.</x:v>
      </x:c>
    </x:row>
    <x:row r="66" ht="90" customHeight="1">
      <x:c r="A66" s="20" t="str">
        <x:v>MKT-004</x:v>
      </x:c>
      <x:c r="B66" s="20" t="str">
        <x:v>Compromisos de mejora de comunicación cerrados en plazo</x:v>
      </x:c>
      <x:c r="C66" s="20" t="str">
        <x:v>Marketing y Comunicación</x:v>
      </x:c>
      <x:c r="D66" s="20" t="str">
        <x:v>L4. Fortalecer colaboración interdepartamental</x:v>
      </x:c>
      <x:c r="E66" s="20" t="str">
        <x:v>SELECTED KPI
KPI_ID: MKT-004
KPI: Compromisos de mejora de comunicación cerrados en plazo
Department: Marketing y Comunicación
BSC Perspective: Capacidades y tecnología
Strategic Objective: L4. Fortalecer colaboración interdepartamental
Owner: Marketing y Comunicación
Purpose: Medir efecto de las sesiones, no el número de reuniones.
Formula: Compromisos de sesiones de feedback cerrados en fecha ÷ compromisos acordados × 100
Direction: ↑ | Unit: % | Frequency: Bimestral
2023: 75.8% | 2024: 80.8% | 2025: 86.3% | 2026: 92.0%
3Y Baseline: 81.0% | Target 2026: ≥90%
Direction-adjusted momentum: +13.6% | Status: Strong improvement
Warning threshold: 75–89.9% | Critical threshold: &lt;75%
Underlying 2026 values: Compromisos de sesiones de feedback cerrados en fecha = 138.0 días; compromisos acordados = 150 # / base
Static action from catalog: Revisar desviación y definir acción correctiva cuando no se alcance la meta.
Anti-gaming control: Minuta con owner, fecha y evidencia de cierre.
RELATED KPI CONTEXT
- MKT-001 | Cumplimiento del manual/protocolo de comunicación global | 2026=96.0% | baseline=84.1% | momentum=+14.2% | status=Strong improvement | relation=Same strategic objective; Same department; Same BSC perspective
- ADM-004 | Presupuestos anuales aprobados dentro del calendario | 2026=100.0% | baseline=89.0% | momentum=+12.4% | status=Strong improvement | relation=Same strategic objective; Same BSC perspective
- ADM-012 | Nuevos convenios universitarios activados | 2026=2 # | baseline=1 # | momentum=+50.0% | status=Strong improvement | relation=Same strategic objective; Same BSC perspective
- MKT-008 | Cumplimiento de ejecución multicanal del lanzamiento | 2026=100.0% | baseline=89.0% | momentum=+12.4% | status=Strong improvement | relation=Strategic-map adjacent objective; Same department
- MKT-011 | Actividades principales con cobertura completa de comunicación e impacto | 2026=100.0% | baseline=89.2% | momentum=+12.1% | status=Strong improvement | relation=Strategic-map adjacent objective; Same department
- MKT-013 | Campañas de procuración con análisis conjunto MKT–PF | 2026=100.0% | baseline=88.7% | momentum=+12.7% | status=Strong improvement | relation=Strategic-map adjacent objective; Same department
- MKT-014 | Fondos atribuibles a campañas conjuntas Omnilife–Chivas | 2026=2,066.52 MXN/USD | baseline=1,587.03 MXN/USD | momentum=+30.2% | status=Strong improvement | relation=Strategic-map adjacent objective; Same department
- ADM-013 | Convenios universitarios renovados antes de vencimiento | 2026=100.0% | baseline=89.2% | momentum=+12.1%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66" s="20" t="str">
        <x:v>Analyze the selected KPI using only the supplied context. Explain what is changing, what related KPIs matter, what should be investigated first, and recommend a concrete next action.</x:v>
      </x:c>
      <x:c r="G66" s="20" t="str">
        <x:v>1) Diagnosis; 2) Evidence; 3) Likely Drivers; 4) Recommended Action; 5) Confidence &amp; Data Gaps</x:v>
      </x:c>
      <x:c r="H66" s="20" t="str">
        <x:v>PROTOTYPE ONLY — synthetic data; human approval required.</x:v>
      </x:c>
    </x:row>
    <x:row r="67" ht="90" customHeight="1">
      <x:c r="A67" s="20" t="str">
        <x:v>MKT-007</x:v>
      </x:c>
      <x:c r="B67" s="20" t="str">
        <x:v>Embajadores Omnilife activos en campaña de nutrición</x:v>
      </x:c>
      <x:c r="C67" s="20" t="str">
        <x:v>Marketing y Comunicación</x:v>
      </x:c>
      <x:c r="D67" s="20" t="str">
        <x:v>C4. Fortalecer relación con donantes, aliados y comunidades</x:v>
      </x:c>
      <x:c r="E67" s="20" t="str">
        <x:v>SELECTED KPI
KPI_ID: MKT-007
KPI: Embajadores Omnilife activos en campaña de nutrición
Department: Marketing y Comunicación
BSC Perspective: Beneficiarios y grupos de interés
Strategic Objective: C4. Fortalecer relación con donantes, aliados y comunidades
Owner: Marketing y Comunicación
Purpose: Medir activación real, no sólo confirmación de alianza.
Formula: Embajadores confirmados que realizan al menos una activación verificable ÷ embajadores comprometidos × 100
Direction: ↑ | Unit: % y # | Frequency: Mensual durante campaña
2023: 86 % y # | 2024: 87 % y # | 2025: 94 % y # | 2026: 100 % y #
3Y Baseline: 89 % y # | Target 2026: 5 activos / 100% de los comprometidos
Direction-adjusted momentum: +12.7% | Status: Strong improvement
Warning threshold: &lt;5 activos | Critical threshold: &lt;4 activos
Underlying 2026 values: Embajadores confirmados que realizan al menos una activación verificable = 18 # / base; embajadores comprometidos = 18 # / base
Static action from catalog: Revisar desviación y definir acción correctiva cuando no se alcance la meta.
Anti-gaming control: Activación requiere publicación/participación verificable y registro de fecha.
RELATED KPI CONTEXT
- FND-010 | Participación de staff en voluntariado corporativo | 2026=26 # voluntarios/evento | baseline=19 # voluntarios/evento | momentum=+34.5% | status=Strong improvement | relation=Same strategic objective; Same BSC perspective
- FND-012 | Participación de empresarios EOS en voluntariado | 2026=15 # participantes | baseline=12 # participantes | momentum=+25.0% | status=Strong improvement | relation=Same strategic objective; Same BSC perspective
- REC-C04 | Retención de aliados estratégicos activos | 2026=88.0% | baseline=74.4% | momentum=+18.3% | status=Strong improvement | relation=Same strategic objective; Same BSC perspective
- MKT-008 | Cumplimiento de ejecución multicanal del lanzamiento | 2026=100.0% | baseline=89.0% | momentum=+12.4% | status=Strong improvement | relation=Strategic-map adjacent objective; Same department
- MKT-011 | Actividades principales con cobertura completa de comunicación e impacto | 2026=100.0% | baseline=89.2% | momentum=+12.1% | status=Strong improvement | relation=Strategic-map adjacent objective; Same department
- MKT-013 | Campañas de procuración con análisis conjunto MKT–PF | 2026=100.0% | baseline=88.7% | momentum=+12.7% | status=Strong improvement | relation=Strategic-map adjacent objective; Same department
- MKT-014 | Fondos atribuibles a campañas conjuntas Omnilife–Chivas | 2026=2,066.52 MXN/USD | baseline=1,587.03 MXN/USD | momentum=+30.2% | status=Strong improvement | relation=Strategic-map adjacent objective; Same department
- MKT-003 | Cumplimiento de metas de KPIs digitales prioritarios | 2026=100.0% | baseline=89.0% | momentum=+12.4% | status=Strong improvement | relation=Same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67" s="20" t="str">
        <x:v>Analyze the selected KPI using only the supplied context. Explain what is changing, what related KPIs matter, what should be investigated first, and recommend a concrete next action.</x:v>
      </x:c>
      <x:c r="G67" s="20" t="str">
        <x:v>1) Diagnosis; 2) Evidence; 3) Likely Drivers; 4) Recommended Action; 5) Confidence &amp; Data Gaps</x:v>
      </x:c>
      <x:c r="H67" s="20" t="str">
        <x:v>PROTOTYPE ONLY — synthetic data; human approval required.</x:v>
      </x:c>
    </x:row>
    <x:row r="68" ht="90" customHeight="1">
      <x:c r="A68" s="20" t="str">
        <x:v>MKT-008</x:v>
      </x:c>
      <x:c r="B68" s="20" t="str">
        <x:v>Cumplimiento de ejecución multicanal del lanzamiento</x:v>
      </x:c>
      <x:c r="C68" s="20" t="str">
        <x:v>Marketing y Comunicación</x:v>
      </x:c>
      <x:c r="D68" s="20" t="str">
        <x:v>P3. Integrar Marketing + Procuración</x:v>
      </x:c>
      <x:c r="E68" s="20" t="str">
        <x:v>SELECTED KPI
KPI_ID: MKT-008
KPI: Cumplimiento de ejecución multicanal del lanzamiento
Department: Marketing y Comunicación
BSC Perspective: Procesos internos
Strategic Objective: P3. Integrar Marketing + Procuración
Owner: Marketing y Comunicación
Purpose: Consolidar múltiples conteos en un indicador de cumplimiento del plan de medios.
Formula: Activos/canales ejecutados conforme al plan ÷ activos/canales planificados × 100
Direction: ↑ | Unit: % | Frequency: Mensual desde septiembre
2023: 84.0% | 2024: 88.9% | 2025: 94.0% | 2026: 100.0%
3Y Baseline: 89.0% | Target 2026: 100% del plan (incluye 12 contenidos, 6 boletines y materiales definidos)
Direction-adjusted momentum: +12.4% | Status: Strong improvement
Warning threshold: 90–99.9% | Critical threshold: &lt;90%
Underlying 2026 values: Activos/canales ejecutados conforme al plan = 125 # / base; activos/canales planificados = 125 # / base
Static action from catalog: Revisar desviación y definir acción correctiva cuando no se alcance la meta.
Anti-gaming control: El plan se congela antes del lanzamiento; cambios requieren aprobación y justificación.
RELATED KPI CONTEXT
- MKT-011 | Actividades principales con cobertura completa de comunicación e impacto | 2026=100.0% | baseline=89.2% | momentum=+12.1% | status=Strong improvement | relation=Same strategic objective; Same department; Same BSC perspective
- MKT-013 | Campañas de procuración con análisis conjunto MKT–PF | 2026=100.0% | baseline=88.7% | momentum=+12.7% | status=Strong improvement | relation=Same strategic objective; Same department; Same BSC perspective
- MKT-014 | Fondos atribuibles a campañas conjuntas Omnilife–Chivas | 2026=2,066.52 MXN/USD | baseline=1,587.03 MXN/USD | momentum=+30.2% | status=Strong improvement | relation=Same strategic objective; Same department; Same BSC perspective
- MKT-001 | Cumplimiento del manual/protocolo de comunicación global | 2026=96.0% | baseline=84.1% | momentum=+14.2% | status=Strong improvement | relation=Strategic-map adjacent objective; Same department
- MKT-004 | Compromisos de mejora de comunicación cerrados en plazo | 2026=92.0% | baseline=81.0% | momentum=+13.6% | status=Strong improvement | relation=Strategic-map adjacent objective; Same department
- REC-M02 | Costo de adquisición de nuevo donante | 2026=760.00 MXN/USD por donante | baseline=896.67 MXN/USD por donante | momentum=+15.2% | status=Strong improvement | relation=Same strategic objective; Same department; Same BSC perspective
- MKT-007 | Embajadores Omnilife activos en campaña de nutrición | 2026=100 % y # | baseline=89 % y # | momentum=+12.7% | status=Strong improvement | relation=Strategic-map adjacent objective; Same department
- REC-P03 | Conversión de campaña a nuevo donante | 2026=100.0% | baseline=2015.0% | momentum=-95.0% | status=Deteriorating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68" s="20" t="str">
        <x:v>Analyze the selected KPI using only the supplied context. Explain what is changing, what related KPIs matter, what should be investigated first, and recommend a concrete next action.</x:v>
      </x:c>
      <x:c r="G68" s="20" t="str">
        <x:v>1) Diagnosis; 2) Evidence; 3) Likely Drivers; 4) Recommended Action; 5) Confidence &amp; Data Gaps</x:v>
      </x:c>
      <x:c r="H68" s="20" t="str">
        <x:v>PROTOTYPE ONLY — synthetic data; human approval required.</x:v>
      </x:c>
    </x:row>
    <x:row r="69" ht="90" customHeight="1">
      <x:c r="A69" s="20" t="str">
        <x:v>MKT-009</x:v>
      </x:c>
      <x:c r="B69" s="20" t="str">
        <x:v>Cumplimiento del calendario internacional de contenidos</x:v>
      </x:c>
      <x:c r="C69" s="20" t="str">
        <x:v>Marketing y Comunicación</x:v>
      </x:c>
      <x:c r="D69" s="20" t="str">
        <x:v>C3. Fortalecer confianza y credibilidad institucional</x:v>
      </x:c>
      <x:c r="E69" s="20" t="str">
        <x:v>SELECTED KPI
KPI_ID: MKT-009
KPI: Cumplimiento del calendario internacional de contenidos
Department: Marketing y Comunicación
BSC Perspective: Beneficiarios y grupos de interés
Strategic Objective: C3. Fortalecer confianza y credibilidad institucional
Owner: Marketing y Comunicación
Purpose: Sustituir el vanity metric '+100% de contenidos' por cumplimiento de un calendario concreto.
Formula: Publicaciones internacionales realizadas en fecha ÷ publicaciones planificadas × 100
Direction: ↑ | Unit: % | Frequency: Mensual
2023: 84.2% | 2024: 89.2% | 2025: 94.2% | 2026: 100.0%
3Y Baseline: 89.2% | Target 2026: 100%
Direction-adjusted momentum: +12.1% | Status: Strong improvement
Warning threshold: 90–99.9% | Critical threshold: &lt;90%
Underlying 2026 values: Publicaciones internacionales realizadas en fecha = 150.0 días; publicaciones planificadas = 150 # / base
Static action from catalog: Revisar desviación y definir acción correctiva cuando no se alcance la meta.
Anti-gaming control: No aumentar volumen sacrificando calidad; acompañar con engagement/alcance y evidencia de impacto.
RELATED KPI CONTEXT
- MKT-003 | Cumplimiento de metas de KPIs digitales prioritarios | 2026=100.0% | baseline=89.0% | momentum=+12.4% | status=Strong improvement | relation=Same strategic objective; Same department; Same BSC perspective
- MKT-010 | Países con presencia digital continua conforme al estándar | 2026=100.0% | baseline=91.7% | momentum=+9.1% | status=Improving | relation=Same strategic objective; Same department; Same BSC perspective
- MKT-012 | Cumplimiento del calendario de comunicaciones conjuntas Omnilife–Chivas | 2026=100.0% | baseline=89.2% | momentum=+12.1% | status=Strong improvement | relation=Same strategic objective; Same department; Same BSC perspective
- MKT-002 | Acciones de mejora derivadas de analítica implementadas en plazo | 2026=82.1% | baseline=71.7% | momentum=+14.6% | status=Strong improvement | relation=Strategic-map adjacent objective; Same department
- ADM-001 | Facturación de donativos emitida dentro del SLA | 2026=100.0% | baseline=89.1% | momentum=+12.3% | status=Strong improvement | relation=Strategic-map adjacent objective
- REC-M03 | Contenido de impacto con evidencia verificable | 2026=100.0% | baseline=89.2% | momentum=+12.1% | status=Strong improvement | relation=Same strategic objective; Same department; Same BSC perspective
- MKT-007 | Embajadores Omnilife activos en campaña de nutrición | 2026=100 % y # | baseline=89 % y # | momentum=+12.7% | status=Strong improvement | relation=Same department; Same BSC perspective
- ADM-006 | Informes regulatorios presentados en tiempo y forma | 2026=100.0% | baseline=89.0% | momentum=+12.4%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69" s="20" t="str">
        <x:v>Analyze the selected KPI using only the supplied context. Explain what is changing, what related KPIs matter, what should be investigated first, and recommend a concrete next action.</x:v>
      </x:c>
      <x:c r="G69" s="20" t="str">
        <x:v>1) Diagnosis; 2) Evidence; 3) Likely Drivers; 4) Recommended Action; 5) Confidence &amp; Data Gaps</x:v>
      </x:c>
      <x:c r="H69" s="20" t="str">
        <x:v>PROTOTYPE ONLY — synthetic data; human approval required.</x:v>
      </x:c>
    </x:row>
    <x:row r="70" ht="90" customHeight="1">
      <x:c r="A70" s="20" t="str">
        <x:v>MKT-010</x:v>
      </x:c>
      <x:c r="B70" s="20" t="str">
        <x:v>Países con presencia digital continua conforme al estándar</x:v>
      </x:c>
      <x:c r="C70" s="20" t="str">
        <x:v>Marketing y Comunicación</x:v>
      </x:c>
      <x:c r="D70" s="20" t="str">
        <x:v>C3. Fortalecer confianza y credibilidad institucional</x:v>
      </x:c>
      <x:c r="E70" s="20" t="str">
        <x:v>SELECTED KPI
KPI_ID: MKT-010
KPI: Países con presencia digital continua conforme al estándar
Department: Marketing y Comunicación
BSC Perspective: Beneficiarios y grupos de interés
Strategic Objective: C3. Fortalecer confianza y credibilidad institucional
Owner: Marketing y Comunicación
Purpose: Medir consistencia geográfica en vez de duplicar publicaciones.
Formula: Países objetivo con frecuencia mínima de comunicación cumplida ÷ países objetivo × 100
Direction: ↑ | Unit: % | Frequency: Mensual
2023: 75.0% | 2024: 100.0% | 2025: 100.0% | 2026: 100.0%
3Y Baseline: 91.7% | Target 2026: 100%
Direction-adjusted momentum: +9.1% | Status: Improving
Warning threshold: 75–99% | Critical threshold: &lt;75%
Underlying 2026 values: Países objetivo con frecuencia mínima de comunicación cumplida = 4 # / base; países objetivo = 4 # / base
Static action from catalog: Revisar desviación y definir acción correctiva cuando no se alcance la meta.
Anti-gaming control: Definir frecuencia mínima y calidad; no contar republicaciones idénticas como presencia adicional.
RELATED KPI CONTEXT
- MKT-003 | Cumplimiento de metas de KPIs digitales prioritarios | 2026=100.0% | baseline=89.0% | momentum=+12.4% | status=Strong improvement | relation=Same strategic objective; Same department; Same BSC perspective
- MKT-009 | Cumplimiento del calendario internacional de contenidos | 2026=100.0% | baseline=89.2% | momentum=+12.1% | status=Strong improvement | relation=Same strategic objective; Same department; Same BSC perspective
- MKT-012 | Cumplimiento del calendario de comunicaciones conjuntas Omnilife–Chivas | 2026=100.0% | baseline=89.2% | momentum=+12.1% | status=Strong improvement | relation=Same strategic objective; Same department; Same BSC perspective
- MKT-002 | Acciones de mejora derivadas de analítica implementadas en plazo | 2026=82.1% | baseline=71.7% | momentum=+14.6% | status=Strong improvement | relation=Strategic-map adjacent objective; Same department
- ADM-001 | Facturación de donativos emitida dentro del SLA | 2026=100.0% | baseline=89.1% | momentum=+12.3% | status=Strong improvement | relation=Strategic-map adjacent objective
- REC-M03 | Contenido de impacto con evidencia verificable | 2026=100.0% | baseline=89.2% | momentum=+12.1% | status=Strong improvement | relation=Same strategic objective; Same department; Same BSC perspective
- MKT-007 | Embajadores Omnilife activos en campaña de nutrición | 2026=100 % y # | baseline=89 % y # | momentum=+12.7% | status=Strong improvement | relation=Same department; Same BSC perspective
- ADM-006 | Informes regulatorios presentados en tiempo y forma | 2026=100.0% | baseline=89.0% | momentum=+12.4%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70" s="20" t="str">
        <x:v>Analyze the selected KPI using only the supplied context. Explain what is changing, what related KPIs matter, what should be investigated first, and recommend a concrete next action.</x:v>
      </x:c>
      <x:c r="G70" s="20" t="str">
        <x:v>1) Diagnosis; 2) Evidence; 3) Likely Drivers; 4) Recommended Action; 5) Confidence &amp; Data Gaps</x:v>
      </x:c>
      <x:c r="H70" s="20" t="str">
        <x:v>PROTOTYPE ONLY — synthetic data; human approval required.</x:v>
      </x:c>
    </x:row>
    <x:row r="71" ht="90" customHeight="1">
      <x:c r="A71" s="20" t="str">
        <x:v>MKT-011</x:v>
      </x:c>
      <x:c r="B71" s="20" t="str">
        <x:v>Actividades principales con cobertura completa de comunicación e impacto</x:v>
      </x:c>
      <x:c r="C71" s="20" t="str">
        <x:v>Marketing y Comunicación</x:v>
      </x:c>
      <x:c r="D71" s="20" t="str">
        <x:v>P3. Integrar Marketing + Procuración</x:v>
      </x:c>
      <x:c r="E71" s="20" t="str">
        <x:v>SELECTED KPI
KPI_ID: MKT-011
KPI: Actividades principales con cobertura completa de comunicación e impacto
Department: Marketing y Comunicación
BSC Perspective: Procesos internos
Strategic Objective: P3. Integrar Marketing + Procuración
Owner: Marketing y Comunicación
Purpose: Evitar un mínimo fijo de 5 cuando el volumen real de actividades varía.
Formula: Actividades principales con foto/video + dato de impacto publicado ÷ actividades principales realizadas × 100
Direction: ↑ | Unit: % | Frequency: Mensual / por programa
2023: 84.2% | 2024: 89.2% | 2025: 94.2% | 2026: 100.0%
3Y Baseline: 89.2% | Target 2026: 100%
Direction-adjusted momentum: +12.1% | Status: Strong improvement
Warning threshold: 90–99.9% | Critical threshold: &lt;90%
Underlying 2026 values: Actividades principales con foto/video + dato de impacto publicado = 150 # / base; actividades principales realizadas = 150 # / base
Static action from catalog: Revisar desviación y definir acción correctiva cuando no se alcance la meta.
Anti-gaming control: Cobertura completa exige evidencia visual y al menos un dato de resultado validado.
RELATED KPI CONTEXT
- MKT-008 | Cumplimiento de ejecución multicanal del lanzamiento | 2026=100.0% | baseline=89.0% | momentum=+12.4% | status=Strong improvement | relation=Same strategic objective; Same department; Same BSC perspective
- MKT-013 | Campañas de procuración con análisis conjunto MKT–PF | 2026=100.0% | baseline=88.7% | momentum=+12.7% | status=Strong improvement | relation=Same strategic objective; Same department; Same BSC perspective
- MKT-014 | Fondos atribuibles a campañas conjuntas Omnilife–Chivas | 2026=2,066.52 MXN/USD | baseline=1,587.03 MXN/USD | momentum=+30.2% | status=Strong improvement | relation=Same strategic objective; Same department; Same BSC perspective
- MKT-001 | Cumplimiento del manual/protocolo de comunicación global | 2026=96.0% | baseline=84.1% | momentum=+14.2% | status=Strong improvement | relation=Strategic-map adjacent objective; Same department
- MKT-004 | Compromisos de mejora de comunicación cerrados en plazo | 2026=92.0% | baseline=81.0% | momentum=+13.6% | status=Strong improvement | relation=Strategic-map adjacent objective; Same department
- REC-M02 | Costo de adquisición de nuevo donante | 2026=760.00 MXN/USD por donante | baseline=896.67 MXN/USD por donante | momentum=+15.2% | status=Strong improvement | relation=Same strategic objective; Same department; Same BSC perspective
- MKT-007 | Embajadores Omnilife activos en campaña de nutrición | 2026=100 % y # | baseline=89 % y # | momentum=+12.7% | status=Strong improvement | relation=Strategic-map adjacent objective; Same department
- REC-P03 | Conversión de campaña a nuevo donante | 2026=100.0% | baseline=2015.0% | momentum=-95.0% | status=Deteriorating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71" s="20" t="str">
        <x:v>Analyze the selected KPI using only the supplied context. Explain what is changing, what related KPIs matter, what should be investigated first, and recommend a concrete next action.</x:v>
      </x:c>
      <x:c r="G71" s="20" t="str">
        <x:v>1) Diagnosis; 2) Evidence; 3) Likely Drivers; 4) Recommended Action; 5) Confidence &amp; Data Gaps</x:v>
      </x:c>
      <x:c r="H71" s="20" t="str">
        <x:v>PROTOTYPE ONLY — synthetic data; human approval required.</x:v>
      </x:c>
    </x:row>
    <x:row r="72" ht="90" customHeight="1">
      <x:c r="A72" s="20" t="str">
        <x:v>MKT-012</x:v>
      </x:c>
      <x:c r="B72" s="20" t="str">
        <x:v>Cumplimiento del calendario de comunicaciones conjuntas Omnilife–Chivas</x:v>
      </x:c>
      <x:c r="C72" s="20" t="str">
        <x:v>Marketing y Comunicación</x:v>
      </x:c>
      <x:c r="D72" s="20" t="str">
        <x:v>C3. Fortalecer confianza y credibilidad institucional</x:v>
      </x:c>
      <x:c r="E72" s="20" t="str">
        <x:v>SELECTED KPI
KPI_ID: MKT-012
KPI: Cumplimiento del calendario de comunicaciones conjuntas Omnilife–Chivas
Department: Marketing y Comunicación
BSC Perspective: Beneficiarios y grupos de interés
Strategic Objective: C3. Fortalecer confianza y credibilidad institucional
Owner: Marketing y Comunicación
Purpose: Sustituir crecimiento porcentual de presencia por ejecución contra plan acordado.
Formula: Comunicaciones conjuntas publicadas en fecha ÷ comunicaciones conjuntas planificadas × 100
Direction: ↑ | Unit: % | Frequency: Mensual
2023: 84.2% | 2024: 89.2% | 2025: 94.2% | 2026: 100.0%
3Y Baseline: 89.2% | Target 2026: 100% del plan anual
Direction-adjusted momentum: +12.1% | Status: Strong improvement
Warning threshold: 90–99.9% | Critical threshold: &lt;90%
Underlying 2026 values: Comunicaciones conjuntas publicadas en fecha = 150.0 días; comunicaciones conjuntas planificadas = 150 # / base
Static action from catalog: Revisar desviación y definir acción correctiva cuando no se alcance la meta.
Anti-gaming control: Plan acordado previamente; periodos de inactividad de Chivas quedan documentados.
RELATED KPI CONTEXT
- MKT-003 | Cumplimiento de metas de KPIs digitales prioritarios | 2026=100.0% | baseline=89.0% | momentum=+12.4% | status=Strong improvement | relation=Same strategic objective; Same department; Same BSC perspective
- MKT-009 | Cumplimiento del calendario internacional de contenidos | 2026=100.0% | baseline=89.2% | momentum=+12.1% | status=Strong improvement | relation=Same strategic objective; Same department; Same BSC perspective
- MKT-010 | Países con presencia digital continua conforme al estándar | 2026=100.0% | baseline=91.7% | momentum=+9.1% | status=Improving | relation=Same strategic objective; Same department; Same BSC perspective
- MKT-002 | Acciones de mejora derivadas de analítica implementadas en plazo | 2026=82.1% | baseline=71.7% | momentum=+14.6% | status=Strong improvement | relation=Strategic-map adjacent objective; Same department
- ADM-001 | Facturación de donativos emitida dentro del SLA | 2026=100.0% | baseline=89.1% | momentum=+12.3% | status=Strong improvement | relation=Strategic-map adjacent objective
- REC-M03 | Contenido de impacto con evidencia verificable | 2026=100.0% | baseline=89.2% | momentum=+12.1% | status=Strong improvement | relation=Same strategic objective; Same department; Same BSC perspective
- MKT-007 | Embajadores Omnilife activos en campaña de nutrición | 2026=100 % y # | baseline=89 % y # | momentum=+12.7% | status=Strong improvement | relation=Same department; Same BSC perspective
- ADM-006 | Informes regulatorios presentados en tiempo y forma | 2026=100.0% | baseline=89.0% | momentum=+12.4%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72" s="20" t="str">
        <x:v>Analyze the selected KPI using only the supplied context. Explain what is changing, what related KPIs matter, what should be investigated first, and recommend a concrete next action.</x:v>
      </x:c>
      <x:c r="G72" s="20" t="str">
        <x:v>1) Diagnosis; 2) Evidence; 3) Likely Drivers; 4) Recommended Action; 5) Confidence &amp; Data Gaps</x:v>
      </x:c>
      <x:c r="H72" s="20" t="str">
        <x:v>PROTOTYPE ONLY — synthetic data; human approval required.</x:v>
      </x:c>
    </x:row>
    <x:row r="73" ht="90" customHeight="1">
      <x:c r="A73" s="20" t="str">
        <x:v>MKT-013</x:v>
      </x:c>
      <x:c r="B73" s="20" t="str">
        <x:v>Campañas de procuración con análisis conjunto MKT–PF</x:v>
      </x:c>
      <x:c r="C73" s="20" t="str">
        <x:v>Marketing y Comunicación</x:v>
      </x:c>
      <x:c r="D73" s="20" t="str">
        <x:v>P3. Integrar Marketing + Procuración</x:v>
      </x:c>
      <x:c r="E73" s="20" t="str">
        <x:v>SELECTED KPI
KPI_ID: MKT-013
KPI: Campañas de procuración con análisis conjunto MKT–PF
Department: Marketing y Comunicación
BSC Perspective: Procesos internos
Strategic Objective: P3. Integrar Marketing + Procuración
Owner: Marketing y Comunicación + Procuración
Purpose: Medir integración real entre Marketing y Procuración, no sólo número de reuniones/cruces.
Formula: Campañas activas con cruce de datos de marketing y procuración + conclusión accionable ÷ campañas activas × 100
Direction: ↑ | Unit: % | Frequency: Mensual
2023: 85.7% | 2024: 86.7% | 2025: 93.8% | 2026: 100.0%
3Y Baseline: 88.7% | Target 2026: 100% (con al menos 12 cortes anuales)
Direction-adjusted momentum: +12.7% | Status: Strong improvement
Warning threshold: 80–99% | Critical threshold: &lt;80%
Underlying 2026 values: Campañas activas con cruce de datos de marketing y procuración + conclusión accionable = 18 # / base; campañas activas = 18 # / base
Static action from catalog: Revisar desviación y definir acción correctiva cuando no se alcance la meta.
Anti-gaming control: El cruce debe incluir una métrica de resultado financiero/conversión y una acción acordada.
RELATED KPI CONTEXT
- MKT-008 | Cumplimiento de ejecución multicanal del lanzamiento | 2026=100.0% | baseline=89.0% | momentum=+12.4% | status=Strong improvement | relation=Same strategic objective; Same department; Same BSC perspective
- MKT-011 | Actividades principales con cobertura completa de comunicación e impacto | 2026=100.0% | baseline=89.2% | momentum=+12.1% | status=Strong improvement | relation=Same strategic objective; Same department; Same BSC perspective
- MKT-014 | Fondos atribuibles a campañas conjuntas Omnilife–Chivas | 2026=2,066.52 MXN/USD | baseline=1,587.03 MXN/USD | momentum=+30.2% | status=Strong improvement | relation=Same strategic objective; Same department; Same BSC perspective
- MKT-001 | Cumplimiento del manual/protocolo de comunicación global | 2026=96.0% | baseline=84.1% | momentum=+14.2% | status=Strong improvement | relation=Strategic-map adjacent objective; Same department
- MKT-004 | Compromisos de mejora de comunicación cerrados en plazo | 2026=92.0% | baseline=81.0% | momentum=+13.6% | status=Strong improvement | relation=Strategic-map adjacent objective; Same department
- REC-M02 | Costo de adquisición de nuevo donante | 2026=760.00 MXN/USD por donante | baseline=896.67 MXN/USD por donante | momentum=+15.2% | status=Strong improvement | relation=Same strategic objective; Same department; Same BSC perspective
- MKT-007 | Embajadores Omnilife activos en campaña de nutrición | 2026=100 % y # | baseline=89 % y # | momentum=+12.7% | status=Strong improvement | relation=Strategic-map adjacent objective; Same department
- REC-P03 | Conversión de campaña a nuevo donante | 2026=100.0% | baseline=2015.0% | momentum=-95.0% | status=Deteriorating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73" s="20" t="str">
        <x:v>Analyze the selected KPI using only the supplied context. Explain what is changing, what related KPIs matter, what should be investigated first, and recommend a concrete next action.</x:v>
      </x:c>
      <x:c r="G73" s="20" t="str">
        <x:v>1) Diagnosis; 2) Evidence; 3) Likely Drivers; 4) Recommended Action; 5) Confidence &amp; Data Gaps</x:v>
      </x:c>
      <x:c r="H73" s="20" t="str">
        <x:v>PROTOTYPE ONLY — synthetic data; human approval required.</x:v>
      </x:c>
    </x:row>
    <x:row r="74" ht="90" customHeight="1">
      <x:c r="A74" s="20" t="str">
        <x:v>MKT-014</x:v>
      </x:c>
      <x:c r="B74" s="20" t="str">
        <x:v>Fondos atribuibles a campañas conjuntas Omnilife–Chivas</x:v>
      </x:c>
      <x:c r="C74" s="20" t="str">
        <x:v>Marketing y Comunicación</x:v>
      </x:c>
      <x:c r="D74" s="20" t="str">
        <x:v>P3. Integrar Marketing + Procuración</x:v>
      </x:c>
      <x:c r="E74" s="20" t="str">
        <x:v>SELECTED KPI
KPI_ID: MKT-014
KPI: Fondos atribuibles a campañas conjuntas Omnilife–Chivas
Department: Marketing y Comunicación
BSC Perspective: Procesos internos
Strategic Objective: P3. Integrar Marketing + Procuración
Owner: Marketing y Comunicación
Purpose: Reemplazar volumen de publicaciones por resultado de negocio social: fondos movilizados.
Formula: Fondos efectivamente recibidos atribuibles a campañas conjuntas según regla de atribución acordada
Direction: ↑ | Unit: MXN/USD | Frequency: Mensual / por campaña
2023: 1,377.68 MXN/USD | 2024: 1,580.28 MXN/USD | 2025: 1,803.14 MXN/USD | 2026: 2,066.52 MXN/USD
3Y Baseline: 1,587.03 MXN/USD | Target 2026: Baseline 2026 + meta por campaña validada con Procuración
Direction-adjusted momentum: +30.2% | Status: Strong improvement
Warning threshold: Desviación &gt;10% vs forecast | Critical threshold: Desviación &gt;20% vs forecast
Underlying 2026 values: Fondos efectivamente recibidos atribuibles a campañas conjuntas según regla de atribución acordada = 2,067 USD
Static action from catalog: Revisar desviación y definir acción correctiva cuando no se alcance la meta.
Anti-gaming control: Modelo de atribución fijo antes de campaña; separar orgánico, pagado y aportaciones no atribuibles.
RELATED KPI CONTEXT
- MKT-008 | Cumplimiento de ejecución multicanal del lanzamiento | 2026=100.0% | baseline=89.0% | momentum=+12.4% | status=Strong improvement | relation=Same strategic objective; Same department; Same BSC perspective
- MKT-011 | Actividades principales con cobertura completa de comunicación e impacto | 2026=100.0% | baseline=89.2% | momentum=+12.1% | status=Strong improvement | relation=Same strategic objective; Same department; Same BSC perspective
- MKT-013 | Campañas de procuración con análisis conjunto MKT–PF | 2026=100.0% | baseline=88.7% | momentum=+12.7% | status=Strong improvement | relation=Same strategic objective; Same department; Same BSC perspective
- MKT-001 | Cumplimiento del manual/protocolo de comunicación global | 2026=96.0% | baseline=84.1% | momentum=+14.2% | status=Strong improvement | relation=Strategic-map adjacent objective; Same department
- MKT-004 | Compromisos de mejora de comunicación cerrados en plazo | 2026=92.0% | baseline=81.0% | momentum=+13.6% | status=Strong improvement | relation=Strategic-map adjacent objective; Same department
- REC-M02 | Costo de adquisición de nuevo donante | 2026=760.00 MXN/USD por donante | baseline=896.67 MXN/USD por donante | momentum=+15.2% | status=Strong improvement | relation=Same strategic objective; Same department; Same BSC perspective
- MKT-007 | Embajadores Omnilife activos en campaña de nutrición | 2026=100 % y # | baseline=89 % y # | momentum=+12.7% | status=Strong improvement | relation=Strategic-map adjacent objective; Same department
- REC-P03 | Conversión de campaña a nuevo donante | 2026=100.0% | baseline=2015.0% | momentum=-95.0% | status=Deteriorating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74" s="20" t="str">
        <x:v>Analyze the selected KPI using only the supplied context. Explain what is changing, what related KPIs matter, what should be investigated first, and recommend a concrete next action.</x:v>
      </x:c>
      <x:c r="G74" s="20" t="str">
        <x:v>1) Diagnosis; 2) Evidence; 3) Likely Drivers; 4) Recommended Action; 5) Confidence &amp; Data Gaps</x:v>
      </x:c>
      <x:c r="H74" s="20" t="str">
        <x:v>PROTOTYPE ONLY — synthetic data; human approval required.</x:v>
      </x:c>
    </x:row>
    <x:row r="75" ht="90" customHeight="1">
      <x:c r="A75" s="20" t="str">
        <x:v>MKT-015</x:v>
      </x:c>
      <x:c r="B75" s="20" t="str">
        <x:v>Implementación de recomendaciones de benchmarking</x:v>
      </x:c>
      <x:c r="C75" s="20" t="str">
        <x:v>Marketing y Comunicación</x:v>
      </x:c>
      <x:c r="D75" s="20" t="str">
        <x:v>L1. Construir una cultura de gestión basada en datos</x:v>
      </x:c>
      <x:c r="E75" s="20" t="str">
        <x:v>SELECTED KPI
KPI_ID: MKT-015
KPI: Implementación de recomendaciones de benchmarking
Department: Marketing y Comunicación
BSC Perspective: Capacidades y tecnología
Strategic Objective: L1. Construir una cultura de gestión basada en datos
Owner: Marketing y Comunicación
Purpose: Mantener la intención de mejora, pero medir cierre verificable.
Formula: Recomendaciones aprobadas implementadas y verificadas ÷ recomendaciones aprobadas × 100
Direction: ↑ | Unit: % | Frequency: Semestral
2023: 84.0% | 2024: 88.9% | 2025: 94.0% | 2026: 100.0%
3Y Baseline: 89.0% | Target 2026: 100% de las 3 aprobadas
Direction-adjusted momentum: +12.4% | Status: Strong improvement
Warning threshold: 66–99% | Critical threshold: &lt;66%
Underlying 2026 values: Recomendaciones aprobadas implementadas y verificadas = 125 # / base; recomendaciones aprobadas = 125 # / base
Static action from catalog: Revisar desviación y definir acción correctiva cuando no se alcance la meta.
Anti-gaming control: Cada recomendación requiere criterio de éxito y evidencia, no sólo marcarla como ejecutada.
RELATED KPI CONTEXT
- MKT-016 | Cierre en plazo de hallazgos de auditoría de comunicación | 2026=92.0% | baseline=81.0% | momentum=+13.6% | status=Strong improvement | relation=Same strategic objective; Same department; Same BSC perspective
- REC-L01 | Integridad y actualización de datos estratégicos | 2026=96.0% | baseline=84.0% | momentum=+14.3% | status=Strong improvement | relation=Same strategic objective; Same BSC perspective
- MKT-002 | Acciones de mejora derivadas de analítica implementadas en plazo | 2026=82.1% | baseline=71.7% | momentum=+14.6% | status=Strong improvement | relation=Strategic-map adjacent objective; Same department
- ADM-001 | Facturación de donativos emitida dentro del SLA | 2026=100.0% | baseline=89.1% | momentum=+12.3% | status=Strong improvement | relation=Strategic-map adjacent objective
- MKT-001 | Cumplimiento del manual/protocolo de comunicación global | 2026=96.0% | baseline=84.1% | momentum=+14.2% | status=Strong improvement | relation=Same department; Same BSC perspective
- MKT-004 | Compromisos de mejora de comunicación cerrados en plazo | 2026=92.0% | baseline=81.0% | momentum=+13.6% | status=Strong improvement | relation=Same department; Same BSC perspective
- ADM-004 | Presupuestos anuales aprobados dentro del calendario | 2026=100.0% | baseline=89.0% | momentum=+12.4% | status=Strong improvement | relation=Same BSC perspective
- ADM-002 | Solicitudes de compra procesadas dentro del SLA | 2026=100.0% | baseline=89.1% | momentum=+12.3% | status=Strong improvement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75" s="20" t="str">
        <x:v>Analyze the selected KPI using only the supplied context. Explain what is changing, what related KPIs matter, what should be investigated first, and recommend a concrete next action.</x:v>
      </x:c>
      <x:c r="G75" s="20" t="str">
        <x:v>1) Diagnosis; 2) Evidence; 3) Likely Drivers; 4) Recommended Action; 5) Confidence &amp; Data Gaps</x:v>
      </x:c>
      <x:c r="H75" s="20" t="str">
        <x:v>PROTOTYPE ONLY — synthetic data; human approval required.</x:v>
      </x:c>
    </x:row>
    <x:row r="76" ht="90" customHeight="1">
      <x:c r="A76" s="20" t="str">
        <x:v>MKT-016</x:v>
      </x:c>
      <x:c r="B76" s="20" t="str">
        <x:v>Cierre en plazo de hallazgos de auditoría de comunicación</x:v>
      </x:c>
      <x:c r="C76" s="20" t="str">
        <x:v>Marketing y Comunicación</x:v>
      </x:c>
      <x:c r="D76" s="20" t="str">
        <x:v>L1. Construir una cultura de gestión basada en datos</x:v>
      </x:c>
      <x:c r="E76" s="20" t="str">
        <x:v>SELECTED KPI
KPI_ID: MKT-016
KPI: Cierre en plazo de hallazgos de auditoría de comunicación
Department: Marketing y Comunicación
BSC Perspective: Capacidades y tecnología
Strategic Objective: L1. Construir una cultura de gestión basada en datos
Owner: Marketing y Comunicación
Purpose: Los 2 ejercicios de auditoría son controles; el KPI debe medir que generan correcciones.
Formula: Hallazgos/recomendaciones de auditoría cerrados en plazo ÷ hallazgos/recomendaciones comprometidos × 100
Direction: ↑ | Unit: % | Frequency: Semestral con seguimiento mensual
2023: 75.8% | 2024: 80.8% | 2025: 86.3% | 2026: 92.0%
3Y Baseline: 81.0% | Target 2026: ≥90%
Direction-adjusted momentum: +13.6% | Status: Strong improvement
Warning threshold: 75–89.9% | Critical threshold: &lt;75%
Underlying 2026 values: Hallazgos/recomendaciones de auditoría cerrados en plazo = 138 # / base; hallazgos/recomendaciones comprometidos = 150 # / base
Static action from catalog: Revisar desviación y definir acción correctiva cuando no se alcance la meta.
Anti-gaming control: Auditoría independiente del owner de la acción; evidencia objetiva de cierre.
RELATED KPI CONTEXT
- MKT-015 | Implementación de recomendaciones de benchmarking | 2026=100.0% | baseline=89.0% | momentum=+12.4% | status=Strong improvement | relation=Same strategic objective; Same department; Same BSC perspective
- REC-L01 | Integridad y actualización de datos estratégicos | 2026=96.0% | baseline=84.0% | momentum=+14.3% | status=Strong improvement | relation=Same strategic objective; Same BSC perspective
- MKT-002 | Acciones de mejora derivadas de analítica implementadas en plazo | 2026=82.1% | baseline=71.7% | momentum=+14.6% | status=Strong improvement | relation=Strategic-map adjacent objective; Same department
- ADM-001 | Facturación de donativos emitida dentro del SLA | 2026=100.0% | baseline=89.1% | momentum=+12.3% | status=Strong improvement | relation=Strategic-map adjacent objective
- MKT-001 | Cumplimiento del manual/protocolo de comunicación global | 2026=96.0% | baseline=84.1% | momentum=+14.2% | status=Strong improvement | relation=Same department; Same BSC perspective
- MKT-004 | Compromisos de mejora de comunicación cerrados en plazo | 2026=92.0% | baseline=81.0% | momentum=+13.6% | status=Strong improvement | relation=Same department; Same BSC perspective
- ADM-004 | Presupuestos anuales aprobados dentro del calendario | 2026=100.0% | baseline=89.0% | momentum=+12.4% | status=Strong improvement | relation=Same BSC perspective
- ADM-002 | Solicitudes de compra procesadas dentro del SLA | 2026=100.0% | baseline=89.1% | momentum=+12.3% | status=Strong improvement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76" s="20" t="str">
        <x:v>Analyze the selected KPI using only the supplied context. Explain what is changing, what related KPIs matter, what should be investigated first, and recommend a concrete next action.</x:v>
      </x:c>
      <x:c r="G76" s="20" t="str">
        <x:v>1) Diagnosis; 2) Evidence; 3) Likely Drivers; 4) Recommended Action; 5) Confidence &amp; Data Gaps</x:v>
      </x:c>
      <x:c r="H76" s="20" t="str">
        <x:v>PROTOTYPE ONLY — synthetic data; human approval required.</x:v>
      </x:c>
    </x:row>
    <x:row r="77" ht="90" customHeight="1">
      <x:c r="A77" s="20" t="str">
        <x:v>OPS-010B</x:v>
      </x:c>
      <x:c r="B77" s="20" t="str">
        <x:v>Cobertura de acceso al suplemento nutricional</x:v>
      </x:c>
      <x:c r="C77" s="20" t="str">
        <x:v>Operaciones</x:v>
      </x:c>
      <x:c r="D77" s="20" t="str">
        <x:v>S1. Generar impacto integral y medible</x:v>
      </x:c>
      <x:c r="E77" s="20" t="str">
        <x:v>SELECTED KPI
KPI_ID: OPS-010B
KPI: Cobertura de acceso al suplemento nutricional
Department: Operaciones
BSC Perspective: Resultados estratégicos
Strategic Objective: S1. Generar impacto integral y medible
Owner: Operaciones
Purpose: Medir acceso efectivo al suplemento de forma separada del cambio en actividad física.
Formula: Participantes elegibles con acceso efectivo al suplemento ÷ participantes elegibles × 100
Direction: ↑ | Unit: % | Frequency: Por cohorte
2023: 84.0% | 2024: 88.9% | 2025: 94.0% | 2026: 100.0%
3Y Baseline: 89.0% | Target 2026: 100%
Direction-adjusted momentum: +12.4% | Status: Strong improvement
Warning threshold: 95–99.9% | Critical threshold: &lt;95%
Underlying 2026 values: Participantes elegibles con acceso efectivo al suplemento = 125 # / base; participantes elegibles = 125 # / base
Static action from catalog: Revisar desviación y definir acción correctiva cuando no se alcance la meta.
Anti-gaming control: Requiere evidencia de entrega/dispensación; no confundir entrega con adherencia.
RELATED KPI CONTEXT
- OPS-003 | Mejora de habilidades psicosociales | 2026=30.6% | baseline=23.3% | momentum=+31.3% | status=Strong improvement | relation=Same strategic objective; Same department; Same BSC perspective
- OPS-004 | Mejora de habilidades deportivas | 2026=30.6% | baseline=23.3% | momentum=+31.3% | status=Strong improvement | relation=Same strategic objective; Same department; Same BSC perspective
- OPS-005 | Incremento del tiempo de actividad física de beneficiarios | 2026=30.6% | baseline=23.3% | momentum=+31.3% | status=Strong improvement | relation=Same strategic objective; Same department; Same BSC perspective
- REC-C02 | Beneficiarios con mejora significativa en el outcome principal | 2026=88.0% | baseline=74.3% | momentum=+18.4% | status=Strong improvement | relation=Strategic-map adjacent objective; Same department
- OPS-002 | Asistencia regular de beneficiarios | 2026=82.0% | baseline=71.0% | momentum=+15.5% | status=Strong improvement | relation=Strategic-map adjacent objective; Same department
- OPS-010 | Incremento de actividad física — programa de nutrición | 2026=62.0% | baseline=51.0% | momentum=+21.6% | status=Strong improvement | relation=Same strategic objective; Same department; Same BSC perspective
- OPS-006 | Beneficiarios que alcanzan competencia deportiva inicial | 2026=72.0% | baseline=61.0% | momentum=+18.0% | status=Strong improvement | relation=Strategic-map adjacent objective; Same department
- REC-S01 | Programas que alcanzan su meta principal de impacto | 2026=93.3% | baseline=81.8% | momentum=+14.1%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77" s="20" t="str">
        <x:v>Analyze the selected KPI using only the supplied context. Explain what is changing, what related KPIs matter, what should be investigated first, and recommend a concrete next action.</x:v>
      </x:c>
      <x:c r="G77" s="20" t="str">
        <x:v>1) Diagnosis; 2) Evidence; 3) Likely Drivers; 4) Recommended Action; 5) Confidence &amp; Data Gaps</x:v>
      </x:c>
      <x:c r="H77" s="20" t="str">
        <x:v>PROTOTYPE ONLY — synthetic data; human approval required.</x:v>
      </x:c>
    </x:row>
    <x:row r="78" ht="90" customHeight="1">
      <x:c r="A78" s="20" t="str">
        <x:v>REC-S01</x:v>
      </x:c>
      <x:c r="B78" s="20" t="str">
        <x:v>Programas que alcanzan su meta principal de impacto</x:v>
      </x:c>
      <x:c r="C78" s="20" t="str">
        <x:v>Dirección + Operaciones</x:v>
      </x:c>
      <x:c r="D78" s="20" t="str">
        <x:v>S1. Generar impacto integral y medible</x:v>
      </x:c>
      <x:c r="E78" s="20" t="str">
        <x:v>SELECTED KPI
KPI_ID: REC-S01
KPI: Programas que alcanzan su meta principal de impacto
Department: Dirección + Operaciones
BSC Perspective: Resultados estratégicos
Strategic Objective: S1. Generar impacto integral y medible
Owner: Dirección de Operaciones
Purpose: Resumen ejecutivo de efectividad programática sin mezclar todos los outcomes en un promedio opaco.
Formula: Programas evaluados que alcanzan el outcome primario definido ÷ programas evaluados con datos válidos × 100
Direction: ↑ | Unit: % | Frequency: Trimestral/Anual
2023: 75.0% | 2024: 84.6% | 2025: 85.7% | 2026: 93.3%
3Y Baseline: 81.8% | Target 2026: ≥90%
Direction-adjusted momentum: +14.1% | Status: Strong improvement
Warning threshold: 80–89.9% | Critical threshold: &lt;80%
Underlying 2026 values: Programas evaluados que alcanzan el outcome primario definido = 14 # / base; programas evaluados con datos válidos = 15 # / base
Static action from catalog: Analizar programas fuera de meta, definir causa y plan de mejora.
Anti-gaming control: Outcome primario y meta se fijan antes de ejecutar cada programa.
RELATED KPI CONTEXT
- OPS-003 | Mejora de habilidades psicosociales | 2026=30.6% | baseline=23.3% | momentum=+31.3% | status=Strong improvement | relation=Same strategic objective; Same BSC perspective
- OPS-004 | Mejora de habilidades deportivas | 2026=30.6% | baseline=23.3% | momentum=+31.3% | status=Strong improvement | relation=Same strategic objective; Same BSC perspective
- OPS-005 | Incremento del tiempo de actividad física de beneficiarios | 2026=30.6% | baseline=23.3% | momentum=+31.3% | status=Strong improvement | relation=Same strategic objective; Same BSC perspective
- REC-C02 | Beneficiarios con mejora significativa en el outcome principal | 2026=88.0% | baseline=74.3% | momentum=+18.4% | status=Strong improvement | relation=Strategic-map adjacent objective
- MKT-002 | Acciones de mejora derivadas de analítica implementadas en plazo | 2026=82.1% | baseline=71.7% | momentum=+14.6% | status=Strong improvement | relation=Strategic-map adjacent objective
- OPS-010 | Incremento de actividad física — programa de nutrición | 2026=62.0% | baseline=51.0% | momentum=+21.6% | status=Strong improvement | relation=Same strategic objective; Same BSC perspective
- OPS-010B | Cobertura de acceso al suplemento nutricional | 2026=100.0% | baseline=89.0% | momentum=+12.4% | status=Strong improvement | relation=Same strategic objective; Same BSC perspective
- OPS-002 | Asistencia regular de beneficiarios | 2026=82.0% | baseline=71.0% | momentum=+15.5% | status=Strong improvement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78" s="20" t="str">
        <x:v>Analyze the selected KPI using only the supplied context. Explain what is changing, what related KPIs matter, what should be investigated first, and recommend a concrete next action.</x:v>
      </x:c>
      <x:c r="G78" s="20" t="str">
        <x:v>1) Diagnosis; 2) Evidence; 3) Likely Drivers; 4) Recommended Action; 5) Confidence &amp; Data Gaps</x:v>
      </x:c>
      <x:c r="H78" s="20" t="str">
        <x:v>PROTOTYPE ONLY — synthetic data; human approval required.</x:v>
      </x:c>
    </x:row>
    <x:row r="79" ht="90" customHeight="1">
      <x:c r="A79" s="20" t="str">
        <x:v>REC-S02</x:v>
      </x:c>
      <x:c r="B79" s="20" t="str">
        <x:v>Cumplimiento de cobertura total de beneficiarios</x:v>
      </x:c>
      <x:c r="C79" s="20" t="str">
        <x:v>Operaciones</x:v>
      </x:c>
      <x:c r="D79" s="20" t="str">
        <x:v>S2. Ampliar alcance geográfico y poblacional</x:v>
      </x:c>
      <x:c r="E79" s="20" t="str">
        <x:v>SELECTED KPI
KPI_ID: REC-S02
KPI: Cumplimiento de cobertura total de beneficiarios
Department: Operaciones
BSC Perspective: Resultados estratégicos
Strategic Objective: S2. Ampliar alcance geográfico y poblacional
Owner: Operaciones
Purpose: Medir alcance agregado contra plan, evitando usar sólo conteos absolutos.
Formula: Beneficiarios atendidos válidos ÷ beneficiarios programados consolidados × 100
Direction: ↑ | Unit: % | Frequency: Mensual/Trimestral
2023: 79.0% | 2024: 84.0% | 2025: 89.0% | 2026: 96.0%
3Y Baseline: 84.0% | Target 2026: ≥95%
Direction-adjusted momentum: +14.3% | Status: Strong improvement
Warning threshold: 85–94.9% | Critical threshold: &lt;85%
Underlying 2026 values: Beneficiarios atendidos válidos = 1,080 # / base; beneficiarios programados consolidados = 1,125 # / base
Static action from catalog: Revisar capacidad, captación, sedes y barreras de acceso.
Anti-gaming control: Definir regla de beneficiario único y reportar participaciones por separado.
RELATED KPI CONTEXT
- OPS-001 | Países con operación programática activa según modelo definido | 2026=4 # países | baseline=3 # países | momentum=+50.0% | status=Strong improvement | relation=Same strategic objective; Same department; Same BSC perspective
- REC-C01 | Tasa de finalización/retención de participantes | 2026=87.0% | baseline=76.0% | momentum=+14.5% | status=Strong improvement | relation=Strategic-map adjacent objective; Same department
- REC-P01 | Programas ejecutados conforme al plan | 2026=93.3% | baseline=81.8% | momentum=+14.1% | status=Strong improvement | relation=Strategic-map adjacent objective; Same department
- OPS-002 | Asistencia regular de beneficiarios | 2026=82.0% | baseline=71.0% | momentum=+15.5% | status=Strong improvement | relation=Strategic-map adjacent objective; Same department
- OPS-008 | Cobertura del piloto de nutrición infantil | 2026=100.0% | baseline=89.0% | momentum=+12.4% | status=Strong improvement | relation=Strategic-map adjacent objective; Same department
- OPS-003 | Mejora de habilidades psicosociales | 2026=30.6% | baseline=23.3% | momentum=+31.3% | status=Strong improvement | relation=Same department; Same BSC perspective
- OPS-012 | Países con plan de escalamiento de nutrición listo para 2027 | 2026=100.0% | baseline=91.7% | momentum=+9.1% | status=Improving | relation=Strategic-map adjacent objective; Same department
- OPS-013 | Cumplimiento de cobertura — Sueña Chivas Estadio | 2026=100.0% | baseline=89.0% | momentum=+12.4% | status=Strong improvement | relation=Strategic-map adjacent objective; Same department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79" s="20" t="str">
        <x:v>Analyze the selected KPI using only the supplied context. Explain what is changing, what related KPIs matter, what should be investigated first, and recommend a concrete next action.</x:v>
      </x:c>
      <x:c r="G79" s="20" t="str">
        <x:v>1) Diagnosis; 2) Evidence; 3) Likely Drivers; 4) Recommended Action; 5) Confidence &amp; Data Gaps</x:v>
      </x:c>
      <x:c r="H79" s="20" t="str">
        <x:v>PROTOTYPE ONLY — synthetic data; human approval required.</x:v>
      </x:c>
    </x:row>
    <x:row r="80" ht="90" customHeight="1">
      <x:c r="A80" s="20" t="str">
        <x:v>REC-S03</x:v>
      </x:c>
      <x:c r="B80" s="20" t="str">
        <x:v>Cobertura financiera del plan operativo</x:v>
      </x:c>
      <x:c r="C80" s="20" t="str">
        <x:v>Dirección</x:v>
      </x:c>
      <x:c r="D80" s="20" t="str">
        <x:v>S3. Construir un modelo sostenible y escalable</x:v>
      </x:c>
      <x:c r="E80" s="20" t="str">
        <x:v>SELECTED KPI
KPI_ID: REC-S03
KPI: Cobertura financiera del plan operativo
Department: Dirección
BSC Perspective: Resultados estratégicos
Strategic Objective: S3. Construir un modelo sostenible y escalable
Owner: Dirección General
Purpose: Reemplazar un índice compuesto subjetivo por una medida objetiva de sostenibilidad financiera.
Formula: Recursos disponibles/comprometidos elegibles para operación ÷ gasto operativo proyectado del horizonte × 100
Direction: ↑ | Unit: % | Frequency: Trimestral
2023: 82.0% | 2024: 89.8% | 2025: 95.7% | 2026: 104.0%
3Y Baseline: 89.2% | Target 2026: ≥100% para horizonte definido
Direction-adjusted momentum: +16.6% | Status: Strong improvement
Warning threshold: 90–99.9% | Critical threshold: &lt;90%
Underlying 2026 values: Recursos disponibles/comprometidos elegibles para operación = 130.00 Moneda; gasto operativo proyectado del horizonte = 125.00 Moneda
Static action from catalog: Identificar subíndice que explica deterioro y crear acción correctiva.
Anti-gaming control: No incluir ingresos altamente inciertos como disponibles; separar committed, probable y pipeline.
RELATED KPI CONTEXT
- ADM-006 | Informes regulatorios presentados en tiempo y forma | 2026=100.0% | baseline=89.0% | momentum=+12.4% | status=Strong improvement | relation=Strategic-map adjacent objective
- ADM-008 | Acreditaciones institucionales renovadas antes de vencimiento | 2026=100.0% | baseline=89.3% | momentum=+11.9% | status=Strong improvement | relation=Strategic-map adjacent objective
- OPS-001 | Países con operación programática activa según modelo definido | 2026=4 # países | baseline=3 # países | momentum=+50.0% | status=Strong improvement | relation=Same BSC perspective
- ADM-010 | Países con ruta de acreditación regulatoria definida y validada | 2026=100.0% | baseline=91.7% | momentum=+9.1% | status=Improving | relation=Strategic-map adjacent objective
- FND-010 | Participación de staff en voluntariado corporativo | 2026=26 # voluntarios/evento | baseline=19 # voluntarios/evento | momentum=+34.5% | status=Strong improvement | relation=Strategic-map adjacent objective
- FND-012 | Participación de empresarios EOS en voluntariado | 2026=15 # participantes | baseline=12 # participantes | momentum=+25.0% | status=Strong improvement | relation=Strategic-map adjacent objective
- LEG-003 | Reducción de cargas regulatorias duplicadas con cumplimiento íntegro | 2026=52.0% | baseline=41.0% | momentum=+26.8% | status=Strong improvement | relation=Strategic-map adjacent objective
- LEG-010 | Cumplimiento jurídico-fiscal de comunicaciones institucionales | 2026=100.0% | baseline=89.2% | momentum=+12.1% | status=Strong improvement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80" s="20" t="str">
        <x:v>Analyze the selected KPI using only the supplied context. Explain what is changing, what related KPIs matter, what should be investigated first, and recommend a concrete next action.</x:v>
      </x:c>
      <x:c r="G80" s="20" t="str">
        <x:v>1) Diagnosis; 2) Evidence; 3) Likely Drivers; 4) Recommended Action; 5) Confidence &amp; Data Gaps</x:v>
      </x:c>
      <x:c r="H80" s="20" t="str">
        <x:v>PROTOTYPE ONLY — synthetic data; human approval required.</x:v>
      </x:c>
    </x:row>
    <x:row r="81" ht="90" customHeight="1">
      <x:c r="A81" s="20" t="str">
        <x:v>REC-C01</x:v>
      </x:c>
      <x:c r="B81" s="20" t="str">
        <x:v>Tasa de finalización/retención de participantes</x:v>
      </x:c>
      <x:c r="C81" s="20" t="str">
        <x:v>Operaciones</x:v>
      </x:c>
      <x:c r="D81" s="20" t="str">
        <x:v>C1. Incrementar alcance y acceso</x:v>
      </x:c>
      <x:c r="E81" s="20" t="str">
        <x:v>SELECTED KPI
KPI_ID: REC-C01
KPI: Tasa de finalización/retención de participantes
Department: Operaciones
BSC Perspective: Beneficiarios y grupos de interés
Strategic Objective: C1. Incrementar alcance y acceso
Owner: Operaciones
Purpose: Complementa asistencia con permanencia real hasta el cierre del programa.
Formula: Participantes que completan el ciclo definido ÷ participantes que iniciaron el ciclo × 100
Direction: ↑ | Unit: % | Frequency: Mensual/Cierre
2023: 71.0% | 2024: 76.0% | 2025: 81.0% | 2026: 87.0%
3Y Baseline: 76.0% | Target 2026: ≥85%
Direction-adjusted momentum: +14.5% | Status: Strong improvement
Warning threshold: 75–84.9% | Critical threshold: &lt;75%
Underlying 2026 values: Participantes que completan el ciclo definido = 979 # / base; participantes que iniciaron el ciclo = 1,125 # / base
Static action from catalog: Investigar abandono por sede, programa, edad y barrera.
Anti-gaming control: No excluir abandonos del denominador salvo criterios predefinidos.
RELATED KPI CONTEXT
- OPS-002 | Asistencia regular de beneficiarios | 2026=82.0% | baseline=71.0% | momentum=+15.5% | status=Strong improvement | relation=Same strategic objective; Same department; Same BSC perspective
- OPS-008 | Cobertura del piloto de nutrición infantil | 2026=100.0% | baseline=89.0% | momentum=+12.4% | status=Strong improvement | relation=Same strategic objective; Same department; Same BSC perspective
- OPS-013 | Cumplimiento de cobertura — Sueña Chivas Estadio | 2026=100.0% | baseline=89.0% | momentum=+12.4% | status=Strong improvement | relation=Same strategic objective; Same department; Same BSC perspective
- REC-P01 | Programas ejecutados conforme al plan | 2026=93.3% | baseline=81.8% | momentum=+14.1% | status=Strong improvement | relation=Strategic-map adjacent objective; Same department
- REC-S02 | Cumplimiento de cobertura total de beneficiarios | 2026=96.0% | baseline=84.0% | momentum=+14.3% | status=Strong improvement | relation=Strategic-map adjacent objective; Same department
- OPS-014 | Cumplimiento de cobertura — Sueña Chivas Tour | 2026=100.0% | baseline=89.0% | momentum=+12.4% | status=Strong improvement | relation=Same strategic objective; Same department; Same BSC perspective
- OPS-015 | Sueña Chivas Individuales completados | 2026=12 # | baseline=9 # | momentum=+28.6% | status=Strong improvement | relation=Same strategic objective; Same department; Same BSC perspective
- OPS-006 | Beneficiarios que alcanzan competencia deportiva inicial | 2026=72.0% | baseline=61.0% | momentum=+18.0% | status=Strong improvement | relation=Same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81" s="20" t="str">
        <x:v>Analyze the selected KPI using only the supplied context. Explain what is changing, what related KPIs matter, what should be investigated first, and recommend a concrete next action.</x:v>
      </x:c>
      <x:c r="G81" s="20" t="str">
        <x:v>1) Diagnosis; 2) Evidence; 3) Likely Drivers; 4) Recommended Action; 5) Confidence &amp; Data Gaps</x:v>
      </x:c>
      <x:c r="H81" s="20" t="str">
        <x:v>PROTOTYPE ONLY — synthetic data; human approval required.</x:v>
      </x:c>
    </x:row>
    <x:row r="82" ht="90" customHeight="1">
      <x:c r="A82" s="20" t="str">
        <x:v>REC-C02</x:v>
      </x:c>
      <x:c r="B82" s="20" t="str">
        <x:v>Beneficiarios con mejora significativa en el outcome principal</x:v>
      </x:c>
      <x:c r="C82" s="20" t="str">
        <x:v>Operaciones</x:v>
      </x:c>
      <x:c r="D82" s="20" t="str">
        <x:v>C2. Mejorar resultados obtenidos</x:v>
      </x:c>
      <x:c r="E82" s="20" t="str">
        <x:v>SELECTED KPI
KPI_ID: REC-C02
KPI: Beneficiarios con mejora significativa en el outcome principal
Department: Operaciones
BSC Perspective: Beneficiarios y grupos de interés
Strategic Objective: C2. Mejorar resultados obtenidos
Owner: Operaciones / M&amp;E
Purpose: Medir proporción de personas que mejoran, no un índice agregado difícil de interpretar.
Formula: Beneficiarios con mejora que supera el umbral definido ÷ beneficiarios con medición pre/post válida × 100
Direction: ↑ | Unit: % | Frequency: Cierre de programa
2023: 68.0% | 2024: 74.0% | 2025: 81.0% | 2026: 88.0%
3Y Baseline: 74.3% | Target 2026: Definir por programa tras baseline
Direction-adjusted momentum: +18.4% | Status: Strong improvement
Warning threshold: Por programa | Critical threshold: Por programa
Underlying 2026 values: Beneficiarios con mejora que supera el umbral definido = 990 # / base; beneficiarios con medición pre/post válida = 1,125 # / base
Static action from catalog: Revisar diseño de intervención cuando un outcome no mejora.
Anti-gaming control: Umbral de mejora definido ex ante; reportar missing data y tamaño de muestra.
RELATED KPI CONTEXT
- OPS-006 | Beneficiarios que alcanzan competencia deportiva inicial | 2026=72.0% | baseline=61.0% | momentum=+18.0% | status=Strong improvement | relation=Same strategic objective; Same department; Same BSC perspective
- OPS-003 | Mejora de habilidades psicosociales | 2026=30.6% | baseline=23.3% | momentum=+31.3% | status=Strong improvement | relation=Strategic-map adjacent objective; Same department
- OPS-004 | Mejora de habilidades deportivas | 2026=30.6% | baseline=23.3% | momentum=+31.3% | status=Strong improvement | relation=Strategic-map adjacent objective; Same department
- OPS-005 | Incremento del tiempo de actividad física de beneficiarios | 2026=30.6% | baseline=23.3% | momentum=+31.3% | status=Strong improvement | relation=Strategic-map adjacent objective; Same department
- OPS-010 | Incremento de actividad física — programa de nutrición | 2026=62.0% | baseline=51.0% | momentum=+21.6% | status=Strong improvement | relation=Strategic-map adjacent objective; Same department
- OPS-002 | Asistencia regular de beneficiarios | 2026=82.0% | baseline=71.0% | momentum=+15.5% | status=Strong improvement | relation=Same department; Same BSC perspective
- OPS-010B | Cobertura de acceso al suplemento nutricional | 2026=100.0% | baseline=89.0% | momentum=+12.4% | status=Strong improvement | relation=Strategic-map adjacent objective; Same department
- OPS-009 | Cobertura de seguimiento nutricional con registros completos | 2026=96.0% | baseline=84.0% | momentum=+14.3% | status=Strong improvement | relation=Strategic-map adjacent objective; Same department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82" s="20" t="str">
        <x:v>Analyze the selected KPI using only the supplied context. Explain what is changing, what related KPIs matter, what should be investigated first, and recommend a concrete next action.</x:v>
      </x:c>
      <x:c r="G82" s="20" t="str">
        <x:v>1) Diagnosis; 2) Evidence; 3) Likely Drivers; 4) Recommended Action; 5) Confidence &amp; Data Gaps</x:v>
      </x:c>
      <x:c r="H82" s="20" t="str">
        <x:v>PROTOTYPE ONLY — synthetic data; human approval required.</x:v>
      </x:c>
    </x:row>
    <x:row r="83" ht="90" customHeight="1">
      <x:c r="A83" s="20" t="str">
        <x:v>REC-C03</x:v>
      </x:c>
      <x:c r="B83" s="20" t="str">
        <x:v>Cumplimiento institucional en plazo</x:v>
      </x:c>
      <x:c r="C83" s="20" t="str">
        <x:v>Dirección + Jurídico</x:v>
      </x:c>
      <x:c r="D83" s="20" t="str">
        <x:v>C3. Fortalecer confianza y credibilidad institucional</x:v>
      </x:c>
      <x:c r="E83" s="20" t="str">
        <x:v>SELECTED KPI
KPI_ID: REC-C03
KPI: Cumplimiento institucional en plazo
Department: Dirección + Jurídico
BSC Perspective: Beneficiarios y grupos de interés
Strategic Objective: C3. Fortalecer confianza y credibilidad institucional
Owner: Jurídico
Purpose: Indicador ejecutivo de confianza, compliance y continuidad institucional.
Formula: Obligaciones regulatorias/acreditaciones críticas cumplidas en plazo ÷ obligaciones exigibles × 100
Direction: ↑ | Unit: % | Frequency: Mensual
2023: 84.0% | 2024: 88.9% | 2025: 94.0% | 2026: 100.0%
3Y Baseline: 89.0% | Target 2026: 100%
Direction-adjusted momentum: +12.4% | Status: Strong improvement
Warning threshold: &lt;100% con obligaciones próximas | Critical threshold: Cualquier obligación vencida
Underlying 2026 values: Obligaciones regulatorias/acreditaciones críticas cumplidas en plazo = 125 # / base; obligaciones exigibles = 125 # / base
Static action from catalog: Escalar obligaciones vencidas o en riesgo antes de la fecha límite.
Anti-gaming control: Inventario legal completo y validado periódicamente; no eliminar obligaciones del denominador.
RELATED KPI CONTEXT
- REC-M03 | Contenido de impacto con evidencia verificable | 2026=100.0% | baseline=89.2% | momentum=+12.1% | status=Strong improvement | relation=Same strategic objective; Same BSC perspective
- ADM-006 | Informes regulatorios presentados en tiempo y forma | 2026=100.0% | baseline=89.0% | momentum=+12.4% | status=Strong improvement | relation=Same strategic objective; Same BSC perspective
- ADM-008 | Acreditaciones institucionales renovadas antes de vencimiento | 2026=100.0% | baseline=89.3% | momentum=+11.9% | status=Strong improvement | relation=Same strategic objective; Same BSC perspective
- REC-P02 | Cobertura de medición de impacto | 2026=100.0% | baseline=89.0% | momentum=+12.4% | status=Strong improvement | relation=Strategic-map adjacent objective
- REC-P04 | Cumplimiento agregado de SLA administrativos | 2026=96.0% | baseline=84.0% | momentum=+14.3% | status=Strong improvement | relation=Strategic-map adjacent objective
- ADM-010 | Países con ruta de acreditación regulatoria definida y validada | 2026=100.0% | baseline=91.7% | momentum=+9.1% | status=Improving | relation=Same strategic objective; Same BSC perspective
- LEG-010 | Cumplimiento jurídico-fiscal de comunicaciones institucionales | 2026=100.0% | baseline=89.2% | momentum=+12.1% | status=Strong improvement | relation=Same strategic objective; Same BSC perspective
- LEG-012 | Países objetivo con autorización fiscal para recibir donativos deducibles | 2026=100.0% | baseline=91.7% | momentum=+9.1% | status=Improving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83" s="20" t="str">
        <x:v>Analyze the selected KPI using only the supplied context. Explain what is changing, what related KPIs matter, what should be investigated first, and recommend a concrete next action.</x:v>
      </x:c>
      <x:c r="G83" s="20" t="str">
        <x:v>1) Diagnosis; 2) Evidence; 3) Likely Drivers; 4) Recommended Action; 5) Confidence &amp; Data Gaps</x:v>
      </x:c>
      <x:c r="H83" s="20" t="str">
        <x:v>PROTOTYPE ONLY — synthetic data; human approval required.</x:v>
      </x:c>
    </x:row>
    <x:row r="84" ht="90" customHeight="1">
      <x:c r="A84" s="20" t="str">
        <x:v>REC-C04</x:v>
      </x:c>
      <x:c r="B84" s="20" t="str">
        <x:v>Retención de aliados estratégicos activos</x:v>
      </x:c>
      <x:c r="C84" s="20" t="str">
        <x:v>Procuración de Fondos</x:v>
      </x:c>
      <x:c r="D84" s="20" t="str">
        <x:v>C4. Fortalecer relación con donantes, aliados y comunidades</x:v>
      </x:c>
      <x:c r="E84" s="20" t="str">
        <x:v>SELECTED KPI
KPI_ID: REC-C04
KPI: Retención de aliados estratégicos activos
Department: Procuración de Fondos
BSC Perspective: Beneficiarios y grupos de interés
Strategic Objective: C4. Fortalecer relación con donantes, aliados y comunidades
Owner: Procuración de Fondos
Purpose: Separar relación con aliados de la retención de donantes recurrentes, que vive en Finanzas/Procuración.
Formula: Aliados estratégicos elegibles que renuevan/continúan una colaboración activa ÷ aliados elegibles × 100
Direction: ↑ | Unit: % | Frequency: Trimestral/Anual
2023: 68.0% | 2024: 74.1% | 2025: 81.0% | 2026: 88.0%
3Y Baseline: 74.4% | Target 2026: Definir tras baseline; tendencia estable/creciente
Direction-adjusted momentum: +18.3% | Status: Strong improvement
Warning threshold: 70–79% | Critical threshold: &lt;70%
Underlying 2026 values: Aliados estratégicos elegibles que renuevan/continúan una colaboración activa = 110 # / base; aliados elegibles = 125 # / base
Static action from catalog: Crear plan de stewardship y reactivación para segmentos con baja retención.
Anti-gaming control: Aliado retenido exige actividad o compromiso real, no sólo contacto abierto.
RELATED KPI CONTEXT
- FND-010 | Participación de staff en voluntariado corporativo | 2026=26 # voluntarios/evento | baseline=19 # voluntarios/evento | momentum=+34.5% | status=Strong improvement | relation=Same strategic objective; Same department; Same BSC perspective
- FND-012 | Participación de empresarios EOS en voluntariado | 2026=15 # participantes | baseline=12 # participantes | momentum=+25.0% | status=Strong improvement | relation=Same strategic objective; Same department; Same BSC perspective
- MKT-007 | Embajadores Omnilife activos en campaña de nutrición | 2026=100 % y # | baseline=89 % y # | momentum=+12.7% | status=Strong improvement | relation=Same strategic objective; Same BSC perspective
- REC-P07 | Conversión de alianzas estratégicas a recursos o capacidad programática | 2026=72.0% | baseline=61.2% | momentum=+17.7% | status=Strong improvement | relation=Strategic-map adjacent objective; Same department
- FND-016 | Nuevas alianzas estratégicas activas por país | 2026=4 # alianzas | baseline=3 # alianzas | momentum=+50.0% | status=Strong improvement | relation=Strategic-map adjacent objective; Same department
- FND-001 | Fondos recaudados — Tu Donativo x2 (Chivas) | 2026=40,800 MXN | baseline=31,333 MXN | momentum=+30.2% | status=Strong improvement | relation=Same department
- FND-002 | Fondos recaudados — ¿Cuánto vale una sonrisa? México | 2026=100 MXN | baseline=359,989 MXN | momentum=-100.0% | status=Deteriorating | relation=Same department
- REC-C02 | Beneficiarios con mejora significativa en el outcome principal | 2026=88.0% | baseline=74.3% | momentum=+18.4% | status=Strong improvement | relation=Same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84" s="20" t="str">
        <x:v>Analyze the selected KPI using only the supplied context. Explain what is changing, what related KPIs matter, what should be investigated first, and recommend a concrete next action.</x:v>
      </x:c>
      <x:c r="G84" s="20" t="str">
        <x:v>1) Diagnosis; 2) Evidence; 3) Likely Drivers; 4) Recommended Action; 5) Confidence &amp; Data Gaps</x:v>
      </x:c>
      <x:c r="H84" s="20" t="str">
        <x:v>PROTOTYPE ONLY — synthetic data; human approval required.</x:v>
      </x:c>
    </x:row>
    <x:row r="85" ht="90" customHeight="1">
      <x:c r="A85" s="20" t="str">
        <x:v>REC-F01</x:v>
      </x:c>
      <x:c r="B85" s="20" t="str">
        <x:v>Cumplimiento de meta total de procuración</x:v>
      </x:c>
      <x:c r="C85" s="20" t="str">
        <x:v>Procuración de Fondos</x:v>
      </x:c>
      <x:c r="D85" s="20" t="str">
        <x:v>F1. Diversificar y aumentar fuentes</x:v>
      </x:c>
      <x:c r="E85" s="20" t="str">
        <x:v>SELECTED KPI
KPI_ID: REC-F01
KPI: Cumplimiento de meta total de procuración
Department: Procuración de Fondos
BSC Perspective: Sostenibilidad financiera
Strategic Objective: F1. Diversificar y aumentar fuentes
Owner: Procuración de Fondos
Purpose: Vista consolidada de desempeño financiero de procuración.
Formula: Fondos efectivamente recibidos en el periodo ÷ meta total de procuración aprobada × 100
Direction: ↑ | Unit: % | Frequency: Mensual
2023: 84.0% | 2024: 88.9% | 2025: 94.0% | 2026: 100.0%
3Y Baseline: 89.0% | Target 2026: ≥100%
Direction-adjusted momentum: +12.4% | Status: Strong improvement
Warning threshold: 90–99.9% | Critical threshold: &lt;90%
Underlying 2026 values: Fondos efectivamente recibidos en el periodo = 125.00 Moneda; meta total de procuración aprobada = 125 # / base
Static action from catalog: Repriorizar pipeline y campañas ante brecha.
Anti-gaming control: Usar fondos cobrados; conciliar monedas y excluir compromisos no cobrados.
RELATED KPI CONTEXT
- FND-001 | Fondos recaudados — Tu Donativo x2 (Chivas) | 2026=40,800 MXN | baseline=31,333 MXN | momentum=+30.2% | status=Strong improvement | relation=Same strategic objective; Same department; Same BSC perspective
- FND-002 | Fondos recaudados — ¿Cuánto vale una sonrisa? México | 2026=100 MXN | baseline=359,989 MXN | momentum=-100.0% | status=Deteriorating | relation=Same strategic objective; Same department; Same BSC perspective
- FND-003 | Fondos recaudados — ¿Cuánto vale una sonrisa? USA | 2026=100 USD | baseline=29,989 USD | momentum=-99.7% | status=Deteriorating | relation=Same strategic objective; Same department; Same BSC perspective
- REC-P07 | Conversión de alianzas estratégicas a recursos o capacidad programática | 2026=72.0% | baseline=61.2% | momentum=+17.7% | status=Strong improvement | relation=Strategic-map adjacent objective; Same department
- FND-016 | Nuevas alianzas estratégicas activas por país | 2026=4 # alianzas | baseline=3 # alianzas | momentum=+50.0% | status=Strong improvement | relation=Strategic-map adjacent objective; Same department
- FND-004 | Fondos recaudados — ¿Cuánto vale una sonrisa? Perú | 2026=100 USD | baseline=2,989 USD | momentum=-96.7% | status=Deteriorating | relation=Same strategic objective; Same department; Same BSC perspective
- FND-005 | Sell-through de artículos Mes de Fundación | 2026=100.0% | baseline=89.0% | momentum=+12.4% | status=Strong improvement | relation=Same strategic objective; Same department; Same BSC perspective
- FND-017 | Fondos recaudados — Subasta Omnilife | 2026=100 MXN | baseline=1,599,989 MXN | momentum=-100.0% | status=Deteriorating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85" s="20" t="str">
        <x:v>Analyze the selected KPI using only the supplied context. Explain what is changing, what related KPIs matter, what should be investigated first, and recommend a concrete next action.</x:v>
      </x:c>
      <x:c r="G85" s="20" t="str">
        <x:v>1) Diagnosis; 2) Evidence; 3) Likely Drivers; 4) Recommended Action; 5) Confidence &amp; Data Gaps</x:v>
      </x:c>
      <x:c r="H85" s="20" t="str">
        <x:v>PROTOTYPE ONLY — synthetic data; human approval required.</x:v>
      </x:c>
    </x:row>
    <x:row r="86" ht="90" customHeight="1">
      <x:c r="A86" s="20" t="str">
        <x:v>REC-F02</x:v>
      </x:c>
      <x:c r="B86" s="20" t="str">
        <x:v>Concentración de financiamiento en la mayor fuente</x:v>
      </x:c>
      <x:c r="C86" s="20" t="str">
        <x:v>Finanzas + Procuración de Fondos</x:v>
      </x:c>
      <x:c r="D86" s="20" t="str">
        <x:v>F1. Diversificar y aumentar fuentes</x:v>
      </x:c>
      <x:c r="E86" s="20" t="str">
        <x:v>SELECTED KPI
KPI_ID: REC-F02
KPI: Concentración de financiamiento en la mayor fuente
Department: Finanzas + Procuración de Fondos
BSC Perspective: Sostenibilidad financiera
Strategic Objective: F1. Diversificar y aumentar fuentes
Owner: Finanzas
Purpose: Medir dependencia financiera y riesgo de concentración.
Formula: Ingresos provenientes de la mayor fuente/donante/grupo ÷ ingresos totales de financiamiento × 100
Direction: ↓ | Unit: % | Frequency: Trimestral
2023: 68.0% | 2024: 63.0% | 2025: 57.8% | 2026: 52.0%
3Y Baseline: 62.9% | Target 2026: Reducir vs baseline 2025/2026
Direction-adjusted momentum: +17.3% | Status: Strong improvement
Warning threshold: Sin mejora vs baseline | Critical threshold: Aumento material de concentración
Underlying 2026 values: Ingresos provenientes de la mayor fuente/donante/grupo = 65.00 Moneda; ingresos totales de financiamiento = 125.00 Moneda
Static action from catalog: Desarrollar fuentes alternativas si concentración aumenta.
Anti-gaming control: Definir fuente a nivel económico real; agrupar partes relacionadas.
RELATED KPI CONTEXT
- FND-001 | Fondos recaudados — Tu Donativo x2 (Chivas) | 2026=40,800 MXN | baseline=31,333 MXN | momentum=+30.2% | status=Strong improvement | relation=Same strategic objective; Same BSC perspective
- FND-002 | Fondos recaudados — ¿Cuánto vale una sonrisa? México | 2026=100 MXN | baseline=359,989 MXN | momentum=-100.0% | status=Deteriorating | relation=Same strategic objective; Same BSC perspective
- FND-003 | Fondos recaudados — ¿Cuánto vale una sonrisa? USA | 2026=100 USD | baseline=29,989 USD | momentum=-99.7% | status=Deteriorating | relation=Same strategic objective; Same BSC perspective
- REC-M02 | Costo de adquisición de nuevo donante | 2026=760.00 MXN/USD por donante | baseline=896.67 MXN/USD por donante | momentum=+15.2% | status=Strong improvement | relation=Strategic-map adjacent objective
- REC-P03 | Conversión de campaña a nuevo donante | 2026=100.0% | baseline=2015.0% | momentum=-95.0% | status=Deteriorating | relation=Strategic-map adjacent objective
- FND-004 | Fondos recaudados — ¿Cuánto vale una sonrisa? Perú | 2026=100 USD | baseline=2,989 USD | momentum=-96.7% | status=Deteriorating | relation=Same strategic objective; Same BSC perspective
- FND-005 | Sell-through de artículos Mes de Fundación | 2026=100.0% | baseline=89.0% | momentum=+12.4% | status=Strong improvement | relation=Same strategic objective; Same BSC perspective
- FND-017 | Fondos recaudados — Subasta Omnilife | 2026=100 MXN | baseline=1,599,989 MXN | momentum=-100.0% | status=Deteriorating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86" s="20" t="str">
        <x:v>Analyze the selected KPI using only the supplied context. Explain what is changing, what related KPIs matter, what should be investigated first, and recommend a concrete next action.</x:v>
      </x:c>
      <x:c r="G86" s="20" t="str">
        <x:v>1) Diagnosis; 2) Evidence; 3) Likely Drivers; 4) Recommended Action; 5) Confidence &amp; Data Gaps</x:v>
      </x:c>
      <x:c r="H86" s="20" t="str">
        <x:v>PROTOTYPE ONLY — synthetic data; human approval required.</x:v>
      </x:c>
    </x:row>
    <x:row r="87" ht="90" customHeight="1">
      <x:c r="A87" s="20" t="str">
        <x:v>REC-F03</x:v>
      </x:c>
      <x:c r="B87" s="20" t="str">
        <x:v>Retención de donantes recurrentes</x:v>
      </x:c>
      <x:c r="C87" s="20" t="str">
        <x:v>Procuración de Fondos</x:v>
      </x:c>
      <x:c r="D87" s="20" t="str">
        <x:v>F2. Incrementar y retener donantes recurrentes</x:v>
      </x:c>
      <x:c r="E87" s="20" t="str">
        <x:v>SELECTED KPI
KPI_ID: REC-F03
KPI: Retención de donantes recurrentes
Department: Procuración de Fondos
BSC Perspective: Sostenibilidad financiera
Strategic Objective: F2. Incrementar y retener donantes recurrentes
Owner: Procuración de Fondos
Purpose: Evitar depender sólo de adquisición de nuevos donantes.
Formula: Donantes recurrentes del periodo anterior que continúan activos ÷ donantes recurrentes elegibles × 100
Direction: ↑ | Unit: % | Frequency: Mensual/Trimestral
2023: 71.1% | 2024: 75.8% | 2025: 80.9% | 2026: 87.1%
3Y Baseline: 75.9% | Target 2026: Definir tras baseline; recomendado ≥85%
Direction-adjusted momentum: +14.7% | Status: Strong improvement
Warning threshold: 75–84.9% | Critical threshold: &lt;75%
Underlying 2026 values: Donantes recurrentes del periodo anterior que continúan activos = 196 # / base; donantes recurrentes elegibles = 225 # / base
Static action from catalog: Activar campañas de prevención de churn y recuperación de pagos.
Anti-gaming control: Definir claramente pausa, baja, fallo de pago y reactivación.
RELATED KPI CONTEXT
- FND-006 | Nuevos donantes recurrentes — USA | 2026=73 # donantes | baseline=62 # donantes | momentum=+17.7% | status=Strong improvement | relation=Same strategic objective; Same department; Same BSC perspective
- FND-007 | Nuevos donantes recurrentes — México | 2026=15 # donantes | baseline=12 # donantes | momentum=+25.0% | status=Strong improvement | relation=Same strategic objective; Same department; Same BSC perspective
- FND-008 | Nuevos donantes recurrentes — Perú | 2026=8 # donantes | baseline=6 # donantes | momentum=+41.2% | status=Strong improvement | relation=Same strategic objective; Same department; Same BSC perspective
- REC-M02 | Costo de adquisición de nuevo donante | 2026=760.00 MXN/USD por donante | baseline=896.67 MXN/USD por donante | momentum=+15.2% | status=Strong improvement | relation=Strategic-map adjacent objective
- REC-P03 | Conversión de campaña a nuevo donante | 2026=100.0% | baseline=2015.0% | momentum=-95.0% | status=Deteriorating | relation=Strategic-map adjacent objective
- FND-009 | Nuevos donantes recurrentes — Colombia | 2026=5 # donantes | baseline=3 # donantes | momentum=+50.0% | status=Strong improvement | relation=Same strategic objective; Same department; Same BSC perspective
- FND-011 | Conversión de voluntarios staff a donantes recurrentes | 2026=4.0% | baseline=3.2% | momentum=+23.7% | status=Strong improvement | relation=Same strategic objective; Same department; Same BSC perspective
- FND-013 | Nuevos donantes recurrentes EOS — Perú | 2026=2 # donantes | baseline=1 # donantes | momentum=+50.0%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87" s="20" t="str">
        <x:v>Analyze the selected KPI using only the supplied context. Explain what is changing, what related KPIs matter, what should be investigated first, and recommend a concrete next action.</x:v>
      </x:c>
      <x:c r="G87" s="20" t="str">
        <x:v>1) Diagnosis; 2) Evidence; 3) Likely Drivers; 4) Recommended Action; 5) Confidence &amp; Data Gaps</x:v>
      </x:c>
      <x:c r="H87" s="20" t="str">
        <x:v>PROTOTYPE ONLY — synthetic data; human approval required.</x:v>
      </x:c>
    </x:row>
    <x:row r="88" ht="90" customHeight="1">
      <x:c r="A88" s="20" t="str">
        <x:v>REC-F04</x:v>
      </x:c>
      <x:c r="B88" s="20" t="str">
        <x:v>Cobertura de pipeline ponderado de procuración</x:v>
      </x:c>
      <x:c r="C88" s="20" t="str">
        <x:v>Procuración de Fondos</x:v>
      </x:c>
      <x:c r="D88" s="20" t="str">
        <x:v>F3. Convertir alianzas estratégicas en recursos</x:v>
      </x:c>
      <x:c r="E88" s="20" t="str">
        <x:v>SELECTED KPI
KPI_ID: REC-F04
KPI: Cobertura de pipeline ponderado de procuración
Department: Procuración de Fondos
BSC Perspective: Sostenibilidad financiera
Strategic Objective: F3. Convertir alianzas estratégicas en recursos
Owner: Procuración de Fondos
Purpose: Indicador adelantado de riesgo de financiamiento.
Formula: Valor ponderado por probabilidad de oportunidades activas ÷ necesidad de financiamiento de próximos 6 meses
Direction: ↑ | Unit: x | Frequency: Mensual
2023: 0.92x | 2024: 1.10x | 2025: 1.32x | 2026: 1.58x
3Y Baseline: 1.11x | Target 2026: ≥1.5x
Direction-adjusted momentum: +41.9% | Status: Strong improvement
Warning threshold: 1.0–1.49x | Critical threshold: &lt;1.0x
Underlying 2026 values: Valor ponderado por probabilidad de oportunidades activas = 197.5%; necesidad de financiamiento de próximos 6 meses = 125 # / base
Static action from catalog: Aumentar prospección/calidad de oportunidades si cobertura cae.
Anti-gaming control: Probabilidades estandarizadas por etapa; revisión periódica de oportunidades estancadas.
RELATED KPI CONTEXT
- FND-016 | Nuevas alianzas estratégicas activas por país | 2026=4 # alianzas | baseline=3 # alianzas | momentum=+50.0% | status=Strong improvement | relation=Strategic-map adjacent objective; Same department
- REC-P07 | Conversión de alianzas estratégicas a recursos o capacidad programática | 2026=72.0% | baseline=61.2% | momentum=+17.7% | status=Strong improvement | relation=Strategic-map adjacent objective; Same department
- FND-001 | Fondos recaudados — Tu Donativo x2 (Chivas) | 2026=40,800 MXN | baseline=31,333 MXN | momentum=+30.2% | status=Strong improvement | relation=Same department; Same BSC perspective
- FND-002 | Fondos recaudados — ¿Cuánto vale una sonrisa? México | 2026=100 MXN | baseline=359,989 MXN | momentum=-100.0% | status=Deteriorating | relation=Same department; Same BSC perspective
- FND-003 | Fondos recaudados — ¿Cuánto vale una sonrisa? USA | 2026=100 USD | baseline=29,989 USD | momentum=-99.7% | status=Deteriorating | relation=Same department; Same BSC perspective
- OPS-016 | Proyectos OSC financiados conforme a reglas de operación | 2026=4 # proyectos | baseline=3 # proyectos | momentum=+50.0% | status=Strong improvement | relation=Strategic-map adjacent objective
- OPS-020 | Donativos en especie asignados a organizaciones elegibles | 2026=100.0% | baseline=89.0% | momentum=+12.4% | status=Strong improvement | relation=Strategic-map adjacent objective
- REC-S03 | Cobertura financiera del plan operativo | 2026=104.0% | baseline=89.2% | momentum=+16.6% | status=Strong improvement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88" s="20" t="str">
        <x:v>Analyze the selected KPI using only the supplied context. Explain what is changing, what related KPIs matter, what should be investigated first, and recommend a concrete next action.</x:v>
      </x:c>
      <x:c r="G88" s="20" t="str">
        <x:v>1) Diagnosis; 2) Evidence; 3) Likely Drivers; 4) Recommended Action; 5) Confidence &amp; Data Gaps</x:v>
      </x:c>
      <x:c r="H88" s="20" t="str">
        <x:v>PROTOTYPE ONLY — synthetic data; human approval required.</x:v>
      </x:c>
    </x:row>
    <x:row r="89" ht="90" customHeight="1">
      <x:c r="A89" s="20" t="str">
        <x:v>REC-F05</x:v>
      </x:c>
      <x:c r="B89" s="20" t="str">
        <x:v>Variación presupuestal</x:v>
      </x:c>
      <x:c r="C89" s="20" t="str">
        <x:v>Administración + Finanzas</x:v>
      </x:c>
      <x:c r="D89" s="20" t="str">
        <x:v>F4. Mejorar eficiencia y control presupuestal</x:v>
      </x:c>
      <x:c r="E89" s="20" t="str">
        <x:v>SELECTED KPI
KPI_ID: REC-F05
KPI: Variación presupuestal
Department: Administración + Finanzas
BSC Perspective: Sostenibilidad financiera
Strategic Objective: F4. Mejorar eficiencia y control presupuestal
Owner: Administración / Finanzas
Purpose: Detectar desviaciones de gasto sin premiar subejercicio indiscriminadamente.
Formula: (Gasto real − presupuesto ajustado aprobado) ÷ presupuesto ajustado aprobado × 100
Direction: ↔ | Unit: % | Frequency: Mensual
2023: 9.5% | 2024: 7.2% | 2025: 5.8% | 2026: 4.2%
3Y Baseline: 7.5% | Target 2026: Dentro de ±5% a nivel agregado, con tolerancias por rubro
Direction-adjusted momentum: +44.0% | Status: Strong improvement
Warning threshold: &gt;|5%| y ≤|10%| | Critical threshold: &gt;|10%|
Underlying 2026 values: Gasto real = 1,292,080.00 Moneda; presupuesto ajustado aprobado = 1,240,000.00 Moneda
Static action from catalog: Revisar drivers y forecast; requerir plan si desviación crítica.
Anti-gaming control: Analizar favorable/desfavorable según causa; no considerar siempre 'menos gasto' como mejor.
RELATED KPI CONTEXT
- ADM-015 | Reportes financieros mensuales entregados en tiempo | 2026=100.0% | baseline=89.0% | momentum=+12.4% | status=Strong improvement | relation=Same strategic objective; Same BSC perspective
- LEG-005 | Ahorro en costos internos derivados de la simplificación | 2026=20.4% | baseline=15.5% | momentum=+31.3% | status=Strong improvement | relation=Same strategic objective; Same BSC perspective
- REC-F06 | Costo por beneficiario | 2026=3,550.00 MXN/USD por beneficiario | baseline=3,958.33 MXN/USD por beneficiario | momentum=N/A | status=No data | relation=Same strategic objective; Same BSC perspective
- ADM-001 | Facturación de donativos emitida dentro del SLA | 2026=100.0% | baseline=89.1% | momentum=+12.3% | status=Strong improvement | relation=Strategic-map adjacent objective
- ADM-002 | Solicitudes de compra procesadas dentro del SLA | 2026=100.0% | baseline=89.1% | momentum=+12.3% | status=Strong improvement | relation=Strategic-map adjacent objective
- FND-001 | Fondos recaudados — Tu Donativo x2 (Chivas) | 2026=40,800 MXN | baseline=31,333 MXN | momentum=+30.2% | status=Strong improvement | relation=Same BSC perspective
- ADM-003 | Pagos realizados en la fecha programada | 2026=100.0% | baseline=89.5% | momentum=+11.7% | status=Strong improvement | relation=Strategic-map adjacent objective
- ADM-016 | Viajes gestionados dentro de una semana | 2026=100.0% | baseline=89.0% | momentum=+12.4% | status=Strong improvement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89" s="20" t="str">
        <x:v>Analyze the selected KPI using only the supplied context. Explain what is changing, what related KPIs matter, what should be investigated first, and recommend a concrete next action.</x:v>
      </x:c>
      <x:c r="G89" s="20" t="str">
        <x:v>1) Diagnosis; 2) Evidence; 3) Likely Drivers; 4) Recommended Action; 5) Confidence &amp; Data Gaps</x:v>
      </x:c>
      <x:c r="H89" s="20" t="str">
        <x:v>PROTOTYPE ONLY — synthetic data; human approval required.</x:v>
      </x:c>
    </x:row>
    <x:row r="90" ht="90" customHeight="1">
      <x:c r="A90" s="20" t="str">
        <x:v>REC-F06</x:v>
      </x:c>
      <x:c r="B90" s="20" t="str">
        <x:v>Costo por beneficiario</x:v>
      </x:c>
      <x:c r="C90" s="20" t="str">
        <x:v>Administración + Operaciones</x:v>
      </x:c>
      <x:c r="D90" s="20" t="str">
        <x:v>F4. Mejorar eficiencia y control presupuestal</x:v>
      </x:c>
      <x:c r="E90" s="20" t="str">
        <x:v>SELECTED KPI
KPI_ID: REC-F06
KPI: Costo por beneficiario
Department: Administración + Operaciones
BSC Perspective: Sostenibilidad financiera
Strategic Objective: F4. Mejorar eficiencia y control presupuestal
Owner: Administración / Operaciones
Purpose: Comparar eficiencia entre cohortes/programas sin confundirla con impacto.
Formula: Costo directo + asignación acordada de costos de programa ÷ beneficiarios válidos atendidos
Direction: Contextual | Unit: MXN/USD por beneficiario | Frequency: Mensual/Cierre
2023: 4,200.00 MXN/USD por beneficiario | 2024: 3,950.00 MXN/USD por beneficiario | 2025: 3,725.00 MXN/USD por beneficiario | 2026: 3,550.00 MXN/USD por beneficiario
3Y Baseline: 3,958.33 MXN/USD por beneficiario | Target 2026: Baseline y benchmark por programa
Direction-adjusted momentum: N/A | Status: No data
Warning threshold: &gt;10% vs presupuesto | Critical threshold:  &gt;20% vs presupuesto
Underlying 2026 values: Costo directo = 2,619,900 USD; asignación acordada de costos de programa = 575,100 USD; beneficiarios válidos atendidos = 900 # / base
Static action from catalog: Investigar productividad/costo sin sacrificar calidad.
Anti-gaming control: Metodología de costeo consistente y calidad/outcome como counter-metric.
RELATED KPI CONTEXT
- ADM-015 | Reportes financieros mensuales entregados en tiempo | 2026=100.0% | baseline=89.0% | momentum=+12.4% | status=Strong improvement | relation=Same strategic objective; Same BSC perspective
- LEG-005 | Ahorro en costos internos derivados de la simplificación | 2026=20.4% | baseline=15.5% | momentum=+31.3% | status=Strong improvement | relation=Same strategic objective; Same BSC perspective
- REC-F05 | Variación presupuestal | 2026=4.2% | baseline=7.5% | momentum=+44.0% | status=Strong improvement | relation=Same strategic objective; Same BSC perspective
- ADM-001 | Facturación de donativos emitida dentro del SLA | 2026=100.0% | baseline=89.1% | momentum=+12.3% | status=Strong improvement | relation=Strategic-map adjacent objective
- ADM-002 | Solicitudes de compra procesadas dentro del SLA | 2026=100.0% | baseline=89.1% | momentum=+12.3% | status=Strong improvement | relation=Strategic-map adjacent objective
- FND-001 | Fondos recaudados — Tu Donativo x2 (Chivas) | 2026=40,800 MXN | baseline=31,333 MXN | momentum=+30.2% | status=Strong improvement | relation=Same BSC perspective
- ADM-003 | Pagos realizados en la fecha programada | 2026=100.0% | baseline=89.5% | momentum=+11.7% | status=Strong improvement | relation=Strategic-map adjacent objective
- ADM-016 | Viajes gestionados dentro de una semana | 2026=100.0% | baseline=89.0% | momentum=+12.4% | status=Strong improvement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90" s="20" t="str">
        <x:v>Analyze the selected KPI using only the supplied context. Explain what is changing, what related KPIs matter, what should be investigated first, and recommend a concrete next action.</x:v>
      </x:c>
      <x:c r="G90" s="20" t="str">
        <x:v>1) Diagnosis; 2) Evidence; 3) Likely Drivers; 4) Recommended Action; 5) Confidence &amp; Data Gaps</x:v>
      </x:c>
      <x:c r="H90" s="20" t="str">
        <x:v>PROTOTYPE ONLY — synthetic data; human approval required.</x:v>
      </x:c>
    </x:row>
    <x:row r="91" ht="90" customHeight="1">
      <x:c r="A91" s="20" t="str">
        <x:v>REC-P01</x:v>
      </x:c>
      <x:c r="B91" s="20" t="str">
        <x:v>Programas ejecutados conforme al plan</x:v>
      </x:c>
      <x:c r="C91" s="20" t="str">
        <x:v>Operaciones</x:v>
      </x:c>
      <x:c r="D91" s="20" t="str">
        <x:v>P1. Estandarizar y escalar programas</x:v>
      </x:c>
      <x:c r="E91" s="20" t="str">
        <x:v>SELECTED KPI
KPI_ID: REC-P01
KPI: Programas ejecutados conforme al plan
Department: Operaciones
BSC Perspective: Procesos internos
Strategic Objective: P1. Estandarizar y escalar programas
Owner: Operaciones
Purpose: Resumen operativo de ejecución del portafolio programático.
Formula: Programas/ediciones ejecutados en alcance y ventana comprometidos ÷ programas/ediciones programados × 100
Direction: ↑ | Unit: % | Frequency: Mensual
2023: 75.0% | 2024: 84.6% | 2025: 85.7% | 2026: 93.3%
3Y Baseline: 81.8% | Target 2026: ≥95%
Direction-adjusted momentum: +14.1% | Status: Strong improvement
Warning threshold: 85–94.9% | Critical threshold: &lt;85%
Underlying 2026 values: Programas/ediciones ejecutados en alcance y ventana comprometidos = 14 # / base; programas/ediciones programados = 15 # / base
Static action from catalog: Replanificar recursos/dependencias de programas en riesgo.
Anti-gaming control: No redefinir el plan retroactivamente sin aprobación.
RELATED KPI CONTEXT
- OPS-012 | Países con plan de escalamiento de nutrición listo para 2027 | 2026=100.0% | baseline=91.7% | momentum=+9.1% | status=Improving | relation=Same strategic objective; Same department; Same BSC perspective
- REC-C01 | Tasa de finalización/retención de participantes | 2026=87.0% | baseline=76.0% | momentum=+14.5% | status=Strong improvement | relation=Strategic-map adjacent objective; Same department
- REC-S02 | Cumplimiento de cobertura total de beneficiarios | 2026=96.0% | baseline=84.0% | momentum=+14.3% | status=Strong improvement | relation=Strategic-map adjacent objective; Same department
- OPS-001 | Países con operación programática activa según modelo definido | 2026=4 # países | baseline=3 # países | momentum=+50.0% | status=Strong improvement | relation=Strategic-map adjacent objective; Same department
- OPS-002 | Asistencia regular de beneficiarios | 2026=82.0% | baseline=71.0% | momentum=+15.5% | status=Strong improvement | relation=Strategic-map adjacent objective; Same department
- REC-P02 | Cobertura de medición de impacto | 2026=100.0% | baseline=89.0% | momentum=+12.4% | status=Strong improvement | relation=Same department; Same BSC perspective
- OPS-006 | Beneficiarios que alcanzan competencia deportiva inicial | 2026=72.0% | baseline=61.0% | momentum=+18.0% | status=Strong improvement | relation=Strategic-map adjacent objective; Same department
- OPS-008 | Cobertura del piloto de nutrición infantil | 2026=100.0% | baseline=89.0% | momentum=+12.4% | status=Strong improvement | relation=Strategic-map adjacent objective; Same department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91" s="20" t="str">
        <x:v>Analyze the selected KPI using only the supplied context. Explain what is changing, what related KPIs matter, what should be investigated first, and recommend a concrete next action.</x:v>
      </x:c>
      <x:c r="G91" s="20" t="str">
        <x:v>1) Diagnosis; 2) Evidence; 3) Likely Drivers; 4) Recommended Action; 5) Confidence &amp; Data Gaps</x:v>
      </x:c>
      <x:c r="H91" s="20" t="str">
        <x:v>PROTOTYPE ONLY — synthetic data; human approval required.</x:v>
      </x:c>
    </x:row>
    <x:row r="92" ht="90" customHeight="1">
      <x:c r="A92" s="20" t="str">
        <x:v>REC-P02</x:v>
      </x:c>
      <x:c r="B92" s="20" t="str">
        <x:v>Cobertura de medición de impacto</x:v>
      </x:c>
      <x:c r="C92" s="20" t="str">
        <x:v>Operaciones</x:v>
      </x:c>
      <x:c r="D92" s="20" t="str">
        <x:v>P2. Fortalecer medición de impacto</x:v>
      </x:c>
      <x:c r="E92" s="20" t="str">
        <x:v>SELECTED KPI
KPI_ID: REC-P02
KPI: Cobertura de medición de impacto
Department: Operaciones
BSC Perspective: Procesos internos
Strategic Objective: P2. Fortalecer medición de impacto
Owner: Operaciones / M&amp;E
Purpose: Cerrar la debilidad identificada de medición de impacto de largo plazo.
Formula: Programas con diseño de medición y datos de outcome suficientes ÷ programas ejecutados que requieren evaluación × 100
Direction: ↑ | Unit: % | Frequency: Trimestral
2023: 84.0% | 2024: 88.9% | 2025: 94.0% | 2026: 100.0%
3Y Baseline: 89.0% | Target 2026: 100%
Direction-adjusted momentum: +12.4% | Status: Strong improvement
Warning threshold: 90–99.9% | Critical threshold: &lt;90%
Underlying 2026 values: Programas con diseño de medición y datos de outcome suficientes = 125 # / base; programas ejecutados que requieren evaluación = 125 # / base
Static action from catalog: Bloquear cierre final de programa sin paquete mínimo de evidencia.
Anti-gaming control: Exigir protocolo, baseline cuando aplique y criterios mínimos de calidad de datos.
RELATED KPI CONTEXT
- OPS-009 | Cobertura de seguimiento nutricional con registros completos | 2026=96.0% | baseline=84.0% | momentum=+14.3% | status=Strong improvement | relation=Same strategic objective; Same department; Same BSC perspective
- OPS-019 | Proyectos OSC con seguimiento y reporte de resultados aprobado | 2026=100.0% | baseline=89.0% | momentum=+12.4% | status=Strong improvement | relation=Same strategic objective; Same department; Same BSC perspective
- MKT-002 | Acciones de mejora derivadas de analítica implementadas en plazo | 2026=82.1% | baseline=71.7% | momentum=+14.6% | status=Strong improvement | relation=Same strategic objective; Same BSC perspective
- OPS-003 | Mejora de habilidades psicosociales | 2026=30.6% | baseline=23.3% | momentum=+31.3% | status=Strong improvement | relation=Strategic-map adjacent objective; Same department
- OPS-004 | Mejora de habilidades deportivas | 2026=30.6% | baseline=23.3% | momentum=+31.3% | status=Strong improvement | relation=Strategic-map adjacent objective; Same department
- OPS-005 | Incremento del tiempo de actividad física de beneficiarios | 2026=30.6% | baseline=23.3% | momentum=+31.3% | status=Strong improvement | relation=Strategic-map adjacent objective; Same department
- OPS-006 | Beneficiarios que alcanzan competencia deportiva inicial | 2026=72.0% | baseline=61.0% | momentum=+18.0% | status=Strong improvement | relation=Strategic-map adjacent objective; Same department
- REC-P01 | Programas ejecutados conforme al plan | 2026=93.3% | baseline=81.8% | momentum=+14.1% | status=Strong improvement | relation=Same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92" s="20" t="str">
        <x:v>Analyze the selected KPI using only the supplied context. Explain what is changing, what related KPIs matter, what should be investigated first, and recommend a concrete next action.</x:v>
      </x:c>
      <x:c r="G92" s="20" t="str">
        <x:v>1) Diagnosis; 2) Evidence; 3) Likely Drivers; 4) Recommended Action; 5) Confidence &amp; Data Gaps</x:v>
      </x:c>
      <x:c r="H92" s="20" t="str">
        <x:v>PROTOTYPE ONLY — synthetic data; human approval required.</x:v>
      </x:c>
    </x:row>
    <x:row r="93" ht="90" customHeight="1">
      <x:c r="A93" s="20" t="str">
        <x:v>REC-P03</x:v>
      </x:c>
      <x:c r="B93" s="20" t="str">
        <x:v>Conversión de campaña a nuevo donante</x:v>
      </x:c>
      <x:c r="C93" s="20" t="str">
        <x:v>Marketing + Procuración de Fondos</x:v>
      </x:c>
      <x:c r="D93" s="20" t="str">
        <x:v>P3. Integrar Marketing + Procuración</x:v>
      </x:c>
      <x:c r="E93" s="20" t="str">
        <x:v>SELECTED KPI
KPI_ID: REC-P03
KPI: Conversión de campaña a nuevo donante
Department: Marketing + Procuración de Fondos
BSC Perspective: Procesos internos
Strategic Objective: P3. Integrar Marketing + Procuración
Owner: Procuración de Fondos
Purpose: Conectar marketing con procuración y evitar vanity metrics.
Formula: Nuevos donantes atribuibles a campaña ÷ prospectos/leads elegibles generados por campaña × 100
Direction: ↑ | Unit: % | Frequency: Por campaña/Mensual
2023: 2010.0% | 2024: 2014.9% | 2025: 2020.1% | 2026: 100.0%
3Y Baseline: 2015.0% | Target 2026: Baseline 2026 + mejora
Direction-adjusted momentum: -95.0% | Status: Deteriorating
Warning threshold: Por campaña | Critical threshold: Por campaña
Underlying 2026 values: Nuevos donantes atribuibles a campaña = 225 # / base; prospectos/leads elegibles generados por campaña = 225 # / base
Static action from catalog: Optimizar audiencia, mensaje y CTA; detener campañas sin contribución.
Anti-gaming control: Modelo de atribución predefinido y deduplicación de leads/donantes.
RELATED KPI CONTEXT
- REC-M02 | Costo de adquisición de nuevo donante | 2026=760.00 MXN/USD por donante | baseline=896.67 MXN/USD por donante | momentum=+15.2% | status=Strong improvement | relation=Same strategic objective; Same BSC perspective
- MKT-008 | Cumplimiento de ejecución multicanal del lanzamiento | 2026=100.0% | baseline=89.0% | momentum=+12.4% | status=Strong improvement | relation=Same strategic objective; Same BSC perspective
- MKT-011 | Actividades principales con cobertura completa de comunicación e impacto | 2026=100.0% | baseline=89.2% | momentum=+12.1% | status=Strong improvement | relation=Same strategic objective; Same BSC perspective
- FND-001 | Fondos recaudados — Tu Donativo x2 (Chivas) | 2026=40,800 MXN | baseline=31,333 MXN | momentum=+30.2% | status=Strong improvement | relation=Strategic-map adjacent objective
- FND-002 | Fondos recaudados — ¿Cuánto vale una sonrisa? México | 2026=100 MXN | baseline=359,989 MXN | momentum=-100.0% | status=Deteriorating | relation=Strategic-map adjacent objective
- MKT-013 | Campañas de procuración con análisis conjunto MKT–PF | 2026=100.0% | baseline=88.7% | momentum=+12.7% | status=Strong improvement | relation=Same strategic objective; Same BSC perspective
- MKT-014 | Fondos atribuibles a campañas conjuntas Omnilife–Chivas | 2026=2,066.52 MXN/USD | baseline=1,587.03 MXN/USD | momentum=+30.2% | status=Strong improvement | relation=Same strategic objective; Same BSC perspective
- FND-003 | Fondos recaudados — ¿Cuánto vale una sonrisa? USA | 2026=100 USD | baseline=29,989 USD | momentum=-99.7% | status=Deteriorating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93" s="20" t="str">
        <x:v>Analyze the selected KPI using only the supplied context. Explain what is changing, what related KPIs matter, what should be investigated first, and recommend a concrete next action.</x:v>
      </x:c>
      <x:c r="G93" s="20" t="str">
        <x:v>1) Diagnosis; 2) Evidence; 3) Likely Drivers; 4) Recommended Action; 5) Confidence &amp; Data Gaps</x:v>
      </x:c>
      <x:c r="H93" s="20" t="str">
        <x:v>PROTOTYPE ONLY — synthetic data; human approval required.</x:v>
      </x:c>
    </x:row>
    <x:row r="94" ht="90" customHeight="1">
      <x:c r="A94" s="20" t="str">
        <x:v>REC-P04</x:v>
      </x:c>
      <x:c r="B94" s="20" t="str">
        <x:v>Cumplimiento agregado de SLA administrativos</x:v>
      </x:c>
      <x:c r="C94" s="20" t="str">
        <x:v>Administración</x:v>
      </x:c>
      <x:c r="D94" s="20" t="str">
        <x:v>P4. Simplificar y digitalizar procesos</x:v>
      </x:c>
      <x:c r="E94" s="20" t="str">
        <x:v>SELECTED KPI
KPI_ID: REC-P04
KPI: Cumplimiento agregado de SLA administrativos
Department: Administración
BSC Perspective: Procesos internos
Strategic Objective: P4. Simplificar y digitalizar procesos
Owner: Administración
Purpose: Vista ejecutiva de agilidad administrativa, agregando facturación, compras y otros procesos.
Formula: Solicitudes administrativas críticas resueltas dentro de su SLA ÷ solicitudes críticas completas × 100
Direction: ↑ | Unit: % | Frequency: Mensual
2023: 79.0% | 2024: 84.3% | 2025: 88.8% | 2026: 96.0%
3Y Baseline: 84.0% | Target 2026: ≥95%
Direction-adjusted momentum: +14.3% | Status: Strong improvement
Warning threshold: 90–94.9% | Critical threshold: &lt;90%
Underlying 2026 values: Solicitudes administrativas críticas resueltas dentro de su SLA = 120 # / base; solicitudes críticas completas = 125 # / base
Static action from catalog: Analizar cuellos de botella por tipo de solicitud y aprobador.
Anti-gaming control: Reloj inicia sólo cuando solicitud tiene requisitos mínimos definidos; registrar pausas justificadas.
RELATED KPI CONTEXT
- ADM-001 | Facturación de donativos emitida dentro del SLA | 2026=100.0% | baseline=89.1% | momentum=+12.3% | status=Strong improvement | relation=Same strategic objective; Same department; Same BSC perspective
- ADM-002 | Solicitudes de compra procesadas dentro del SLA | 2026=100.0% | baseline=89.1% | momentum=+12.3% | status=Strong improvement | relation=Same strategic objective; Same department; Same BSC perspective
- ADM-003 | Pagos realizados en la fecha programada | 2026=100.0% | baseline=89.5% | momentum=+11.7% | status=Strong improvement | relation=Same strategic objective; Same department; Same BSC perspective
- ADM-004 | Presupuestos anuales aprobados dentro del calendario | 2026=100.0% | baseline=89.0% | momentum=+12.4% | status=Strong improvement | relation=Strategic-map adjacent objective; Same department
- ADM-006 | Informes regulatorios presentados en tiempo y forma | 2026=100.0% | baseline=89.0% | momentum=+12.4% | status=Strong improvement | relation=Strategic-map adjacent objective; Same department
- ADM-016 | Viajes gestionados dentro de una semana | 2026=100.0% | baseline=89.0% | momentum=+12.4% | status=Strong improvement | relation=Same strategic objective; Same department; Same BSC perspective
- ADM-017 | Viáticos comprobados dentro de 30 días | 2026=100.0% | baseline=89.0% | momentum=+12.4% | status=Strong improvement | relation=Same strategic objective; Same department; Same BSC perspective
- LEG-001 | Tiempo de ciclo para liberación contractual | 2026=3.1 Días hábiles | baseline=4.9 Días hábiles | momentum=+36.7%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94" s="20" t="str">
        <x:v>Analyze the selected KPI using only the supplied context. Explain what is changing, what related KPIs matter, what should be investigated first, and recommend a concrete next action.</x:v>
      </x:c>
      <x:c r="G94" s="20" t="str">
        <x:v>1) Diagnosis; 2) Evidence; 3) Likely Drivers; 4) Recommended Action; 5) Confidence &amp; Data Gaps</x:v>
      </x:c>
      <x:c r="H94" s="20" t="str">
        <x:v>PROTOTYPE ONLY — synthetic data; human approval required.</x:v>
      </x:c>
    </x:row>
    <x:row r="95" ht="90" customHeight="1">
      <x:c r="A95" s="20" t="str">
        <x:v>REC-P06</x:v>
      </x:c>
      <x:c r="B95" s="20" t="str">
        <x:v>Obligaciones regulatorias vencidas</x:v>
      </x:c>
      <x:c r="C95" s="20" t="str">
        <x:v>Jurídico</x:v>
      </x:c>
      <x:c r="D95" s="20" t="str">
        <x:v>P5. Fortalecer cumplimiento, transparencia y gobierno</x:v>
      </x:c>
      <x:c r="E95" s="20" t="str">
        <x:v>SELECTED KPI
KPI_ID: REC-P06
KPI: Obligaciones regulatorias vencidas
Department: Jurídico
BSC Perspective: Procesos internos
Strategic Objective: P5. Fortalecer cumplimiento, transparencia y gobierno
Owner: Jurídico
Purpose: KRI sencillo y accionable para Dirección/Jurídico.
Formula: Número de obligaciones regulatorias vencidas y no cumplidas al corte
Direction: ↓ | Unit: # | Frequency: Semanal/Mensual
2023: 4 # | 2024: 3 # | 2025: 1 # | 2026: 0 #
3Y Baseline: 3 # | Target 2026: 0
Direction-adjusted momentum: +100.0% | Status: Strong improvement
Warning threshold: 1 obligación en riesgo de vencer | Critical threshold: ≥1 vencida
Underlying 2026 values: Número de obligaciones regulatorias vencidas y no cumplidas al corte = 0 #
Static action from catalog: Escalar automáticamente a Dirección y asignar plan de remediación.
Anti-gaming control: Inventario legal completo; fecha de vencimiento no editable sin evidencia normativa.
RELATED KPI CONTEXT
- LEG-003 | Reducción de cargas regulatorias duplicadas con cumplimiento íntegro | 2026=52.0% | baseline=41.0% | momentum=+26.8% | status=Strong improvement | relation=Same strategic objective; Same department; Same BSC perspective
- LEG-015 | Proyectos OSC con reglas de operación aplicables antes de aprobación | 2026=100.0% | baseline=89.0% | momentum=+12.4% | status=Strong improvement | relation=Same strategic objective; Same department; Same BSC perspective
- LEG-016 | Donativos a OSC con convenio formalizado previo al desembolso | 2026=100.0% | baseline=89.2% | momentum=+12.1% | status=Strong improvement | relation=Same strategic objective; Same department; Same BSC perspective
- LEG-001 | Tiempo de ciclo para liberación contractual | 2026=3.1 Días hábiles | baseline=4.9 Días hábiles | momentum=+36.7% | status=Strong improvement | relation=Strategic-map adjacent objective; Same department; Same BSC perspective
- LEG-004 | Reducción de procesos administrativos duplicados por estructura societaria | 2026=52.0% | baseline=41.0% | momentum=+26.8% | status=Strong improvement | relation=Strategic-map adjacent objective; Same department; Same BSC perspective
- LEG-017 | Proyectos OSC con cierre operativo-financiero validado | 2026=100.0% | baseline=89.0% | momentum=+12.4% | status=Strong improvement | relation=Same strategic objective; Same department; Same BSC perspective
- LEG-002 | Expedientes jurídicos completos en repositorio digital | 2026=100.0% | baseline=89.1% | momentum=+12.2% | status=Strong improvement | relation=Strategic-map adjacent objective; Same department
- REC-P04 | Cumplimiento agregado de SLA administrativos | 2026=96.0% | baseline=84.0% | momentum=+14.3% | status=Strong improvement | relation=Strategic-map adjacent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95" s="20" t="str">
        <x:v>Analyze the selected KPI using only the supplied context. Explain what is changing, what related KPIs matter, what should be investigated first, and recommend a concrete next action.</x:v>
      </x:c>
      <x:c r="G95" s="20" t="str">
        <x:v>1) Diagnosis; 2) Evidence; 3) Likely Drivers; 4) Recommended Action; 5) Confidence &amp; Data Gaps</x:v>
      </x:c>
      <x:c r="H95" s="20" t="str">
        <x:v>PROTOTYPE ONLY — synthetic data; human approval required.</x:v>
      </x:c>
    </x:row>
    <x:row r="96" ht="90" customHeight="1">
      <x:c r="A96" s="20" t="str">
        <x:v>REC-P07</x:v>
      </x:c>
      <x:c r="B96" s="20" t="str">
        <x:v>Conversión de alianzas estratégicas a recursos o capacidad programática</x:v>
      </x:c>
      <x:c r="C96" s="20" t="str">
        <x:v>Procuración de Fondos</x:v>
      </x:c>
      <x:c r="D96" s="20" t="str">
        <x:v>P6. Construir ecosistema de alianzas</x:v>
      </x:c>
      <x:c r="E96" s="20" t="str">
        <x:v>SELECTED KPI
KPI_ID: REC-P07
KPI: Conversión de alianzas estratégicas a recursos o capacidad programática
Department: Procuración de Fondos
BSC Perspective: Procesos internos
Strategic Objective: P6. Construir ecosistema de alianzas
Owner: Procuración de Fondos
Purpose: Evitar medir alianzas sólo por cantidad.
Formula: Alianzas nuevas que generan recursos, acceso, capacidad o implementación verificable ÷ alianzas nuevas activas × 100
Direction: ↑ | Unit: % | Frequency: Trimestral
2023: 56.0% | 2024: 61.1% | 2025: 66.4% | 2026: 72.0%
3Y Baseline: 61.2% | Target 2026: ≥70%
Direction-adjusted momentum: +17.7% | Status: Strong improvement
Warning threshold: 50–69.9% | Critical threshold: &lt;50%
Underlying 2026 values: Alianzas nuevas que generan recursos, acceso, capacidad o implementación verificable = 90.00 Moneda; alianzas nuevas activas = 125 # / base
Static action from catalog: Revisar valor de alianzas inactivas y plan de activación.
Anti-gaming control: Definir qué cuenta como valor realizado y exigir evidencia.
RELATED KPI CONTEXT
- FND-016 | Nuevas alianzas estratégicas activas por país | 2026=4 # alianzas | baseline=3 # alianzas | momentum=+50.0% | status=Strong improvement | relation=Same strategic objective; Same department; Same BSC perspective
- OPS-016 | Proyectos OSC financiados conforme a reglas de operación | 2026=4 # proyectos | baseline=3 # proyectos | momentum=+50.0% | status=Strong improvement | relation=Same strategic objective; Same BSC perspective
- OPS-020 | Donativos en especie asignados a organizaciones elegibles | 2026=100.0% | baseline=89.0% | momentum=+12.4% | status=Strong improvement | relation=Same strategic objective; Same BSC perspective
- FND-001 | Fondos recaudados — Tu Donativo x2 (Chivas) | 2026=40,800 MXN | baseline=31,333 MXN | momentum=+30.2% | status=Strong improvement | relation=Strategic-map adjacent objective; Same department
- FND-002 | Fondos recaudados — ¿Cuánto vale una sonrisa? México | 2026=100 MXN | baseline=359,989 MXN | momentum=-100.0% | status=Deteriorating | relation=Strategic-map adjacent objective; Same department
- FND-003 | Fondos recaudados — ¿Cuánto vale una sonrisa? USA | 2026=100 USD | baseline=29,989 USD | momentum=-99.7% | status=Deteriorating | relation=Strategic-map adjacent objective; Same department
- FND-004 | Fondos recaudados — ¿Cuánto vale una sonrisa? Perú | 2026=100 USD | baseline=2,989 USD | momentum=-96.7% | status=Deteriorating | relation=Strategic-map adjacent objective; Same department
- REC-M02 | Costo de adquisición de nuevo donante | 2026=760.00 MXN/USD por donante | baseline=896.67 MXN/USD por donante | momentum=+15.2% | status=Strong improvement | relation=Same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96" s="20" t="str">
        <x:v>Analyze the selected KPI using only the supplied context. Explain what is changing, what related KPIs matter, what should be investigated first, and recommend a concrete next action.</x:v>
      </x:c>
      <x:c r="G96" s="20" t="str">
        <x:v>1) Diagnosis; 2) Evidence; 3) Likely Drivers; 4) Recommended Action; 5) Confidence &amp; Data Gaps</x:v>
      </x:c>
      <x:c r="H96" s="20" t="str">
        <x:v>PROTOTYPE ONLY — synthetic data; human approval required.</x:v>
      </x:c>
    </x:row>
    <x:row r="97" ht="90" customHeight="1">
      <x:c r="A97" s="20" t="str">
        <x:v>REC-L01</x:v>
      </x:c>
      <x:c r="B97" s="20" t="str">
        <x:v>Integridad y actualización de datos estratégicos</x:v>
      </x:c>
      <x:c r="C97" s="20" t="str">
        <x:v>Todas las áreas</x:v>
      </x:c>
      <x:c r="D97" s="20" t="str">
        <x:v>L1. Construir una cultura de gestión basada en datos</x:v>
      </x:c>
      <x:c r="E97" s="20" t="str">
        <x:v>SELECTED KPI
KPI_ID: REC-L01
KPI: Integridad y actualización de datos estratégicos
Department: Todas las áreas
BSC Perspective: Capacidades y tecnología
Strategic Objective: L1. Construir una cultura de gestión basada en datos
Owner: Dirección / PMO
Purpose: Asegurar una base mínima para gestión por datos.
Formula: Campos/KPIs estratégicos requeridos completos, válidos y actualizados ÷ campos/KPIs requeridos × 100
Direction: ↑ | Unit: % | Frequency: Mensual
2023: 79.0% | 2024: 84.3% | 2025: 88.8% | 2026: 96.0%
3Y Baseline: 84.0% | Target 2026: ≥95%
Direction-adjusted momentum: +14.3% | Status: Strong improvement
Warning threshold: 90–94.9% | Critical threshold: &lt;90%
Underlying 2026 values: Campos/KPIs estratégicos requeridos completos, válidos y actualizados = 120 # / base; campos/KPIs requeridos = 125 # / base
Static action from catalog: Notificar owner y bloquear reporte ejecutivo si faltan datos críticos.
Anti-gaming control: Validaciones automáticas + muestreo de evidencia; no medir sólo 'celda no vacía'.
RELATED KPI CONTEXT
- MKT-015 | Implementación de recomendaciones de benchmarking | 2026=100.0% | baseline=89.0% | momentum=+12.4% | status=Strong improvement | relation=Same strategic objective; Same BSC perspective
- MKT-016 | Cierre en plazo de hallazgos de auditoría de comunicación | 2026=92.0% | baseline=81.0% | momentum=+13.6% | status=Strong improvement | relation=Same strategic objective; Same BSC perspective
- REC-P02 | Cobertura de medición de impacto | 2026=100.0% | baseline=89.0% | momentum=+12.4% | status=Strong improvement | relation=Strategic-map adjacent objective
- REC-P04 | Cumplimiento agregado de SLA administrativos | 2026=96.0% | baseline=84.0% | momentum=+14.3% | status=Strong improvement | relation=Strategic-map adjacent objective
- REC-L05 | Cumplimiento de compromisos interárea | 2026=92.9% | baseline=81.2% | momentum=+14.3% | status=Strong improvement | relation=Same department; Same BSC perspective
- REC-L02 | Adopción de la plataforma de gestión | 2026=92.0% | baseline=80.9% | momentum=+13.7% | status=Strong improvement | relation=Same BSC perspective
- ADM-001 | Facturación de donativos emitida dentro del SLA | 2026=100.0% | baseline=89.1% | momentum=+12.3% | status=Strong improvement | relation=Strategic-map adjacent objective
- ADM-002 | Solicitudes de compra procesadas dentro del SLA | 2026=100.0% | baseline=89.1% | momentum=+12.3% | status=Strong improvement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97" s="20" t="str">
        <x:v>Analyze the selected KPI using only the supplied context. Explain what is changing, what related KPIs matter, what should be investigated first, and recommend a concrete next action.</x:v>
      </x:c>
      <x:c r="G97" s="20" t="str">
        <x:v>1) Diagnosis; 2) Evidence; 3) Likely Drivers; 4) Recommended Action; 5) Confidence &amp; Data Gaps</x:v>
      </x:c>
      <x:c r="H97" s="20" t="str">
        <x:v>PROTOTYPE ONLY — synthetic data; human approval required.</x:v>
      </x:c>
    </x:row>
    <x:row r="98" ht="90" customHeight="1">
      <x:c r="A98" s="20" t="str">
        <x:v>REC-L02</x:v>
      </x:c>
      <x:c r="B98" s="20" t="str">
        <x:v>Adopción de la plataforma de gestión</x:v>
      </x:c>
      <x:c r="C98" s="20" t="str">
        <x:v>Dirección + Administración</x:v>
      </x:c>
      <x:c r="D98" s="20" t="str">
        <x:v>L2. Integrar información en una sola plataforma</x:v>
      </x:c>
      <x:c r="E98" s="20" t="str">
        <x:v>SELECTED KPI
KPI_ID: REC-L02
KPI: Adopción de la plataforma de gestión
Department: Dirección + Administración
BSC Perspective: Capacidades y tecnología
Strategic Objective: L2. Integrar información en una sola plataforma
Owner: Administración / Product Owner
Purpose: Medir adopción de la plataforma cuando exista en producción.
Formula: Usuarios objetivo con uso activo relevante en el periodo ÷ usuarios objetivo habilitados × 100
Direction: ↑ | Unit: % | Frequency: Mensual
2023: 76.0% | 2024: 80.6% | 2025: 86.2% | 2026: 92.0%
3Y Baseline: 80.9% | Target 2026: ≥90% una vez desplegada
Direction-adjusted momentum: +13.7% | Status: Strong improvement
Warning threshold: 75–89.9% | Critical threshold: &lt;75%
Underlying 2026 values: Usuarios objetivo con uso activo relevante en el periodo = 115 # / base; usuarios objetivo habilitados = 125 # / base
Static action from catalog: Identificar fricción, capacitación o procesos que siguen fuera del sistema.
Anti-gaming control: Uso activo = acción sustantiva, no login.
RELATED KPI CONTEXT
- REC-L03 | Cobertura de procesos críticos digitalizados | 2026=81.6% | baseline=71.1% | momentum=+14.8% | status=Strong improvement | relation=Same strategic objective; Same BSC perspective
- LEG-002 | Expedientes jurídicos completos en repositorio digital | 2026=100.0% | baseline=89.1% | momentum=+12.2% | status=Strong improvement | relation=Same strategic objective; Same BSC perspective
- LEG-008 | Adopción activa de WEBDOX por usuarios jurídicos | 2026=90.9% | baseline=81.4% | momentum=+11.7% | status=Strong improvement | relation=Same strategic objective; Same BSC perspective
- REC-P02 | Cobertura de medición de impacto | 2026=100.0% | baseline=89.0% | momentum=+12.4% | status=Strong improvement | relation=Strategic-map adjacent objective
- REC-P04 | Cumplimiento agregado de SLA administrativos | 2026=96.0% | baseline=84.0% | momentum=+14.3% | status=Strong improvement | relation=Strategic-map adjacent objective
- LEG-009 | Convenios tramitados end-to-end en WEBDOX | 2026=92.0% | baseline=81.2% | momentum=+13.3% | status=Strong improvement | relation=Same strategic objective; Same BSC perspective
- REC-P06 | Obligaciones regulatorias vencidas | 2026=0 # | baseline=3 # | momentum=+100.0% | status=Strong improvement | relation=Strategic-map adjacent objective
- ADM-001 | Facturación de donativos emitida dentro del SLA | 2026=100.0% | baseline=89.1% | momentum=+12.3% | status=Strong improvement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98" s="20" t="str">
        <x:v>Analyze the selected KPI using only the supplied context. Explain what is changing, what related KPIs matter, what should be investigated first, and recommend a concrete next action.</x:v>
      </x:c>
      <x:c r="G98" s="20" t="str">
        <x:v>1) Diagnosis; 2) Evidence; 3) Likely Drivers; 4) Recommended Action; 5) Confidence &amp; Data Gaps</x:v>
      </x:c>
      <x:c r="H98" s="20" t="str">
        <x:v>PROTOTYPE ONLY — synthetic data; human approval required.</x:v>
      </x:c>
    </x:row>
    <x:row r="99" ht="90" customHeight="1">
      <x:c r="A99" s="20" t="str">
        <x:v>REC-L03</x:v>
      </x:c>
      <x:c r="B99" s="20" t="str">
        <x:v>Cobertura de procesos críticos digitalizados</x:v>
      </x:c>
      <x:c r="C99" s="20" t="str">
        <x:v>Administración + Jurídico</x:v>
      </x:c>
      <x:c r="D99" s="20" t="str">
        <x:v>L2. Integrar información en una sola plataforma</x:v>
      </x:c>
      <x:c r="E99" s="20" t="str">
        <x:v>SELECTED KPI
KPI_ID: REC-L03
KPI: Cobertura de procesos críticos digitalizados
Department: Administración + Jurídico
BSC Perspective: Capacidades y tecnología
Strategic Objective: L2. Integrar información en una sola plataforma
Owner: Administración
Purpose: Medir transformación de procesos, no número de herramientas compradas.
Formula: Procesos críticos con flujo digital end-to-end y trazabilidad ÷ procesos críticos priorizados × 100
Direction: ↑ | Unit: % | Frequency: Trimestral
2023: 66.0% | 2024: 71.3% | 2025: 75.9% | 2026: 81.6%
3Y Baseline: 71.1% | Target 2026: ≥80%
Direction-adjusted momentum: +14.8% | Status: Strong improvement
Warning threshold: 60–79.9% | Critical threshold: &lt;60%
Underlying 2026 values: Procesos críticos con flujo digital end-to-end y trazabilidad = 102 # / base; procesos críticos priorizados = 125 # / base
Static action from catalog: Priorizar digitalización según riesgo/volumen.
Anti-gaming control: Digitalizado exige eliminación del flujo paralelo no controlado y trazabilidad.
RELATED KPI CONTEXT
- REC-L02 | Adopción de la plataforma de gestión | 2026=92.0% | baseline=80.9% | momentum=+13.7% | status=Strong improvement | relation=Same strategic objective; Same BSC perspective
- LEG-002 | Expedientes jurídicos completos en repositorio digital | 2026=100.0% | baseline=89.1% | momentum=+12.2% | status=Strong improvement | relation=Same strategic objective; Same BSC perspective
- LEG-008 | Adopción activa de WEBDOX por usuarios jurídicos | 2026=90.9% | baseline=81.4% | momentum=+11.7% | status=Strong improvement | relation=Same strategic objective; Same BSC perspective
- REC-P02 | Cobertura de medición de impacto | 2026=100.0% | baseline=89.0% | momentum=+12.4% | status=Strong improvement | relation=Strategic-map adjacent objective
- REC-P04 | Cumplimiento agregado de SLA administrativos | 2026=96.0% | baseline=84.0% | momentum=+14.3% | status=Strong improvement | relation=Strategic-map adjacent objective
- LEG-009 | Convenios tramitados end-to-end en WEBDOX | 2026=92.0% | baseline=81.2% | momentum=+13.3% | status=Strong improvement | relation=Same strategic objective; Same BSC perspective
- REC-P06 | Obligaciones regulatorias vencidas | 2026=0 # | baseline=3 # | momentum=+100.0% | status=Strong improvement | relation=Strategic-map adjacent objective
- ADM-001 | Facturación de donativos emitida dentro del SLA | 2026=100.0% | baseline=89.1% | momentum=+12.3% | status=Strong improvement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99" s="20" t="str">
        <x:v>Analyze the selected KPI using only the supplied context. Explain what is changing, what related KPIs matter, what should be investigated first, and recommend a concrete next action.</x:v>
      </x:c>
      <x:c r="G99" s="20" t="str">
        <x:v>1) Diagnosis; 2) Evidence; 3) Likely Drivers; 4) Recommended Action; 5) Confidence &amp; Data Gaps</x:v>
      </x:c>
      <x:c r="H99" s="20" t="str">
        <x:v>PROTOTYPE ONLY — synthetic data; human approval required.</x:v>
      </x:c>
    </x:row>
    <x:row r="100" ht="90" customHeight="1">
      <x:c r="A100" s="20" t="str">
        <x:v>REC-L04</x:v>
      </x:c>
      <x:c r="B100" s="20" t="str">
        <x:v>Cobertura de capacitación crítica</x:v>
      </x:c>
      <x:c r="C100" s="20" t="str">
        <x:v>Dirección / RH</x:v>
      </x:c>
      <x:c r="D100" s="20" t="str">
        <x:v>L3. Fortalecer capacidades del equipo</x:v>
      </x:c>
      <x:c r="E100" s="20" t="str">
        <x:v>SELECTED KPI
KPI_ID: REC-L04
KPI: Cobertura de capacitación crítica
Department: Dirección / RH
BSC Perspective: Capacidades y tecnología
Strategic Objective: L3. Fortalecer capacidades del equipo
Owner: Dirección / RH
Purpose: Medir competencias mínimas en temas críticos.
Formula: Personas que completan y aprueban capacitación obligatoria ÷ personas requeridas × 100
Direction: ↑ | Unit: % | Frequency: Trimestral
2023: 84.0% | 2024: 88.9% | 2025: 94.0% | 2026: 100.0%
3Y Baseline: 89.0% | Target 2026: 100%
Direction-adjusted momentum: +12.4% | Status: Strong improvement
Warning threshold: 90–99.9% | Critical threshold: &lt;90%
Underlying 2026 values: Personas que completan y aprueban capacitación obligatoria = 125 # / base; personas requeridas = 125 # / base
Static action from catalog: Asignar capacitación pendiente y fecha límite.
Anti-gaming control: Requiere evaluación/aprobación cuando corresponda, no sólo asistencia.
RELATED KPI CONTEXT
- ADM-014 | Prestadores de servicio social incorporados | 2026=7 # | baseline=5 # | momentum=+40.0% | status=Strong improvement | relation=Same strategic objective; Same BSC perspective
- LEG-006 | Cobertura de certificación antilavado del equipo Jurídico | 2026=100.0% | baseline=89.2% | momentum=+12.2% | status=Strong improvement | relation=Same strategic objective; Same BSC perspective
- REC-P01 | Programas ejecutados conforme al plan | 2026=93.3% | baseline=81.8% | momentum=+14.1% | status=Strong improvement | relation=Strategic-map adjacent objective
- FND-016 | Nuevas alianzas estratégicas activas por país | 2026=4 # alianzas | baseline=3 # alianzas | momentum=+50.0% | status=Strong improvement | relation=Strategic-map adjacent objective
- REC-L01 | Integridad y actualización de datos estratégicos | 2026=96.0% | baseline=84.0% | momentum=+14.3% | status=Strong improvement | relation=Same BSC perspective
- MKT-008 | Cumplimiento de ejecución multicanal del lanzamiento | 2026=100.0% | baseline=89.0% | momentum=+12.4% | status=Strong improvement | relation=Strategic-map adjacent objective
- MKT-011 | Actividades principales con cobertura completa de comunicación e impacto | 2026=100.0% | baseline=89.2% | momentum=+12.1% | status=Strong improvement | relation=Strategic-map adjacent objective
- MKT-013 | Campañas de procuración con análisis conjunto MKT–PF | 2026=100.0% | baseline=88.7% | momentum=+12.7% | status=Strong improvement | relation=Strategic-map adjacent objective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00" s="20" t="str">
        <x:v>Analyze the selected KPI using only the supplied context. Explain what is changing, what related KPIs matter, what should be investigated first, and recommend a concrete next action.</x:v>
      </x:c>
      <x:c r="G100" s="20" t="str">
        <x:v>1) Diagnosis; 2) Evidence; 3) Likely Drivers; 4) Recommended Action; 5) Confidence &amp; Data Gaps</x:v>
      </x:c>
      <x:c r="H100" s="20" t="str">
        <x:v>PROTOTYPE ONLY — synthetic data; human approval required.</x:v>
      </x:c>
    </x:row>
    <x:row r="101" ht="90" customHeight="1">
      <x:c r="A101" s="20" t="str">
        <x:v>REC-L05</x:v>
      </x:c>
      <x:c r="B101" s="20" t="str">
        <x:v>Cumplimiento de compromisos interárea</x:v>
      </x:c>
      <x:c r="C101" s="20" t="str">
        <x:v>Todas las áreas</x:v>
      </x:c>
      <x:c r="D101" s="20" t="str">
        <x:v>L4. Fortalecer colaboración interdepartamental</x:v>
      </x:c>
      <x:c r="E101" s="20" t="str">
        <x:v>SELECTED KPI
KPI_ID: REC-L05
KPI: Cumplimiento de compromisos interárea
Department: Todas las áreas
BSC Perspective: Capacidades y tecnología
Strategic Objective: L4. Fortalecer colaboración interdepartamental
Owner: Dirección / PMO
Purpose: Medir fricción y confiabilidad entre áreas.
Formula: Compromisos interárea cerrados en fecha y aceptados por receptor ÷ compromisos interárea vencidos × 100
Direction: ↑ | Unit: % | Frequency: Mensual
2023: 75.6% | 2024: 81.6% | 2025: 86.5% | 2026: 92.9%
3Y Baseline: 81.2% | Target 2026: ≥90%
Direction-adjusted momentum: +14.3% | Status: Strong improvement
Warning threshold: 80–89.9% | Critical threshold: &lt;80%
Underlying 2026 values: Compromisos interárea cerrados en fecha y aceptados por receptor = 52.0 días; compromisos interárea vencidos = 56 # / base
Static action from catalog: Escalar dependencias críticas y reasignar responsables/plazos.
Anti-gaming control: Compromiso con owner, fecha y criterio de aceptación; receptor valida cierre.
RELATED KPI CONTEXT
- ADM-004 | Presupuestos anuales aprobados dentro del calendario | 2026=100.0% | baseline=89.0% | momentum=+12.4% | status=Strong improvement | relation=Same strategic objective; Same BSC perspective
- ADM-012 | Nuevos convenios universitarios activados | 2026=2 # | baseline=1 # | momentum=+50.0% | status=Strong improvement | relation=Same strategic objective; Same BSC perspective
- ADM-013 | Convenios universitarios renovados antes de vencimiento | 2026=100.0% | baseline=89.2% | momentum=+12.1% | status=Strong improvement | relation=Same strategic objective; Same BSC perspective
- REC-P04 | Cumplimiento agregado de SLA administrativos | 2026=96.0% | baseline=84.0% | momentum=+14.3% | status=Strong improvement | relation=Strategic-map adjacent objective
- ADM-001 | Facturación de donativos emitida dentro del SLA | 2026=100.0% | baseline=89.1% | momentum=+12.3% | status=Strong improvement | relation=Strategic-map adjacent objective
- REC-L01 | Integridad y actualización de datos estratégicos | 2026=96.0% | baseline=84.0% | momentum=+14.3% | status=Strong improvement | relation=Same department; Same BSC perspective
- MKT-001 | Cumplimiento del manual/protocolo de comunicación global | 2026=96.0% | baseline=84.1% | momentum=+14.2% | status=Strong improvement | relation=Same strategic objective; Same BSC perspective
- MKT-004 | Compromisos de mejora de comunicación cerrados en plazo | 2026=92.0% | baseline=81.0% | momentum=+13.6%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01" s="20" t="str">
        <x:v>Analyze the selected KPI using only the supplied context. Explain what is changing, what related KPIs matter, what should be investigated first, and recommend a concrete next action.</x:v>
      </x:c>
      <x:c r="G101" s="20" t="str">
        <x:v>1) Diagnosis; 2) Evidence; 3) Likely Drivers; 4) Recommended Action; 5) Confidence &amp; Data Gaps</x:v>
      </x:c>
      <x:c r="H101" s="20" t="str">
        <x:v>PROTOTYPE ONLY — synthetic data; human approval required.</x:v>
      </x:c>
    </x:row>
    <x:row r="102" ht="90" customHeight="1">
      <x:c r="A102" s="20" t="str">
        <x:v>REC-M02</x:v>
      </x:c>
      <x:c r="B102" s="20" t="str">
        <x:v>Costo de adquisición de nuevo donante</x:v>
      </x:c>
      <x:c r="C102" s="20" t="str">
        <x:v>Marketing y Comunicación</x:v>
      </x:c>
      <x:c r="D102" s="20" t="str">
        <x:v>P3. Integrar Marketing + Procuración</x:v>
      </x:c>
      <x:c r="E102" s="20" t="str">
        <x:v>SELECTED KPI
KPI_ID: REC-M02
KPI: Costo de adquisición de nuevo donante
Department: Marketing y Comunicación
BSC Perspective: Procesos internos
Strategic Objective: P3. Integrar Marketing + Procuración
Owner: Marketing + Procuración
Purpose: Comparar eficiencia de adquisición, especialmente cuando crezca inversión en campañas.
Formula: Costo incremental atribuible a captación ÷ nuevos donantes adquiridos atribuibles
Direction: ↓ | Unit: MXN/USD por donante | Frequency: Por campaña/Mensual
2023: 980.00 MXN/USD por donante | 2024: 890.00 MXN/USD por donante | 2025: 820.00 MXN/USD por donante | 2026: 760.00 MXN/USD por donante
3Y Baseline: 896.67 MXN/USD por donante | Target 2026: Baseline 2026 y mejora por canal/campaña
Direction-adjusted momentum: +15.2% | Status: Strong improvement
Warning threshold: 10% sobre baseline | Critical threshold: 20% sobre baseline
Underlying 2026 values: Costo incremental atribuible a captación = 171,000 USD; nuevos donantes adquiridos atribuibles = 225 # / base
Static action from catalog: Optimizar canales/audiencias y comparar con valor del donante.
Anti-gaming control: No optimizar CAC sacrificando valor/retención; usar LTV/retención como counter-metric.
RELATED KPI CONTEXT
- MKT-008 | Cumplimiento de ejecución multicanal del lanzamiento | 2026=100.0% | baseline=89.0% | momentum=+12.4% | status=Strong improvement | relation=Same strategic objective; Same department; Same BSC perspective
- MKT-011 | Actividades principales con cobertura completa de comunicación e impacto | 2026=100.0% | baseline=89.2% | momentum=+12.1% | status=Strong improvement | relation=Same strategic objective; Same department; Same BSC perspective
- MKT-013 | Campañas de procuración con análisis conjunto MKT–PF | 2026=100.0% | baseline=88.7% | momentum=+12.7% | status=Strong improvement | relation=Same strategic objective; Same department; Same BSC perspective
- MKT-001 | Cumplimiento del manual/protocolo de comunicación global | 2026=96.0% | baseline=84.1% | momentum=+14.2% | status=Strong improvement | relation=Strategic-map adjacent objective; Same department
- MKT-004 | Compromisos de mejora de comunicación cerrados en plazo | 2026=92.0% | baseline=81.0% | momentum=+13.6% | status=Strong improvement | relation=Strategic-map adjacent objective; Same department
- MKT-014 | Fondos atribuibles a campañas conjuntas Omnilife–Chivas | 2026=2,066.52 MXN/USD | baseline=1,587.03 MXN/USD | momentum=+30.2% | status=Strong improvement | relation=Same strategic objective; Same department; Same BSC perspective
- MKT-007 | Embajadores Omnilife activos en campaña de nutrición | 2026=100 % y # | baseline=89 % y # | momentum=+12.7% | status=Strong improvement | relation=Strategic-map adjacent objective; Same department
- REC-P03 | Conversión de campaña a nuevo donante | 2026=100.0% | baseline=2015.0% | momentum=-95.0% | status=Deteriorating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02" s="20" t="str">
        <x:v>Analyze the selected KPI using only the supplied context. Explain what is changing, what related KPIs matter, what should be investigated first, and recommend a concrete next action.</x:v>
      </x:c>
      <x:c r="G102" s="20" t="str">
        <x:v>1) Diagnosis; 2) Evidence; 3) Likely Drivers; 4) Recommended Action; 5) Confidence &amp; Data Gaps</x:v>
      </x:c>
      <x:c r="H102" s="20" t="str">
        <x:v>PROTOTYPE ONLY — synthetic data; human approval required.</x:v>
      </x:c>
    </x:row>
    <x:row r="103" ht="90" customHeight="1">
      <x:c r="A103" s="20" t="str">
        <x:v>REC-M03</x:v>
      </x:c>
      <x:c r="B103" s="20" t="str">
        <x:v>Contenido de impacto con evidencia verificable</x:v>
      </x:c>
      <x:c r="C103" s="20" t="str">
        <x:v>Marketing y Comunicación</x:v>
      </x:c>
      <x:c r="D103" s="20" t="str">
        <x:v>C3. Fortalecer confianza y credibilidad institucional</x:v>
      </x:c>
      <x:c r="E103" s="20" t="str">
        <x:v>SELECTED KPI
KPI_ID: REC-M03
KPI: Contenido de impacto con evidencia verificable
Department: Marketing y Comunicación
BSC Perspective: Beneficiarios y grupos de interés
Strategic Objective: C3. Fortalecer confianza y credibilidad institucional
Owner: Marketing
Purpose: Fortalecer credibilidad y evitar storytelling sin sustento.
Formula: Piezas de comunicación de impacto que incluyen dato/evidencia validada ÷ piezas que comunican impacto × 100
Direction: ↑ | Unit: % | Frequency: Mensual
2023: 84.2% | 2024: 89.2% | 2025: 94.2% | 2026: 100.0%
3Y Baseline: 89.2% | Target 2026: 100%
Direction-adjusted momentum: +12.1% | Status: Strong improvement
Warning threshold: 90–99.9% | Critical threshold: &lt;90%
Underlying 2026 values: Piezas de comunicación de impacto que incluyen dato/evidencia validada = 150 # / base; piezas que comunican impacto = 150 # / base
Static action from catalog: Retirar/corregir piezas sin evidencia o autorización.
Anti-gaming control: Datos validados por Operaciones y periodo claramente identificado.
RELATED KPI CONTEXT
- MKT-003 | Cumplimiento de metas de KPIs digitales prioritarios | 2026=100.0% | baseline=89.0% | momentum=+12.4% | status=Strong improvement | relation=Same strategic objective; Same department; Same BSC perspective
- MKT-009 | Cumplimiento del calendario internacional de contenidos | 2026=100.0% | baseline=89.2% | momentum=+12.1% | status=Strong improvement | relation=Same strategic objective; Same department; Same BSC perspective
- MKT-010 | Países con presencia digital continua conforme al estándar | 2026=100.0% | baseline=91.7% | momentum=+9.1% | status=Improving | relation=Same strategic objective; Same department; Same BSC perspective
- MKT-002 | Acciones de mejora derivadas de analítica implementadas en plazo | 2026=82.1% | baseline=71.7% | momentum=+14.6% | status=Strong improvement | relation=Strategic-map adjacent objective; Same department
- REC-P02 | Cobertura de medición de impacto | 2026=100.0% | baseline=89.0% | momentum=+12.4% | status=Strong improvement | relation=Strategic-map adjacent objective
- MKT-012 | Cumplimiento del calendario de comunicaciones conjuntas Omnilife–Chivas | 2026=100.0% | baseline=89.2% | momentum=+12.1% | status=Strong improvement | relation=Same strategic objective; Same department; Same BSC perspective
- MKT-007 | Embajadores Omnilife activos en campaña de nutrición | 2026=100 % y # | baseline=89 % y # | momentum=+12.7% | status=Strong improvement | relation=Same department; Same BSC perspective
- REC-C03 | Cumplimiento institucional en plazo | 2026=100.0% | baseline=89.0% | momentum=+12.4% | status=Strong improvement | relation=Same strategic objective;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03" s="20" t="str">
        <x:v>Analyze the selected KPI using only the supplied context. Explain what is changing, what related KPIs matter, what should be investigated first, and recommend a concrete next action.</x:v>
      </x:c>
      <x:c r="G103" s="20" t="str">
        <x:v>1) Diagnosis; 2) Evidence; 3) Likely Drivers; 4) Recommended Action; 5) Confidence &amp; Data Gaps</x:v>
      </x:c>
      <x:c r="H103" s="20" t="str">
        <x:v>PROTOTYPE ONLY — synthetic data; human approval required.</x:v>
      </x:c>
    </x:row>
    <x:row r="104" ht="90" customHeight="1">
      <x:c r="A104" s="20" t="str">
        <x:v>REC-F07</x:v>
      </x:c>
      <x:c r="B104" s="20" t="str">
        <x:v>Nuevos donantes recurrentes totales</x:v>
      </x:c>
      <x:c r="C104" s="20" t="str">
        <x:v>Procuración de Fondos</x:v>
      </x:c>
      <x:c r="D104" s="20" t="str">
        <x:v>F2. Incrementar y retener donantes recurrentes</x:v>
      </x:c>
      <x:c r="E104" s="20" t="str">
        <x:v>SELECTED KPI
KPI_ID: REC-F07
KPI: Nuevos donantes recurrentes totales
Department: Procuración de Fondos
BSC Perspective: Sostenibilidad financiera
Strategic Objective: F2. Incrementar y retener donantes recurrentes
Owner: Procuración de Fondos
Purpose: Dar a Dirección una vista consolidada del crecimiento de la base recurrente en los cuatro países.
Formula: Nuevos donantes recurrentes USA + México + Perú + Colombia
Direction: ↑ | Unit: # donantes | Frequency: Mensual / acumulado
2023: 33 # donantes | 2024: 37 # donantes | 2025: 43 # donantes | 2026: 49 # donantes
3Y Baseline: 38 # donantes | Target 2026: ≥48
Direction-adjusted momentum: +30.2% | Status: Strong improvement
Warning threshold: 40–47 | Critical threshold: &lt;40
Underlying 2026 values: Nuevos donantes recurrentes USA = 6 #; México = 30 #; Perú = 8 #; Colombia = 5 #
Static action from catalog: Si el ritmo proyectado cae bajo meta, revisar adquisición por país, campaña y conversión.
Anti-gaming control: Deduplicar personas; contar sólo primer cobro exitoso y no reactivaciones salvo reporte separado.
RELATED KPI CONTEXT
- FND-006 | Nuevos donantes recurrentes — USA | 2026=73 # donantes | baseline=62 # donantes | momentum=+17.7% | status=Strong improvement | relation=Same strategic objective; Same department; Same BSC perspective
- FND-007 | Nuevos donantes recurrentes — México | 2026=15 # donantes | baseline=12 # donantes | momentum=+25.0% | status=Strong improvement | relation=Same strategic objective; Same department; Same BSC perspective
- FND-008 | Nuevos donantes recurrentes — Perú | 2026=8 # donantes | baseline=6 # donantes | momentum=+41.2% | status=Strong improvement | relation=Same strategic objective; Same department; Same BSC perspective
- REC-M02 | Costo de adquisición de nuevo donante | 2026=760.00 MXN/USD por donante | baseline=896.67 MXN/USD por donante | momentum=+15.2% | status=Strong improvement | relation=Strategic-map adjacent objective
- REC-P03 | Conversión de campaña a nuevo donante | 2026=100.0% | baseline=2015.0% | momentum=-95.0% | status=Deteriorating | relation=Strategic-map adjacent objective
- FND-009 | Nuevos donantes recurrentes — Colombia | 2026=5 # donantes | baseline=3 # donantes | momentum=+50.0% | status=Strong improvement | relation=Same strategic objective; Same department; Same BSC perspective
- FND-011 | Conversión de voluntarios staff a donantes recurrentes | 2026=4.0% | baseline=3.2% | momentum=+23.7% | status=Strong improvement | relation=Same strategic objective; Same department; Same BSC perspective
- FND-013 | Nuevos donantes recurrentes EOS — Perú | 2026=2 # donantes | baseline=1 # donantes | momentum=+50.0% | status=Strong improvement | relation=Same strategic objective; Same department; Same BSC perspective
GUARDRAILS
- All current numerical values are synthetic/dummy prototype data.
- Relationships above are retrieval heuristics, not causal findings.
- Do not invent missing causes. Separate observed evidence from hypotheses.
- Recommend actions for human review; do not auto-execute managerial decisions.
</x:v>
      </x:c>
      <x:c r="F104" s="20" t="str">
        <x:v>Analyze the selected KPI using only the supplied context. Explain what is changing, what related KPIs matter, what should be investigated first, and recommend a concrete next action.</x:v>
      </x:c>
      <x:c r="G104" s="20" t="str">
        <x:v>1) Diagnosis; 2) Evidence; 3) Likely Drivers; 4) Recommended Action; 5) Confidence &amp; Data Gaps</x:v>
      </x:c>
      <x:c r="H104" s="20" t="str">
        <x:v>PROTOTYPE ONLY — synthetic data; human approval 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5eee915b743241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4" hidden="0" customWidth="1"/>
    <x:col min="4" max="4" width="42" hidden="0" customWidth="1"/>
    <x:col min="5" max="5" width="24" hidden="0" customWidth="1"/>
    <x:col min="6" max="6" width="58" hidden="0" customWidth="1"/>
    <x:col min="7" max="7" width="16" hidden="0" customWidth="1"/>
    <x:col min="8" max="8" width="38" hidden="0" customWidth="1"/>
  </x:cols>
  <x:sheetData>
    <x:row r="1">
      <x:c r="A1" s="47" t="str">
        <x:v>From_Objective</x:v>
      </x:c>
      <x:c r="B1" s="47" t="str">
        <x:v>From_Name</x:v>
      </x:c>
      <x:c r="C1" s="47" t="str">
        <x:v>To_Objective</x:v>
      </x:c>
      <x:c r="D1" s="47" t="str">
        <x:v>To_Name</x:v>
      </x:c>
      <x:c r="E1" s="47" t="str">
        <x:v>Relation_Type</x:v>
      </x:c>
      <x:c r="F1" s="47" t="str">
        <x:v>Why_AI_Should_Consider_It</x:v>
      </x:c>
      <x:c r="G1" s="47" t="str">
        <x:v>Retrieval_Weight</x:v>
      </x:c>
      <x:c r="H1" s="47" t="str">
        <x:v>Causality_Status</x:v>
      </x:c>
    </x:row>
    <x:row r="2">
      <x:c r="A2" s="20" t="str">
        <x:v>L1</x:v>
      </x:c>
      <x:c r="B2" s="20" t="str">
        <x:v>L1. Construir una cultura de gestión basada en datos</x:v>
      </x:c>
      <x:c r="C2" s="20" t="str">
        <x:v>P2</x:v>
      </x:c>
      <x:c r="D2" s="20" t="str">
        <x:v>P2. Fortalecer medición de impacto</x:v>
      </x:c>
      <x:c r="E2" s="20" t="str">
        <x:v>Enabler → process</x:v>
      </x:c>
      <x:c r="F2" s="20" t="str">
        <x:v>Data culture supports impact measurement</x:v>
      </x:c>
      <x:c r="G2" s="20" t="n">
        <x:v>40</x:v>
      </x:c>
      <x:c r="H2" s="20" t="str">
        <x:v>Hypothesis / strategic logic, not causal proof</x:v>
      </x:c>
    </x:row>
    <x:row r="3">
      <x:c r="A3" s="20" t="str">
        <x:v>L1</x:v>
      </x:c>
      <x:c r="B3" s="20" t="str">
        <x:v>L1. Construir una cultura de gestión basada en datos</x:v>
      </x:c>
      <x:c r="C3" s="20" t="str">
        <x:v>P4</x:v>
      </x:c>
      <x:c r="D3" s="20" t="str">
        <x:v>P4. Simplificar y digitalizar procesos</x:v>
      </x:c>
      <x:c r="E3" s="20" t="str">
        <x:v>Enabler → process</x:v>
      </x:c>
      <x:c r="F3" s="20" t="str">
        <x:v>Data culture supports process digitization and control</x:v>
      </x:c>
      <x:c r="G3" s="20" t="n">
        <x:v>40</x:v>
      </x:c>
      <x:c r="H3" s="20" t="str">
        <x:v>Hypothesis / strategic logic, not causal proof</x:v>
      </x:c>
    </x:row>
    <x:row r="4">
      <x:c r="A4" s="20" t="str">
        <x:v>L2</x:v>
      </x:c>
      <x:c r="B4" s="20" t="str">
        <x:v>L2. Integrar información en una sola plataforma</x:v>
      </x:c>
      <x:c r="C4" s="20" t="str">
        <x:v>P2</x:v>
      </x:c>
      <x:c r="D4" s="20" t="str">
        <x:v>P2. Fortalecer medición de impacto</x:v>
      </x:c>
      <x:c r="E4" s="20" t="str">
        <x:v>Enabler → process</x:v>
      </x:c>
      <x:c r="F4" s="20" t="str">
        <x:v>Integrated information enables impact measurement</x:v>
      </x:c>
      <x:c r="G4" s="20" t="n">
        <x:v>40</x:v>
      </x:c>
      <x:c r="H4" s="20" t="str">
        <x:v>Hypothesis / strategic logic, not causal proof</x:v>
      </x:c>
    </x:row>
    <x:row r="5">
      <x:c r="A5" s="20" t="str">
        <x:v>L2</x:v>
      </x:c>
      <x:c r="B5" s="20" t="str">
        <x:v>L2. Integrar información en una sola plataforma</x:v>
      </x:c>
      <x:c r="C5" s="20" t="str">
        <x:v>P4</x:v>
      </x:c>
      <x:c r="D5" s="20" t="str">
        <x:v>P4. Simplificar y digitalizar procesos</x:v>
      </x:c>
      <x:c r="E5" s="20" t="str">
        <x:v>Enabler → process</x:v>
      </x:c>
      <x:c r="F5" s="20" t="str">
        <x:v>Single-platform information enables process digitization</x:v>
      </x:c>
      <x:c r="G5" s="20" t="n">
        <x:v>40</x:v>
      </x:c>
      <x:c r="H5" s="20" t="str">
        <x:v>Hypothesis / strategic logic, not causal proof</x:v>
      </x:c>
    </x:row>
    <x:row r="6">
      <x:c r="A6" s="20" t="str">
        <x:v>L2</x:v>
      </x:c>
      <x:c r="B6" s="20" t="str">
        <x:v>L2. Integrar información en una sola plataforma</x:v>
      </x:c>
      <x:c r="C6" s="20" t="str">
        <x:v>P5</x:v>
      </x:c>
      <x:c r="D6" s="20" t="str">
        <x:v>P5. Fortalecer cumplimiento, transparencia y gobierno</x:v>
      </x:c>
      <x:c r="E6" s="20" t="str">
        <x:v>Enabler → process</x:v>
      </x:c>
      <x:c r="F6" s="20" t="str">
        <x:v>Integrated information supports compliance and transparency</x:v>
      </x:c>
      <x:c r="G6" s="20" t="n">
        <x:v>40</x:v>
      </x:c>
      <x:c r="H6" s="20" t="str">
        <x:v>Hypothesis / strategic logic, not causal proof</x:v>
      </x:c>
    </x:row>
    <x:row r="7">
      <x:c r="A7" s="20" t="str">
        <x:v>L3</x:v>
      </x:c>
      <x:c r="B7" s="20" t="str">
        <x:v>L3. Fortalecer capacidades del equipo</x:v>
      </x:c>
      <x:c r="C7" s="20" t="str">
        <x:v>P1</x:v>
      </x:c>
      <x:c r="D7" s="20" t="str">
        <x:v>P1. Estandarizar y escalar programas</x:v>
      </x:c>
      <x:c r="E7" s="20" t="str">
        <x:v>Capability → process</x:v>
      </x:c>
      <x:c r="F7" s="20" t="str">
        <x:v>Team capability supports program standardization and scale</x:v>
      </x:c>
      <x:c r="G7" s="20" t="n">
        <x:v>40</x:v>
      </x:c>
      <x:c r="H7" s="20" t="str">
        <x:v>Hypothesis / strategic logic, not causal proof</x:v>
      </x:c>
    </x:row>
    <x:row r="8">
      <x:c r="A8" s="20" t="str">
        <x:v>L3</x:v>
      </x:c>
      <x:c r="B8" s="20" t="str">
        <x:v>L3. Fortalecer capacidades del equipo</x:v>
      </x:c>
      <x:c r="C8" s="20" t="str">
        <x:v>P3</x:v>
      </x:c>
      <x:c r="D8" s="20" t="str">
        <x:v>P3. Integrar Marketing + Procuración</x:v>
      </x:c>
      <x:c r="E8" s="20" t="str">
        <x:v>Capability → process</x:v>
      </x:c>
      <x:c r="F8" s="20" t="str">
        <x:v>Team capability supports Marketing–Fundraising integration</x:v>
      </x:c>
      <x:c r="G8" s="20" t="n">
        <x:v>40</x:v>
      </x:c>
      <x:c r="H8" s="20" t="str">
        <x:v>Hypothesis / strategic logic, not causal proof</x:v>
      </x:c>
    </x:row>
    <x:row r="9">
      <x:c r="A9" s="20" t="str">
        <x:v>L3</x:v>
      </x:c>
      <x:c r="B9" s="20" t="str">
        <x:v>L3. Fortalecer capacidades del equipo</x:v>
      </x:c>
      <x:c r="C9" s="20" t="str">
        <x:v>P6</x:v>
      </x:c>
      <x:c r="D9" s="20" t="str">
        <x:v>P6. Construir ecosistema de alianzas</x:v>
      </x:c>
      <x:c r="E9" s="20" t="str">
        <x:v>Capability → process</x:v>
      </x:c>
      <x:c r="F9" s="20" t="str">
        <x:v>Team capability supports alliance development</x:v>
      </x:c>
      <x:c r="G9" s="20" t="n">
        <x:v>40</x:v>
      </x:c>
      <x:c r="H9" s="20" t="str">
        <x:v>Hypothesis / strategic logic, not causal proof</x:v>
      </x:c>
    </x:row>
    <x:row r="10">
      <x:c r="A10" s="20" t="str">
        <x:v>L4</x:v>
      </x:c>
      <x:c r="B10" s="20" t="str">
        <x:v>L4. Fortalecer colaboración interdepartamental</x:v>
      </x:c>
      <x:c r="C10" s="20" t="str">
        <x:v>P3</x:v>
      </x:c>
      <x:c r="D10" s="20" t="str">
        <x:v>P3. Integrar Marketing + Procuración</x:v>
      </x:c>
      <x:c r="E10" s="20" t="str">
        <x:v>Capability → process</x:v>
      </x:c>
      <x:c r="F10" s="20" t="str">
        <x:v>Cross-functional collaboration supports Marketing–Fundraising integration</x:v>
      </x:c>
      <x:c r="G10" s="20" t="n">
        <x:v>40</x:v>
      </x:c>
      <x:c r="H10" s="20" t="str">
        <x:v>Hypothesis / strategic logic, not causal proof</x:v>
      </x:c>
    </x:row>
    <x:row r="11">
      <x:c r="A11" s="20" t="str">
        <x:v>L4</x:v>
      </x:c>
      <x:c r="B11" s="20" t="str">
        <x:v>L4. Fortalecer colaboración interdepartamental</x:v>
      </x:c>
      <x:c r="C11" s="20" t="str">
        <x:v>P4</x:v>
      </x:c>
      <x:c r="D11" s="20" t="str">
        <x:v>P4. Simplificar y digitalizar procesos</x:v>
      </x:c>
      <x:c r="E11" s="20" t="str">
        <x:v>Capability → process</x:v>
      </x:c>
      <x:c r="F11" s="20" t="str">
        <x:v>Cross-functional collaboration supports simpler end-to-end processes</x:v>
      </x:c>
      <x:c r="G11" s="20" t="n">
        <x:v>40</x:v>
      </x:c>
      <x:c r="H11" s="20" t="str">
        <x:v>Hypothesis / strategic logic, not causal proof</x:v>
      </x:c>
    </x:row>
    <x:row r="12">
      <x:c r="A12" s="20" t="str">
        <x:v>L4</x:v>
      </x:c>
      <x:c r="B12" s="20" t="str">
        <x:v>L4. Fortalecer colaboración interdepartamental</x:v>
      </x:c>
      <x:c r="C12" s="20" t="str">
        <x:v>P6</x:v>
      </x:c>
      <x:c r="D12" s="20" t="str">
        <x:v>P6. Construir ecosistema de alianzas</x:v>
      </x:c>
      <x:c r="E12" s="20" t="str">
        <x:v>Capability → process</x:v>
      </x:c>
      <x:c r="F12" s="20" t="str">
        <x:v>Cross-functional collaboration supports alliance execution</x:v>
      </x:c>
      <x:c r="G12" s="20" t="n">
        <x:v>40</x:v>
      </x:c>
      <x:c r="H12" s="20" t="str">
        <x:v>Hypothesis / strategic logic, not causal proof</x:v>
      </x:c>
    </x:row>
    <x:row r="13">
      <x:c r="A13" s="20" t="str">
        <x:v>P1</x:v>
      </x:c>
      <x:c r="B13" s="20" t="str">
        <x:v>P1. Estandarizar y escalar programas</x:v>
      </x:c>
      <x:c r="C13" s="20" t="str">
        <x:v>C1</x:v>
      </x:c>
      <x:c r="D13" s="20" t="str">
        <x:v>C1. Incrementar alcance y acceso</x:v>
      </x:c>
      <x:c r="E13" s="20" t="str">
        <x:v>Process → stakeholder</x:v>
      </x:c>
      <x:c r="F13" s="20" t="str">
        <x:v>Standardized programs can expand access</x:v>
      </x:c>
      <x:c r="G13" s="20" t="n">
        <x:v>40</x:v>
      </x:c>
      <x:c r="H13" s="20" t="str">
        <x:v>Hypothesis / strategic logic, not causal proof</x:v>
      </x:c>
    </x:row>
    <x:row r="14">
      <x:c r="A14" s="20" t="str">
        <x:v>P1</x:v>
      </x:c>
      <x:c r="B14" s="20" t="str">
        <x:v>P1. Estandarizar y escalar programas</x:v>
      </x:c>
      <x:c r="C14" s="20" t="str">
        <x:v>C2</x:v>
      </x:c>
      <x:c r="D14" s="20" t="str">
        <x:v>C2. Mejorar resultados obtenidos</x:v>
      </x:c>
      <x:c r="E14" s="20" t="str">
        <x:v>Process → stakeholder</x:v>
      </x:c>
      <x:c r="F14" s="20" t="str">
        <x:v>Standardized delivery supports better outcomes</x:v>
      </x:c>
      <x:c r="G14" s="20" t="n">
        <x:v>40</x:v>
      </x:c>
      <x:c r="H14" s="20" t="str">
        <x:v>Hypothesis / strategic logic, not causal proof</x:v>
      </x:c>
    </x:row>
    <x:row r="15">
      <x:c r="A15" s="20" t="str">
        <x:v>P1</x:v>
      </x:c>
      <x:c r="B15" s="20" t="str">
        <x:v>P1. Estandarizar y escalar programas</x:v>
      </x:c>
      <x:c r="C15" s="20" t="str">
        <x:v>S2</x:v>
      </x:c>
      <x:c r="D15" s="20" t="str">
        <x:v>S2. Ampliar alcance geográfico y poblacional</x:v>
      </x:c>
      <x:c r="E15" s="20" t="str">
        <x:v>Process → strategic result</x:v>
      </x:c>
      <x:c r="F15" s="20" t="str">
        <x:v>Scalable programs support geographic/population reach</x:v>
      </x:c>
      <x:c r="G15" s="20" t="n">
        <x:v>40</x:v>
      </x:c>
      <x:c r="H15" s="20" t="str">
        <x:v>Hypothesis / strategic logic, not causal proof</x:v>
      </x:c>
    </x:row>
    <x:row r="16">
      <x:c r="A16" s="20" t="str">
        <x:v>P2</x:v>
      </x:c>
      <x:c r="B16" s="20" t="str">
        <x:v>P2. Fortalecer medición de impacto</x:v>
      </x:c>
      <x:c r="C16" s="20" t="str">
        <x:v>C2</x:v>
      </x:c>
      <x:c r="D16" s="20" t="str">
        <x:v>C2. Mejorar resultados obtenidos</x:v>
      </x:c>
      <x:c r="E16" s="20" t="str">
        <x:v>Process → stakeholder</x:v>
      </x:c>
      <x:c r="F16" s="20" t="str">
        <x:v>Impact measurement enables management of outcomes</x:v>
      </x:c>
      <x:c r="G16" s="20" t="n">
        <x:v>40</x:v>
      </x:c>
      <x:c r="H16" s="20" t="str">
        <x:v>Hypothesis / strategic logic, not causal proof</x:v>
      </x:c>
    </x:row>
    <x:row r="17">
      <x:c r="A17" s="20" t="str">
        <x:v>P2</x:v>
      </x:c>
      <x:c r="B17" s="20" t="str">
        <x:v>P2. Fortalecer medición de impacto</x:v>
      </x:c>
      <x:c r="C17" s="20" t="str">
        <x:v>C3</x:v>
      </x:c>
      <x:c r="D17" s="20" t="str">
        <x:v>C3. Fortalecer confianza y credibilidad institucional</x:v>
      </x:c>
      <x:c r="E17" s="20" t="str">
        <x:v>Process → stakeholder</x:v>
      </x:c>
      <x:c r="F17" s="20" t="str">
        <x:v>Impact evidence strengthens institutional credibility</x:v>
      </x:c>
      <x:c r="G17" s="20" t="n">
        <x:v>40</x:v>
      </x:c>
      <x:c r="H17" s="20" t="str">
        <x:v>Hypothesis / strategic logic, not causal proof</x:v>
      </x:c>
    </x:row>
    <x:row r="18">
      <x:c r="A18" s="20" t="str">
        <x:v>P2</x:v>
      </x:c>
      <x:c r="B18" s="20" t="str">
        <x:v>P2. Fortalecer medición de impacto</x:v>
      </x:c>
      <x:c r="C18" s="20" t="str">
        <x:v>S1</x:v>
      </x:c>
      <x:c r="D18" s="20" t="str">
        <x:v>S1. Generar impacto integral y medible</x:v>
      </x:c>
      <x:c r="E18" s="20" t="str">
        <x:v>Process → strategic result</x:v>
      </x:c>
      <x:c r="F18" s="20" t="str">
        <x:v>Impact measurement supports measurable strategic impact</x:v>
      </x:c>
      <x:c r="G18" s="20" t="n">
        <x:v>40</x:v>
      </x:c>
      <x:c r="H18" s="20" t="str">
        <x:v>Hypothesis / strategic logic, not causal proof</x:v>
      </x:c>
    </x:row>
    <x:row r="19">
      <x:c r="A19" s="20" t="str">
        <x:v>P3</x:v>
      </x:c>
      <x:c r="B19" s="20" t="str">
        <x:v>P3. Integrar Marketing + Procuración</x:v>
      </x:c>
      <x:c r="C19" s="20" t="str">
        <x:v>F1</x:v>
      </x:c>
      <x:c r="D19" s="20" t="str">
        <x:v>F1. Diversificar y aumentar fuentes</x:v>
      </x:c>
      <x:c r="E19" s="20" t="str">
        <x:v>Process → financial</x:v>
      </x:c>
      <x:c r="F19" s="20" t="str">
        <x:v>Integrated Marketing–Fundraising supports source diversification</x:v>
      </x:c>
      <x:c r="G19" s="20" t="n">
        <x:v>40</x:v>
      </x:c>
      <x:c r="H19" s="20" t="str">
        <x:v>Hypothesis / strategic logic, not causal proof</x:v>
      </x:c>
    </x:row>
    <x:row r="20">
      <x:c r="A20" s="20" t="str">
        <x:v>P3</x:v>
      </x:c>
      <x:c r="B20" s="20" t="str">
        <x:v>P3. Integrar Marketing + Procuración</x:v>
      </x:c>
      <x:c r="C20" s="20" t="str">
        <x:v>F2</x:v>
      </x:c>
      <x:c r="D20" s="20" t="str">
        <x:v>F2. Incrementar y retener donantes recurrentes</x:v>
      </x:c>
      <x:c r="E20" s="20" t="str">
        <x:v>Process → financial</x:v>
      </x:c>
      <x:c r="F20" s="20" t="str">
        <x:v>Integrated Marketing–Fundraising supports donor acquisition/retention</x:v>
      </x:c>
      <x:c r="G20" s="20" t="n">
        <x:v>40</x:v>
      </x:c>
      <x:c r="H20" s="20" t="str">
        <x:v>Hypothesis / strategic logic, not causal proof</x:v>
      </x:c>
    </x:row>
    <x:row r="21">
      <x:c r="A21" s="20" t="str">
        <x:v>P3</x:v>
      </x:c>
      <x:c r="B21" s="20" t="str">
        <x:v>P3. Integrar Marketing + Procuración</x:v>
      </x:c>
      <x:c r="C21" s="20" t="str">
        <x:v>C4</x:v>
      </x:c>
      <x:c r="D21" s="20" t="str">
        <x:v>C4. Fortalecer relación con donantes, aliados y comunidades</x:v>
      </x:c>
      <x:c r="E21" s="20" t="str">
        <x:v>Process → stakeholder</x:v>
      </x:c>
      <x:c r="F21" s="20" t="str">
        <x:v>Integrated communications/fundraising strengthens donor relationships</x:v>
      </x:c>
      <x:c r="G21" s="20" t="n">
        <x:v>40</x:v>
      </x:c>
      <x:c r="H21" s="20" t="str">
        <x:v>Hypothesis / strategic logic, not causal proof</x:v>
      </x:c>
    </x:row>
    <x:row r="22">
      <x:c r="A22" s="20" t="str">
        <x:v>P4</x:v>
      </x:c>
      <x:c r="B22" s="20" t="str">
        <x:v>P4. Simplificar y digitalizar procesos</x:v>
      </x:c>
      <x:c r="C22" s="20" t="str">
        <x:v>F4</x:v>
      </x:c>
      <x:c r="D22" s="20" t="str">
        <x:v>F4. Mejorar eficiencia y control presupuestal</x:v>
      </x:c>
      <x:c r="E22" s="20" t="str">
        <x:v>Process → financial</x:v>
      </x:c>
      <x:c r="F22" s="20" t="str">
        <x:v>Digitized processes support cost and budget control</x:v>
      </x:c>
      <x:c r="G22" s="20" t="n">
        <x:v>40</x:v>
      </x:c>
      <x:c r="H22" s="20" t="str">
        <x:v>Hypothesis / strategic logic, not causal proof</x:v>
      </x:c>
    </x:row>
    <x:row r="23">
      <x:c r="A23" s="20" t="str">
        <x:v>P4</x:v>
      </x:c>
      <x:c r="B23" s="20" t="str">
        <x:v>P4. Simplificar y digitalizar procesos</x:v>
      </x:c>
      <x:c r="C23" s="20" t="str">
        <x:v>C3</x:v>
      </x:c>
      <x:c r="D23" s="20" t="str">
        <x:v>C3. Fortalecer confianza y credibilidad institucional</x:v>
      </x:c>
      <x:c r="E23" s="20" t="str">
        <x:v>Process → stakeholder</x:v>
      </x:c>
      <x:c r="F23" s="20" t="str">
        <x:v>Reliable processes support credibility</x:v>
      </x:c>
      <x:c r="G23" s="20" t="n">
        <x:v>40</x:v>
      </x:c>
      <x:c r="H23" s="20" t="str">
        <x:v>Hypothesis / strategic logic, not causal proof</x:v>
      </x:c>
    </x:row>
    <x:row r="24">
      <x:c r="A24" s="20" t="str">
        <x:v>P4</x:v>
      </x:c>
      <x:c r="B24" s="20" t="str">
        <x:v>P4. Simplificar y digitalizar procesos</x:v>
      </x:c>
      <x:c r="C24" s="20" t="str">
        <x:v>P5</x:v>
      </x:c>
      <x:c r="D24" s="20" t="str">
        <x:v>P5. Fortalecer cumplimiento, transparencia y gobierno</x:v>
      </x:c>
      <x:c r="E24" s="20" t="str">
        <x:v>Process → process</x:v>
      </x:c>
      <x:c r="F24" s="20" t="str">
        <x:v>Digitization enables traceability and compliance</x:v>
      </x:c>
      <x:c r="G24" s="20" t="n">
        <x:v>40</x:v>
      </x:c>
      <x:c r="H24" s="20" t="str">
        <x:v>Hypothesis / strategic logic, not causal proof</x:v>
      </x:c>
    </x:row>
    <x:row r="25">
      <x:c r="A25" s="20" t="str">
        <x:v>P5</x:v>
      </x:c>
      <x:c r="B25" s="20" t="str">
        <x:v>P5. Fortalecer cumplimiento, transparencia y gobierno</x:v>
      </x:c>
      <x:c r="C25" s="20" t="str">
        <x:v>C3</x:v>
      </x:c>
      <x:c r="D25" s="20" t="str">
        <x:v>C3. Fortalecer confianza y credibilidad institucional</x:v>
      </x:c>
      <x:c r="E25" s="20" t="str">
        <x:v>Process → stakeholder</x:v>
      </x:c>
      <x:c r="F25" s="20" t="str">
        <x:v>Compliance and governance strengthen trust</x:v>
      </x:c>
      <x:c r="G25" s="20" t="n">
        <x:v>40</x:v>
      </x:c>
      <x:c r="H25" s="20" t="str">
        <x:v>Hypothesis / strategic logic, not causal proof</x:v>
      </x:c>
    </x:row>
    <x:row r="26">
      <x:c r="A26" s="20" t="str">
        <x:v>P5</x:v>
      </x:c>
      <x:c r="B26" s="20" t="str">
        <x:v>P5. Fortalecer cumplimiento, transparencia y gobierno</x:v>
      </x:c>
      <x:c r="C26" s="20" t="str">
        <x:v>F4</x:v>
      </x:c>
      <x:c r="D26" s="20" t="str">
        <x:v>F4. Mejorar eficiencia y control presupuestal</x:v>
      </x:c>
      <x:c r="E26" s="20" t="str">
        <x:v>Process → financial</x:v>
      </x:c>
      <x:c r="F26" s="20" t="str">
        <x:v>Governance supports financial control</x:v>
      </x:c>
      <x:c r="G26" s="20" t="n">
        <x:v>40</x:v>
      </x:c>
      <x:c r="H26" s="20" t="str">
        <x:v>Hypothesis / strategic logic, not causal proof</x:v>
      </x:c>
    </x:row>
    <x:row r="27">
      <x:c r="A27" s="20" t="str">
        <x:v>P5</x:v>
      </x:c>
      <x:c r="B27" s="20" t="str">
        <x:v>P5. Fortalecer cumplimiento, transparencia y gobierno</x:v>
      </x:c>
      <x:c r="C27" s="20" t="str">
        <x:v>S3</x:v>
      </x:c>
      <x:c r="D27" s="20" t="str">
        <x:v>S3. Construir un modelo sostenible y escalable</x:v>
      </x:c>
      <x:c r="E27" s="20" t="str">
        <x:v>Process → strategic result</x:v>
      </x:c>
      <x:c r="F27" s="20" t="str">
        <x:v>Governance supports a sustainable model</x:v>
      </x:c>
      <x:c r="G27" s="20" t="n">
        <x:v>40</x:v>
      </x:c>
      <x:c r="H27" s="20" t="str">
        <x:v>Hypothesis / strategic logic, not causal proof</x:v>
      </x:c>
    </x:row>
    <x:row r="28">
      <x:c r="A28" s="20" t="str">
        <x:v>P6</x:v>
      </x:c>
      <x:c r="B28" s="20" t="str">
        <x:v>P6. Construir ecosistema de alianzas</x:v>
      </x:c>
      <x:c r="C28" s="20" t="str">
        <x:v>F3</x:v>
      </x:c>
      <x:c r="D28" s="20" t="str">
        <x:v>F3. Convertir alianzas estratégicas en recursos</x:v>
      </x:c>
      <x:c r="E28" s="20" t="str">
        <x:v>Process → financial</x:v>
      </x:c>
      <x:c r="F28" s="20" t="str">
        <x:v>Alliance ecosystem can convert relationships into resources</x:v>
      </x:c>
      <x:c r="G28" s="20" t="n">
        <x:v>40</x:v>
      </x:c>
      <x:c r="H28" s="20" t="str">
        <x:v>Hypothesis / strategic logic, not causal proof</x:v>
      </x:c>
    </x:row>
    <x:row r="29">
      <x:c r="A29" s="20" t="str">
        <x:v>P6</x:v>
      </x:c>
      <x:c r="B29" s="20" t="str">
        <x:v>P6. Construir ecosistema de alianzas</x:v>
      </x:c>
      <x:c r="C29" s="20" t="str">
        <x:v>F1</x:v>
      </x:c>
      <x:c r="D29" s="20" t="str">
        <x:v>F1. Diversificar y aumentar fuentes</x:v>
      </x:c>
      <x:c r="E29" s="20" t="str">
        <x:v>Process → financial</x:v>
      </x:c>
      <x:c r="F29" s="20" t="str">
        <x:v>Alliance ecosystem can diversify funding sources</x:v>
      </x:c>
      <x:c r="G29" s="20" t="n">
        <x:v>40</x:v>
      </x:c>
      <x:c r="H29" s="20" t="str">
        <x:v>Hypothesis / strategic logic, not causal proof</x:v>
      </x:c>
    </x:row>
    <x:row r="30">
      <x:c r="A30" s="20" t="str">
        <x:v>P6</x:v>
      </x:c>
      <x:c r="B30" s="20" t="str">
        <x:v>P6. Construir ecosistema de alianzas</x:v>
      </x:c>
      <x:c r="C30" s="20" t="str">
        <x:v>C4</x:v>
      </x:c>
      <x:c r="D30" s="20" t="str">
        <x:v>C4. Fortalecer relación con donantes, aliados y comunidades</x:v>
      </x:c>
      <x:c r="E30" s="20" t="str">
        <x:v>Process → stakeholder</x:v>
      </x:c>
      <x:c r="F30" s="20" t="str">
        <x:v>Alliance ecosystem strengthens external relationships</x:v>
      </x:c>
      <x:c r="G30" s="20" t="n">
        <x:v>40</x:v>
      </x:c>
      <x:c r="H30" s="20" t="str">
        <x:v>Hypothesis / strategic logic, not causal proof</x:v>
      </x:c>
    </x:row>
    <x:row r="31">
      <x:c r="A31" s="20" t="str">
        <x:v>F1</x:v>
      </x:c>
      <x:c r="B31" s="20" t="str">
        <x:v>F1. Diversificar y aumentar fuentes</x:v>
      </x:c>
      <x:c r="C31" s="20" t="str">
        <x:v>S3</x:v>
      </x:c>
      <x:c r="D31" s="20" t="str">
        <x:v>S3. Construir un modelo sostenible y escalable</x:v>
      </x:c>
      <x:c r="E31" s="20" t="str">
        <x:v>Financial → strategic result</x:v>
      </x:c>
      <x:c r="F31" s="20" t="str">
        <x:v>Diversified funding supports sustainability</x:v>
      </x:c>
      <x:c r="G31" s="20" t="n">
        <x:v>40</x:v>
      </x:c>
      <x:c r="H31" s="20" t="str">
        <x:v>Hypothesis / strategic logic, not causal proof</x:v>
      </x:c>
    </x:row>
    <x:row r="32">
      <x:c r="A32" s="20" t="str">
        <x:v>F2</x:v>
      </x:c>
      <x:c r="B32" s="20" t="str">
        <x:v>F2. Incrementar y retener donantes recurrentes</x:v>
      </x:c>
      <x:c r="C32" s="20" t="str">
        <x:v>S3</x:v>
      </x:c>
      <x:c r="D32" s="20" t="str">
        <x:v>S3. Construir un modelo sostenible y escalable</x:v>
      </x:c>
      <x:c r="E32" s="20" t="str">
        <x:v>Financial → strategic result</x:v>
      </x:c>
      <x:c r="F32" s="20" t="str">
        <x:v>Recurring donors support sustainability</x:v>
      </x:c>
      <x:c r="G32" s="20" t="n">
        <x:v>40</x:v>
      </x:c>
      <x:c r="H32" s="20" t="str">
        <x:v>Hypothesis / strategic logic, not causal proof</x:v>
      </x:c>
    </x:row>
    <x:row r="33">
      <x:c r="A33" s="20" t="str">
        <x:v>F3</x:v>
      </x:c>
      <x:c r="B33" s="20" t="str">
        <x:v>F3. Convertir alianzas estratégicas en recursos</x:v>
      </x:c>
      <x:c r="C33" s="20" t="str">
        <x:v>S3</x:v>
      </x:c>
      <x:c r="D33" s="20" t="str">
        <x:v>S3. Construir un modelo sostenible y escalable</x:v>
      </x:c>
      <x:c r="E33" s="20" t="str">
        <x:v>Financial → strategic result</x:v>
      </x:c>
      <x:c r="F33" s="20" t="str">
        <x:v>Alliance-derived resources support sustainability</x:v>
      </x:c>
      <x:c r="G33" s="20" t="n">
        <x:v>40</x:v>
      </x:c>
      <x:c r="H33" s="20" t="str">
        <x:v>Hypothesis / strategic logic, not causal proof</x:v>
      </x:c>
    </x:row>
    <x:row r="34">
      <x:c r="A34" s="20" t="str">
        <x:v>F4</x:v>
      </x:c>
      <x:c r="B34" s="20" t="str">
        <x:v>F4. Mejorar eficiencia y control presupuestal</x:v>
      </x:c>
      <x:c r="C34" s="20" t="str">
        <x:v>S3</x:v>
      </x:c>
      <x:c r="D34" s="20" t="str">
        <x:v>S3. Construir un modelo sostenible y escalable</x:v>
      </x:c>
      <x:c r="E34" s="20" t="str">
        <x:v>Financial → strategic result</x:v>
      </x:c>
      <x:c r="F34" s="20" t="str">
        <x:v>Budget control supports sustainability</x:v>
      </x:c>
      <x:c r="G34" s="20" t="n">
        <x:v>40</x:v>
      </x:c>
      <x:c r="H34" s="20" t="str">
        <x:v>Hypothesis / strategic logic, not causal proof</x:v>
      </x:c>
    </x:row>
    <x:row r="35">
      <x:c r="A35" s="20" t="str">
        <x:v>C1</x:v>
      </x:c>
      <x:c r="B35" s="20" t="str">
        <x:v>C1. Incrementar alcance y acceso</x:v>
      </x:c>
      <x:c r="C35" s="20" t="str">
        <x:v>S1</x:v>
      </x:c>
      <x:c r="D35" s="20" t="str">
        <x:v>S1. Generar impacto integral y medible</x:v>
      </x:c>
      <x:c r="E35" s="20" t="str">
        <x:v>Stakeholder → strategic result</x:v>
      </x:c>
      <x:c r="F35" s="20" t="str">
        <x:v>Access contributes to total impact</x:v>
      </x:c>
      <x:c r="G35" s="20" t="n">
        <x:v>40</x:v>
      </x:c>
      <x:c r="H35" s="20" t="str">
        <x:v>Hypothesis / strategic logic, not causal proof</x:v>
      </x:c>
    </x:row>
    <x:row r="36">
      <x:c r="A36" s="20" t="str">
        <x:v>C1</x:v>
      </x:c>
      <x:c r="B36" s="20" t="str">
        <x:v>C1. Incrementar alcance y acceso</x:v>
      </x:c>
      <x:c r="C36" s="20" t="str">
        <x:v>S2</x:v>
      </x:c>
      <x:c r="D36" s="20" t="str">
        <x:v>S2. Ampliar alcance geográfico y poblacional</x:v>
      </x:c>
      <x:c r="E36" s="20" t="str">
        <x:v>Stakeholder → strategic result</x:v>
      </x:c>
      <x:c r="F36" s="20" t="str">
        <x:v>Access contributes to reach</x:v>
      </x:c>
      <x:c r="G36" s="20" t="n">
        <x:v>40</x:v>
      </x:c>
      <x:c r="H36" s="20" t="str">
        <x:v>Hypothesis / strategic logic, not causal proof</x:v>
      </x:c>
    </x:row>
    <x:row r="37">
      <x:c r="A37" s="20" t="str">
        <x:v>C2</x:v>
      </x:c>
      <x:c r="B37" s="20" t="str">
        <x:v>C2. Mejorar resultados obtenidos</x:v>
      </x:c>
      <x:c r="C37" s="20" t="str">
        <x:v>S1</x:v>
      </x:c>
      <x:c r="D37" s="20" t="str">
        <x:v>S1. Generar impacto integral y medible</x:v>
      </x:c>
      <x:c r="E37" s="20" t="str">
        <x:v>Stakeholder → strategic result</x:v>
      </x:c>
      <x:c r="F37" s="20" t="str">
        <x:v>Better outcomes contribute to impact</x:v>
      </x:c>
      <x:c r="G37" s="20" t="n">
        <x:v>40</x:v>
      </x:c>
      <x:c r="H37" s="20" t="str">
        <x:v>Hypothesis / strategic logic, not causal proof</x:v>
      </x:c>
    </x:row>
    <x:row r="38">
      <x:c r="A38" s="20" t="str">
        <x:v>C3</x:v>
      </x:c>
      <x:c r="B38" s="20" t="str">
        <x:v>C3. Fortalecer confianza y credibilidad institucional</x:v>
      </x:c>
      <x:c r="C38" s="20" t="str">
        <x:v>S3</x:v>
      </x:c>
      <x:c r="D38" s="20" t="str">
        <x:v>S3. Construir un modelo sostenible y escalable</x:v>
      </x:c>
      <x:c r="E38" s="20" t="str">
        <x:v>Stakeholder → strategic result</x:v>
      </x:c>
      <x:c r="F38" s="20" t="str">
        <x:v>Institutional trust supports long-term sustainability</x:v>
      </x:c>
      <x:c r="G38" s="20" t="n">
        <x:v>40</x:v>
      </x:c>
      <x:c r="H38" s="20" t="str">
        <x:v>Hypothesis / strategic logic, not causal proof</x:v>
      </x:c>
    </x:row>
    <x:row r="39">
      <x:c r="A39" s="20" t="str">
        <x:v>C4</x:v>
      </x:c>
      <x:c r="B39" s="20" t="str">
        <x:v>C4. Fortalecer relación con donantes, aliados y comunidades</x:v>
      </x:c>
      <x:c r="C39" s="20" t="str">
        <x:v>S3</x:v>
      </x:c>
      <x:c r="D39" s="20" t="str">
        <x:v>S3. Construir un modelo sostenible y escalable</x:v>
      </x:c>
      <x:c r="E39" s="20" t="str">
        <x:v>Stakeholder → strategic result</x:v>
      </x:c>
      <x:c r="F39" s="20" t="str">
        <x:v>Strong donor/alliance relationships support sustainability</x:v>
      </x:c>
      <x:c r="G39" s="20" t="n">
        <x:v>40</x:v>
      </x:c>
      <x:c r="H39" s="20" t="str">
        <x:v>Hypothesis / strategic logic, not causal proof</x:v>
      </x:c>
    </x:row>
  </x:sheetData>
  <x:pageMargins left="0.7" right="0.7" top="0.75" bottom="0.75" header="0.3" footer="0.3"/>
  <x:tableParts count="1">
    <x:tablePart xmlns:r="http://schemas.openxmlformats.org/officeDocument/2006/relationships" r:id="Recdbc6072e71407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24" hidden="0" customWidth="1"/>
    <x:col min="5" max="5" width="40" hidden="0" customWidth="1"/>
    <x:col min="6" max="6" width="12" hidden="0" customWidth="1"/>
    <x:col min="7" max="7" width="52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14" hidden="0" customWidth="1"/>
  </x:cols>
  <x:sheetData>
    <x:row r="1">
      <x:c r="A1" s="47" t="str">
        <x:v>Value_ID</x:v>
      </x:c>
      <x:c r="B1" s="47" t="str">
        <x:v>KPI_ID</x:v>
      </x:c>
      <x:c r="C1" s="47" t="str">
        <x:v>Área / módulo</x:v>
      </x:c>
      <x:c r="D1" s="47" t="str">
        <x:v>Perspectiva</x:v>
      </x:c>
      <x:c r="E1" s="47" t="str">
        <x:v>KPI</x:v>
      </x:c>
      <x:c r="F1" s="47" t="str">
        <x:v>Input_Role</x:v>
      </x:c>
      <x:c r="G1" s="47" t="str">
        <x:v>Value_Name</x:v>
      </x:c>
      <x:c r="H1" s="47" t="str">
        <x:v>Unit</x:v>
      </x:c>
      <x:c r="I1" s="47" t="str">
        <x:v>Formula_Type</x:v>
      </x:c>
      <x:c r="J1" s="47" t="str">
        <x:v>Target_2026</x:v>
      </x:c>
      <x:c r="K1" s="47" t="str">
        <x:v>Canonical_Field</x:v>
      </x:c>
      <x:c r="L1" s="47" t="str">
        <x:v>Is_Synthetic</x:v>
      </x:c>
    </x:row>
    <x:row r="2">
      <x:c r="A2" s="20" t="str">
        <x:v>ADM-001_NUM</x:v>
      </x:c>
      <x:c r="B2" s="20" t="str">
        <x:v>ADM-001</x:v>
      </x:c>
      <x:c r="C2" s="20" t="str">
        <x:v>Administración</x:v>
      </x:c>
      <x:c r="D2" s="20" t="str">
        <x:v>Procesos internos</x:v>
      </x:c>
      <x:c r="E2" s="20" t="str">
        <x:v>Facturación de donativos emitida dentro del SLA</x:v>
      </x:c>
      <x:c r="F2" s="20" t="str">
        <x:v>NUM</x:v>
      </x:c>
      <x:c r="G2" s="20" t="str">
        <x:v>Solicitudes de facturación emitidas dentro de 3 días hábiles</x:v>
      </x:c>
      <x:c r="H2" s="20" t="str">
        <x:v>días</x:v>
      </x:c>
      <x:c r="I2" s="20" t="str">
        <x:v>RATIO_PCT</x:v>
      </x:c>
      <x:c r="J2" s="20" t="str">
        <x:v>100%</x:v>
      </x:c>
      <x:c r="K2" s="20" t="str">
        <x:v>request_count</x:v>
      </x:c>
      <x:c r="L2" s="20" t="str">
        <x:v>YES</x:v>
      </x:c>
    </x:row>
    <x:row r="3">
      <x:c r="A3" s="20" t="str">
        <x:v>ADM-001_DEN</x:v>
      </x:c>
      <x:c r="B3" s="20" t="str">
        <x:v>ADM-001</x:v>
      </x:c>
      <x:c r="C3" s="20" t="str">
        <x:v>Administración</x:v>
      </x:c>
      <x:c r="D3" s="20" t="str">
        <x:v>Procesos internos</x:v>
      </x:c>
      <x:c r="E3" s="20" t="str">
        <x:v>Facturación de donativos emitida dentro del SLA</x:v>
      </x:c>
      <x:c r="F3" s="20" t="str">
        <x:v>DEN</x:v>
      </x:c>
      <x:c r="G3" s="20" t="str">
        <x:v>solicitudes autorizadas completas</x:v>
      </x:c>
      <x:c r="H3" s="20" t="str">
        <x:v># / base</x:v>
      </x:c>
      <x:c r="I3" s="20" t="str">
        <x:v>RATIO_PCT</x:v>
      </x:c>
      <x:c r="J3" s="20" t="str">
        <x:v>100%</x:v>
      </x:c>
      <x:c r="K3" s="20" t="str">
        <x:v>request_count</x:v>
      </x:c>
      <x:c r="L3" s="20" t="str">
        <x:v>YES</x:v>
      </x:c>
    </x:row>
    <x:row r="4">
      <x:c r="A4" s="20" t="str">
        <x:v>ADM-002_NUM</x:v>
      </x:c>
      <x:c r="B4" s="20" t="str">
        <x:v>ADM-002</x:v>
      </x:c>
      <x:c r="C4" s="20" t="str">
        <x:v>Administración</x:v>
      </x:c>
      <x:c r="D4" s="20" t="str">
        <x:v>Procesos internos</x:v>
      </x:c>
      <x:c r="E4" s="20" t="str">
        <x:v>Solicitudes de compra procesadas dentro del SLA</x:v>
      </x:c>
      <x:c r="F4" s="20" t="str">
        <x:v>NUM</x:v>
      </x:c>
      <x:c r="G4" s="20" t="str">
        <x:v>Solicitudes de compra procesadas dentro de 3 días hábiles</x:v>
      </x:c>
      <x:c r="H4" s="20" t="str">
        <x:v>días</x:v>
      </x:c>
      <x:c r="I4" s="20" t="str">
        <x:v>RATIO_PCT</x:v>
      </x:c>
      <x:c r="J4" s="20" t="str">
        <x:v>100%</x:v>
      </x:c>
      <x:c r="K4" s="20" t="str">
        <x:v>request_count</x:v>
      </x:c>
      <x:c r="L4" s="20" t="str">
        <x:v>YES</x:v>
      </x:c>
    </x:row>
    <x:row r="5">
      <x:c r="A5" s="20" t="str">
        <x:v>ADM-002_DEN</x:v>
      </x:c>
      <x:c r="B5" s="20" t="str">
        <x:v>ADM-002</x:v>
      </x:c>
      <x:c r="C5" s="20" t="str">
        <x:v>Administración</x:v>
      </x:c>
      <x:c r="D5" s="20" t="str">
        <x:v>Procesos internos</x:v>
      </x:c>
      <x:c r="E5" s="20" t="str">
        <x:v>Solicitudes de compra procesadas dentro del SLA</x:v>
      </x:c>
      <x:c r="F5" s="20" t="str">
        <x:v>DEN</x:v>
      </x:c>
      <x:c r="G5" s="20" t="str">
        <x:v>solicitudes completas y autorizadas</x:v>
      </x:c>
      <x:c r="H5" s="20" t="str">
        <x:v># / base</x:v>
      </x:c>
      <x:c r="I5" s="20" t="str">
        <x:v>RATIO_PCT</x:v>
      </x:c>
      <x:c r="J5" s="20" t="str">
        <x:v>100%</x:v>
      </x:c>
      <x:c r="K5" s="20" t="str">
        <x:v>request_count</x:v>
      </x:c>
      <x:c r="L5" s="20" t="str">
        <x:v>YES</x:v>
      </x:c>
    </x:row>
    <x:row r="6">
      <x:c r="A6" s="20" t="str">
        <x:v>ADM-003_NUM</x:v>
      </x:c>
      <x:c r="B6" s="20" t="str">
        <x:v>ADM-003</x:v>
      </x:c>
      <x:c r="C6" s="20" t="str">
        <x:v>Administración</x:v>
      </x:c>
      <x:c r="D6" s="20" t="str">
        <x:v>Procesos internos</x:v>
      </x:c>
      <x:c r="E6" s="20" t="str">
        <x:v>Pagos realizados en la fecha programada</x:v>
      </x:c>
      <x:c r="F6" s="20" t="str">
        <x:v>NUM</x:v>
      </x:c>
      <x:c r="G6" s="20" t="str">
        <x:v>Pagos realizados en o antes de la fecha comprometida</x:v>
      </x:c>
      <x:c r="H6" s="20" t="str">
        <x:v>días</x:v>
      </x:c>
      <x:c r="I6" s="20" t="str">
        <x:v>RATIO_PCT</x:v>
      </x:c>
      <x:c r="J6" s="20" t="str">
        <x:v>100%</x:v>
      </x:c>
      <x:c r="K6" s="20" t="str">
        <x:v>date_or_deadline</x:v>
      </x:c>
      <x:c r="L6" s="20" t="str">
        <x:v>YES</x:v>
      </x:c>
    </x:row>
    <x:row r="7">
      <x:c r="A7" s="20" t="str">
        <x:v>ADM-003_DEN</x:v>
      </x:c>
      <x:c r="B7" s="20" t="str">
        <x:v>ADM-003</x:v>
      </x:c>
      <x:c r="C7" s="20" t="str">
        <x:v>Administración</x:v>
      </x:c>
      <x:c r="D7" s="20" t="str">
        <x:v>Procesos internos</x:v>
      </x:c>
      <x:c r="E7" s="20" t="str">
        <x:v>Pagos realizados en la fecha programada</x:v>
      </x:c>
      <x:c r="F7" s="20" t="str">
        <x:v>DEN</x:v>
      </x:c>
      <x:c r="G7" s="20" t="str">
        <x:v>pagos programados y aprobados</x:v>
      </x:c>
      <x:c r="H7" s="20" t="str">
        <x:v># / base</x:v>
      </x:c>
      <x:c r="I7" s="20" t="str">
        <x:v>RATIO_PCT</x:v>
      </x:c>
      <x:c r="J7" s="20" t="str">
        <x:v>100%</x:v>
      </x:c>
      <x:c r="K7" s="20" t="str">
        <x:v>program_count</x:v>
      </x:c>
      <x:c r="L7" s="20" t="str">
        <x:v>YES</x:v>
      </x:c>
    </x:row>
    <x:row r="8">
      <x:c r="A8" s="20" t="str">
        <x:v>ADM-004_NUM</x:v>
      </x:c>
      <x:c r="B8" s="20" t="str">
        <x:v>ADM-004</x:v>
      </x:c>
      <x:c r="C8" s="20" t="str">
        <x:v>Administración</x:v>
      </x:c>
      <x:c r="D8" s="20" t="str">
        <x:v>Capacidades y tecnología</x:v>
      </x:c>
      <x:c r="E8" s="20" t="str">
        <x:v>Presupuestos anuales aprobados dentro del calendario</x:v>
      </x:c>
      <x:c r="F8" s="20" t="str">
        <x:v>NUM</x:v>
      </x:c>
      <x:c r="G8" s="20" t="str">
        <x:v>Presupuestos anuales aprobados dentro de Ago–Oct</x:v>
      </x:c>
      <x:c r="H8" s="20" t="str">
        <x:v>Moneda</x:v>
      </x:c>
      <x:c r="I8" s="20" t="str">
        <x:v>RATIO_PCT</x:v>
      </x:c>
      <x:c r="J8" s="20" t="str">
        <x:v>100% (5 de 5)</x:v>
      </x:c>
      <x:c r="K8" s="20" t="str">
        <x:v>budget_amount</x:v>
      </x:c>
      <x:c r="L8" s="20" t="str">
        <x:v>YES</x:v>
      </x:c>
    </x:row>
    <x:row r="9">
      <x:c r="A9" s="20" t="str">
        <x:v>ADM-004_DEN</x:v>
      </x:c>
      <x:c r="B9" s="20" t="str">
        <x:v>ADM-004</x:v>
      </x:c>
      <x:c r="C9" s="20" t="str">
        <x:v>Administración</x:v>
      </x:c>
      <x:c r="D9" s="20" t="str">
        <x:v>Capacidades y tecnología</x:v>
      </x:c>
      <x:c r="E9" s="20" t="str">
        <x:v>Presupuestos anuales aprobados dentro del calendario</x:v>
      </x:c>
      <x:c r="F9" s="20" t="str">
        <x:v>DEN</x:v>
      </x:c>
      <x:c r="G9" s="20" t="str">
        <x:v>presupuestos requeridos</x:v>
      </x:c>
      <x:c r="H9" s="20" t="str">
        <x:v>Moneda</x:v>
      </x:c>
      <x:c r="I9" s="20" t="str">
        <x:v>RATIO_PCT</x:v>
      </x:c>
      <x:c r="J9" s="20" t="str">
        <x:v>100% (5 de 5)</x:v>
      </x:c>
      <x:c r="K9" s="20" t="str">
        <x:v>budget_amount</x:v>
      </x:c>
      <x:c r="L9" s="20" t="str">
        <x:v>YES</x:v>
      </x:c>
    </x:row>
    <x:row r="10">
      <x:c r="A10" s="20" t="str">
        <x:v>ADM-006_NUM</x:v>
      </x:c>
      <x:c r="B10" s="20" t="str">
        <x:v>ADM-006</x:v>
      </x:c>
      <x:c r="C10" s="20" t="str">
        <x:v>Administración</x:v>
      </x:c>
      <x:c r="D10" s="20" t="str">
        <x:v>Beneficiarios y grupos de interés</x:v>
      </x:c>
      <x:c r="E10" s="20" t="str">
        <x:v>Informes regulatorios presentados en tiempo y forma</x:v>
      </x:c>
      <x:c r="F10" s="20" t="str">
        <x:v>NUM</x:v>
      </x:c>
      <x:c r="G10" s="20" t="str">
        <x:v>Informes regulatorios presentados dentro del plazo y con expediente completo</x:v>
      </x:c>
      <x:c r="H10" s="20" t="str">
        <x:v># / base</x:v>
      </x:c>
      <x:c r="I10" s="20" t="str">
        <x:v>RATIO_PCT</x:v>
      </x:c>
      <x:c r="J10" s="20" t="str">
        <x:v>100% (3 de 3)</x:v>
      </x:c>
      <x:c r="K10" s="20" t="str">
        <x:v>aggregated_measure</x:v>
      </x:c>
      <x:c r="L10" s="20" t="str">
        <x:v>YES</x:v>
      </x:c>
    </x:row>
    <x:row r="11">
      <x:c r="A11" s="20" t="str">
        <x:v>ADM-006_DEN</x:v>
      </x:c>
      <x:c r="B11" s="20" t="str">
        <x:v>ADM-006</x:v>
      </x:c>
      <x:c r="C11" s="20" t="str">
        <x:v>Administración</x:v>
      </x:c>
      <x:c r="D11" s="20" t="str">
        <x:v>Beneficiarios y grupos de interés</x:v>
      </x:c>
      <x:c r="E11" s="20" t="str">
        <x:v>Informes regulatorios presentados en tiempo y forma</x:v>
      </x:c>
      <x:c r="F11" s="20" t="str">
        <x:v>DEN</x:v>
      </x:c>
      <x:c r="G11" s="20" t="str">
        <x:v>informes regulatorios programados</x:v>
      </x:c>
      <x:c r="H11" s="20" t="str">
        <x:v># / base</x:v>
      </x:c>
      <x:c r="I11" s="20" t="str">
        <x:v>RATIO_PCT</x:v>
      </x:c>
      <x:c r="J11" s="20" t="str">
        <x:v>100% (3 de 3)</x:v>
      </x:c>
      <x:c r="K11" s="20" t="str">
        <x:v>program_count</x:v>
      </x:c>
      <x:c r="L11" s="20" t="str">
        <x:v>YES</x:v>
      </x:c>
    </x:row>
    <x:row r="12">
      <x:c r="A12" s="20" t="str">
        <x:v>ADM-008_NUM</x:v>
      </x:c>
      <x:c r="B12" s="20" t="str">
        <x:v>ADM-008</x:v>
      </x:c>
      <x:c r="C12" s="20" t="str">
        <x:v>Administración</x:v>
      </x:c>
      <x:c r="D12" s="20" t="str">
        <x:v>Beneficiarios y grupos de interés</x:v>
      </x:c>
      <x:c r="E12" s="20" t="str">
        <x:v>Acreditaciones institucionales renovadas antes de vencimiento</x:v>
      </x:c>
      <x:c r="F12" s="20" t="str">
        <x:v>NUM</x:v>
      </x:c>
      <x:c r="G12" s="20" t="str">
        <x:v>Acreditaciones ESR/AIT renovadas antes del vencimiento</x:v>
      </x:c>
      <x:c r="H12" s="20" t="str">
        <x:v># / base</x:v>
      </x:c>
      <x:c r="I12" s="20" t="str">
        <x:v>RATIO_PCT</x:v>
      </x:c>
      <x:c r="J12" s="20" t="str">
        <x:v>100%</x:v>
      </x:c>
      <x:c r="K12" s="20" t="str">
        <x:v>aggregated_measure</x:v>
      </x:c>
      <x:c r="L12" s="20" t="str">
        <x:v>YES</x:v>
      </x:c>
    </x:row>
    <x:row r="13">
      <x:c r="A13" s="20" t="str">
        <x:v>ADM-008_DEN</x:v>
      </x:c>
      <x:c r="B13" s="20" t="str">
        <x:v>ADM-008</x:v>
      </x:c>
      <x:c r="C13" s="20" t="str">
        <x:v>Administración</x:v>
      </x:c>
      <x:c r="D13" s="20" t="str">
        <x:v>Beneficiarios y grupos de interés</x:v>
      </x:c>
      <x:c r="E13" s="20" t="str">
        <x:v>Acreditaciones institucionales renovadas antes de vencimiento</x:v>
      </x:c>
      <x:c r="F13" s="20" t="str">
        <x:v>DEN</x:v>
      </x:c>
      <x:c r="G13" s="20" t="str">
        <x:v>acreditaciones con renovación exigible</x:v>
      </x:c>
      <x:c r="H13" s="20" t="str">
        <x:v># / base</x:v>
      </x:c>
      <x:c r="I13" s="20" t="str">
        <x:v>RATIO_PCT</x:v>
      </x:c>
      <x:c r="J13" s="20" t="str">
        <x:v>100%</x:v>
      </x:c>
      <x:c r="K13" s="20" t="str">
        <x:v>aggregated_measure</x:v>
      </x:c>
      <x:c r="L13" s="20" t="str">
        <x:v>YES</x:v>
      </x:c>
    </x:row>
    <x:row r="14">
      <x:c r="A14" s="20" t="str">
        <x:v>ADM-010_NUM</x:v>
      </x:c>
      <x:c r="B14" s="20" t="str">
        <x:v>ADM-010</x:v>
      </x:c>
      <x:c r="C14" s="20" t="str">
        <x:v>Administración</x:v>
      </x:c>
      <x:c r="D14" s="20" t="str">
        <x:v>Beneficiarios y grupos de interés</x:v>
      </x:c>
      <x:c r="E14" s="20" t="str">
        <x:v>Países con ruta de acreditación regulatoria definida y validada</x:v>
      </x:c>
      <x:c r="F14" s="20" t="str">
        <x:v>NUM</x:v>
      </x:c>
      <x:c r="G14" s="20" t="str">
        <x:v>Países objetivo con requisitos, autoridad, evidencia y ruta de acreditación validados</x:v>
      </x:c>
      <x:c r="H14" s="20" t="str">
        <x:v># / base</x:v>
      </x:c>
      <x:c r="I14" s="20" t="str">
        <x:v>RATIO_PCT</x:v>
      </x:c>
      <x:c r="J14" s="20" t="str">
        <x:v>100% (2 de 2)</x:v>
      </x:c>
      <x:c r="K14" s="20" t="str">
        <x:v>country_count</x:v>
      </x:c>
      <x:c r="L14" s="20" t="str">
        <x:v>YES</x:v>
      </x:c>
    </x:row>
    <x:row r="15">
      <x:c r="A15" s="20" t="str">
        <x:v>ADM-010_DEN</x:v>
      </x:c>
      <x:c r="B15" s="20" t="str">
        <x:v>ADM-010</x:v>
      </x:c>
      <x:c r="C15" s="20" t="str">
        <x:v>Administración</x:v>
      </x:c>
      <x:c r="D15" s="20" t="str">
        <x:v>Beneficiarios y grupos de interés</x:v>
      </x:c>
      <x:c r="E15" s="20" t="str">
        <x:v>Países con ruta de acreditación regulatoria definida y validada</x:v>
      </x:c>
      <x:c r="F15" s="20" t="str">
        <x:v>DEN</x:v>
      </x:c>
      <x:c r="G15" s="20" t="str">
        <x:v>países objetivo</x:v>
      </x:c>
      <x:c r="H15" s="20" t="str">
        <x:v># / base</x:v>
      </x:c>
      <x:c r="I15" s="20" t="str">
        <x:v>RATIO_PCT</x:v>
      </x:c>
      <x:c r="J15" s="20" t="str">
        <x:v>100% (2 de 2)</x:v>
      </x:c>
      <x:c r="K15" s="20" t="str">
        <x:v>country_count</x:v>
      </x:c>
      <x:c r="L15" s="20" t="str">
        <x:v>YES</x:v>
      </x:c>
    </x:row>
    <x:row r="16">
      <x:c r="A16" s="20" t="str">
        <x:v>ADM-012_VAL</x:v>
      </x:c>
      <x:c r="B16" s="20" t="str">
        <x:v>ADM-012</x:v>
      </x:c>
      <x:c r="C16" s="20" t="str">
        <x:v>Administración</x:v>
      </x:c>
      <x:c r="D16" s="20" t="str">
        <x:v>Capacidades y tecnología</x:v>
      </x:c>
      <x:c r="E16" s="20" t="str">
        <x:v>Nuevos convenios universitarios activados</x:v>
      </x:c>
      <x:c r="F16" s="20" t="str">
        <x:v>VAL</x:v>
      </x:c>
      <x:c r="G16" s="20" t="str">
        <x:v>Convenios nuevos firmados y habilitados para recibir prestadores</x:v>
      </x:c>
      <x:c r="H16" s="20" t="str">
        <x:v>#</x:v>
      </x:c>
      <x:c r="I16" s="20" t="str">
        <x:v>VALUE</x:v>
      </x:c>
      <x:c r="J16" s="20" t="str">
        <x:v>≥2</x:v>
      </x:c>
      <x:c r="K16" s="20" t="str">
        <x:v>agreement_count</x:v>
      </x:c>
      <x:c r="L16" s="20" t="str">
        <x:v>YES</x:v>
      </x:c>
    </x:row>
    <x:row r="17">
      <x:c r="A17" s="20" t="str">
        <x:v>ADM-013_NUM</x:v>
      </x:c>
      <x:c r="B17" s="20" t="str">
        <x:v>ADM-013</x:v>
      </x:c>
      <x:c r="C17" s="20" t="str">
        <x:v>Administración</x:v>
      </x:c>
      <x:c r="D17" s="20" t="str">
        <x:v>Capacidades y tecnología</x:v>
      </x:c>
      <x:c r="E17" s="20" t="str">
        <x:v>Convenios universitarios renovados antes de vencimiento</x:v>
      </x:c>
      <x:c r="F17" s="20" t="str">
        <x:v>NUM</x:v>
      </x:c>
      <x:c r="G17" s="20" t="str">
        <x:v>Convenios renovados antes de vencimiento</x:v>
      </x:c>
      <x:c r="H17" s="20" t="str">
        <x:v># / base</x:v>
      </x:c>
      <x:c r="I17" s="20" t="str">
        <x:v>RATIO_PCT</x:v>
      </x:c>
      <x:c r="J17" s="20" t="str">
        <x:v>100%</x:v>
      </x:c>
      <x:c r="K17" s="20" t="str">
        <x:v>agreement_count</x:v>
      </x:c>
      <x:c r="L17" s="20" t="str">
        <x:v>YES</x:v>
      </x:c>
    </x:row>
    <x:row r="18">
      <x:c r="A18" s="20" t="str">
        <x:v>ADM-013_DEN</x:v>
      </x:c>
      <x:c r="B18" s="20" t="str">
        <x:v>ADM-013</x:v>
      </x:c>
      <x:c r="C18" s="20" t="str">
        <x:v>Administración</x:v>
      </x:c>
      <x:c r="D18" s="20" t="str">
        <x:v>Capacidades y tecnología</x:v>
      </x:c>
      <x:c r="E18" s="20" t="str">
        <x:v>Convenios universitarios renovados antes de vencimiento</x:v>
      </x:c>
      <x:c r="F18" s="20" t="str">
        <x:v>DEN</x:v>
      </x:c>
      <x:c r="G18" s="20" t="str">
        <x:v>convenios que vencen en 2026</x:v>
      </x:c>
      <x:c r="H18" s="20" t="str">
        <x:v># / base</x:v>
      </x:c>
      <x:c r="I18" s="20" t="str">
        <x:v>RATIO_PCT</x:v>
      </x:c>
      <x:c r="J18" s="20" t="str">
        <x:v>100%</x:v>
      </x:c>
      <x:c r="K18" s="20" t="str">
        <x:v>agreement_count</x:v>
      </x:c>
      <x:c r="L18" s="20" t="str">
        <x:v>YES</x:v>
      </x:c>
    </x:row>
    <x:row r="19">
      <x:c r="A19" s="20" t="str">
        <x:v>ADM-014_VAL</x:v>
      </x:c>
      <x:c r="B19" s="20" t="str">
        <x:v>ADM-014</x:v>
      </x:c>
      <x:c r="C19" s="20" t="str">
        <x:v>Administración</x:v>
      </x:c>
      <x:c r="D19" s="20" t="str">
        <x:v>Capacidades y tecnología</x:v>
      </x:c>
      <x:c r="E19" s="20" t="str">
        <x:v>Prestadores de servicio social incorporados</x:v>
      </x:c>
      <x:c r="F19" s="20" t="str">
        <x:v>VAL</x:v>
      </x:c>
      <x:c r="G19" s="20" t="str">
        <x:v>Número de prestadores que formalizan ingreso durante 2026</x:v>
      </x:c>
      <x:c r="H19" s="20" t="str">
        <x:v>#</x:v>
      </x:c>
      <x:c r="I19" s="20" t="str">
        <x:v>VALUE</x:v>
      </x:c>
      <x:c r="J19" s="20" t="str">
        <x:v>≥7</x:v>
      </x:c>
      <x:c r="K19" s="20" t="str">
        <x:v>aggregated_measure</x:v>
      </x:c>
      <x:c r="L19" s="20" t="str">
        <x:v>YES</x:v>
      </x:c>
    </x:row>
    <x:row r="20">
      <x:c r="A20" s="20" t="str">
        <x:v>ADM-015_NUM</x:v>
      </x:c>
      <x:c r="B20" s="20" t="str">
        <x:v>ADM-015</x:v>
      </x:c>
      <x:c r="C20" s="20" t="str">
        <x:v>Administración</x:v>
      </x:c>
      <x:c r="D20" s="20" t="str">
        <x:v>Sostenibilidad financiera</x:v>
      </x:c>
      <x:c r="E20" s="20" t="str">
        <x:v>Reportes financieros mensuales entregados en tiempo</x:v>
      </x:c>
      <x:c r="F20" s="20" t="str">
        <x:v>NUM</x:v>
      </x:c>
      <x:c r="G20" s="20" t="str">
        <x:v>Reportes financieros entregados dentro de la ventana comprometida</x:v>
      </x:c>
      <x:c r="H20" s="20" t="str">
        <x:v># / base</x:v>
      </x:c>
      <x:c r="I20" s="20" t="str">
        <x:v>RATIO_PCT</x:v>
      </x:c>
      <x:c r="J20" s="20" t="str">
        <x:v>100%</x:v>
      </x:c>
      <x:c r="K20" s="20" t="str">
        <x:v>aggregated_measure</x:v>
      </x:c>
      <x:c r="L20" s="20" t="str">
        <x:v>YES</x:v>
      </x:c>
    </x:row>
    <x:row r="21">
      <x:c r="A21" s="20" t="str">
        <x:v>ADM-015_DEN</x:v>
      </x:c>
      <x:c r="B21" s="20" t="str">
        <x:v>ADM-015</x:v>
      </x:c>
      <x:c r="C21" s="20" t="str">
        <x:v>Administración</x:v>
      </x:c>
      <x:c r="D21" s="20" t="str">
        <x:v>Sostenibilidad financiera</x:v>
      </x:c>
      <x:c r="E21" s="20" t="str">
        <x:v>Reportes financieros mensuales entregados en tiempo</x:v>
      </x:c>
      <x:c r="F21" s="20" t="str">
        <x:v>DEN</x:v>
      </x:c>
      <x:c r="G21" s="20" t="str">
        <x:v>reportes programados en el periodo</x:v>
      </x:c>
      <x:c r="H21" s="20" t="str">
        <x:v># / base</x:v>
      </x:c>
      <x:c r="I21" s="20" t="str">
        <x:v>RATIO_PCT</x:v>
      </x:c>
      <x:c r="J21" s="20" t="str">
        <x:v>100%</x:v>
      </x:c>
      <x:c r="K21" s="20" t="str">
        <x:v>program_count</x:v>
      </x:c>
      <x:c r="L21" s="20" t="str">
        <x:v>YES</x:v>
      </x:c>
    </x:row>
    <x:row r="22">
      <x:c r="A22" s="20" t="str">
        <x:v>ADM-016_NUM</x:v>
      </x:c>
      <x:c r="B22" s="20" t="str">
        <x:v>ADM-016</x:v>
      </x:c>
      <x:c r="C22" s="20" t="str">
        <x:v>Administración</x:v>
      </x:c>
      <x:c r="D22" s="20" t="str">
        <x:v>Procesos internos</x:v>
      </x:c>
      <x:c r="E22" s="20" t="str">
        <x:v>Viajes gestionados dentro de una semana</x:v>
      </x:c>
      <x:c r="F22" s="20" t="str">
        <x:v>NUM</x:v>
      </x:c>
      <x:c r="G22" s="20" t="str">
        <x:v>Viajes gestionados dentro de 7 días desde solicitud completa</x:v>
      </x:c>
      <x:c r="H22" s="20" t="str">
        <x:v>días</x:v>
      </x:c>
      <x:c r="I22" s="20" t="str">
        <x:v>RATIO_PCT</x:v>
      </x:c>
      <x:c r="J22" s="20" t="str">
        <x:v>100%</x:v>
      </x:c>
      <x:c r="K22" s="20" t="str">
        <x:v>request_count</x:v>
      </x:c>
      <x:c r="L22" s="20" t="str">
        <x:v>YES</x:v>
      </x:c>
    </x:row>
    <x:row r="23">
      <x:c r="A23" s="20" t="str">
        <x:v>ADM-016_DEN</x:v>
      </x:c>
      <x:c r="B23" s="20" t="str">
        <x:v>ADM-016</x:v>
      </x:c>
      <x:c r="C23" s="20" t="str">
        <x:v>Administración</x:v>
      </x:c>
      <x:c r="D23" s="20" t="str">
        <x:v>Procesos internos</x:v>
      </x:c>
      <x:c r="E23" s="20" t="str">
        <x:v>Viajes gestionados dentro de una semana</x:v>
      </x:c>
      <x:c r="F23" s="20" t="str">
        <x:v>DEN</x:v>
      </x:c>
      <x:c r="G23" s="20" t="str">
        <x:v>viajes solicitados</x:v>
      </x:c>
      <x:c r="H23" s="20" t="str">
        <x:v># / base</x:v>
      </x:c>
      <x:c r="I23" s="20" t="str">
        <x:v>RATIO_PCT</x:v>
      </x:c>
      <x:c r="J23" s="20" t="str">
        <x:v>100%</x:v>
      </x:c>
      <x:c r="K23" s="20" t="str">
        <x:v>aggregated_measure</x:v>
      </x:c>
      <x:c r="L23" s="20" t="str">
        <x:v>YES</x:v>
      </x:c>
    </x:row>
    <x:row r="24">
      <x:c r="A24" s="20" t="str">
        <x:v>ADM-017_NUM</x:v>
      </x:c>
      <x:c r="B24" s="20" t="str">
        <x:v>ADM-017</x:v>
      </x:c>
      <x:c r="C24" s="20" t="str">
        <x:v>Administración</x:v>
      </x:c>
      <x:c r="D24" s="20" t="str">
        <x:v>Procesos internos</x:v>
      </x:c>
      <x:c r="E24" s="20" t="str">
        <x:v>Viáticos comprobados dentro de 30 días</x:v>
      </x:c>
      <x:c r="F24" s="20" t="str">
        <x:v>NUM</x:v>
      </x:c>
      <x:c r="G24" s="20" t="str">
        <x:v>Viajes comprobados dentro de 30 días posteriores al regreso</x:v>
      </x:c>
      <x:c r="H24" s="20" t="str">
        <x:v>días</x:v>
      </x:c>
      <x:c r="I24" s="20" t="str">
        <x:v>RATIO_PCT</x:v>
      </x:c>
      <x:c r="J24" s="20" t="str">
        <x:v>100%</x:v>
      </x:c>
      <x:c r="K24" s="20" t="str">
        <x:v>aggregated_measure</x:v>
      </x:c>
      <x:c r="L24" s="20" t="str">
        <x:v>YES</x:v>
      </x:c>
    </x:row>
    <x:row r="25">
      <x:c r="A25" s="20" t="str">
        <x:v>ADM-017_DEN</x:v>
      </x:c>
      <x:c r="B25" s="20" t="str">
        <x:v>ADM-017</x:v>
      </x:c>
      <x:c r="C25" s="20" t="str">
        <x:v>Administración</x:v>
      </x:c>
      <x:c r="D25" s="20" t="str">
        <x:v>Procesos internos</x:v>
      </x:c>
      <x:c r="E25" s="20" t="str">
        <x:v>Viáticos comprobados dentro de 30 días</x:v>
      </x:c>
      <x:c r="F25" s="20" t="str">
        <x:v>DEN</x:v>
      </x:c>
      <x:c r="G25" s="20" t="str">
        <x:v>viajes concluidos que requieren comprobación</x:v>
      </x:c>
      <x:c r="H25" s="20" t="str">
        <x:v># / base</x:v>
      </x:c>
      <x:c r="I25" s="20" t="str">
        <x:v>RATIO_PCT</x:v>
      </x:c>
      <x:c r="J25" s="20" t="str">
        <x:v>100%</x:v>
      </x:c>
      <x:c r="K25" s="20" t="str">
        <x:v>aggregated_measure</x:v>
      </x:c>
      <x:c r="L25" s="20" t="str">
        <x:v>YES</x:v>
      </x:c>
    </x:row>
    <x:row r="26">
      <x:c r="A26" s="20" t="str">
        <x:v>OPS-001_VAL</x:v>
      </x:c>
      <x:c r="B26" s="20" t="str">
        <x:v>OPS-001</x:v>
      </x:c>
      <x:c r="C26" s="20" t="str">
        <x:v>Operaciones</x:v>
      </x:c>
      <x:c r="D26" s="20" t="str">
        <x:v>Resultados estratégicos</x:v>
      </x:c>
      <x:c r="E26" s="20" t="str">
        <x:v>Países con operación programática activa según modelo definido</x:v>
      </x:c>
      <x:c r="F26" s="20" t="str">
        <x:v>VAL</x:v>
      </x:c>
      <x:c r="G26" s="20" t="str">
        <x:v>Número de países con al menos un programa activo y esquema operativo documentado</x:v>
      </x:c>
      <x:c r="H26" s="20" t="str">
        <x:v>#</x:v>
      </x:c>
      <x:c r="I26" s="20" t="str">
        <x:v>VALUE</x:v>
      </x:c>
      <x:c r="J26" s="20" t="str">
        <x:v>4 (3 directos + 1 directo o en alianza)</x:v>
      </x:c>
      <x:c r="K26" s="20" t="str">
        <x:v>program_count</x:v>
      </x:c>
      <x:c r="L26" s="20" t="str">
        <x:v>YES</x:v>
      </x:c>
    </x:row>
    <x:row r="27">
      <x:c r="A27" s="20" t="str">
        <x:v>OPS-002_NUM</x:v>
      </x:c>
      <x:c r="B27" s="20" t="str">
        <x:v>OPS-002</x:v>
      </x:c>
      <x:c r="C27" s="20" t="str">
        <x:v>Operaciones</x:v>
      </x:c>
      <x:c r="D27" s="20" t="str">
        <x:v>Beneficiarios y grupos de interés</x:v>
      </x:c>
      <x:c r="E27" s="20" t="str">
        <x:v>Asistencia regular de beneficiarios</x:v>
      </x:c>
      <x:c r="F27" s="20" t="str">
        <x:v>NUM</x:v>
      </x:c>
      <x:c r="G27" s="20" t="str">
        <x:v>Beneficiarios que cumplen criterio de asistencia regular</x:v>
      </x:c>
      <x:c r="H27" s="20" t="str">
        <x:v># / base</x:v>
      </x:c>
      <x:c r="I27" s="20" t="str">
        <x:v>RATIO_PCT</x:v>
      </x:c>
      <x:c r="J27" s="20" t="str">
        <x:v>≥80%</x:v>
      </x:c>
      <x:c r="K27" s="20" t="str">
        <x:v>beneficiary_count</x:v>
      </x:c>
      <x:c r="L27" s="20" t="str">
        <x:v>YES</x:v>
      </x:c>
    </x:row>
    <x:row r="28">
      <x:c r="A28" s="20" t="str">
        <x:v>OPS-002_DEN</x:v>
      </x:c>
      <x:c r="B28" s="20" t="str">
        <x:v>OPS-002</x:v>
      </x:c>
      <x:c r="C28" s="20" t="str">
        <x:v>Operaciones</x:v>
      </x:c>
      <x:c r="D28" s="20" t="str">
        <x:v>Beneficiarios y grupos de interés</x:v>
      </x:c>
      <x:c r="E28" s="20" t="str">
        <x:v>Asistencia regular de beneficiarios</x:v>
      </x:c>
      <x:c r="F28" s="20" t="str">
        <x:v>DEN</x:v>
      </x:c>
      <x:c r="G28" s="20" t="str">
        <x:v>beneficiarios inscritos activos</x:v>
      </x:c>
      <x:c r="H28" s="20" t="str">
        <x:v># / base</x:v>
      </x:c>
      <x:c r="I28" s="20" t="str">
        <x:v>RATIO_PCT</x:v>
      </x:c>
      <x:c r="J28" s="20" t="str">
        <x:v>≥80%</x:v>
      </x:c>
      <x:c r="K28" s="20" t="str">
        <x:v>beneficiary_count</x:v>
      </x:c>
      <x:c r="L28" s="20" t="str">
        <x:v>YES</x:v>
      </x:c>
    </x:row>
    <x:row r="29">
      <x:c r="A29" s="20" t="str">
        <x:v>OPS-003_VAL</x:v>
      </x:c>
      <x:c r="B29" s="20" t="str">
        <x:v>OPS-003</x:v>
      </x:c>
      <x:c r="C29" s="20" t="str">
        <x:v>Operaciones</x:v>
      </x:c>
      <x:c r="D29" s="20" t="str">
        <x:v>Resultados estratégicos</x:v>
      </x:c>
      <x:c r="E29" s="20" t="str">
        <x:v>Mejora de habilidades psicosociales</x:v>
      </x:c>
      <x:c r="F29" s="20" t="str">
        <x:v>VAL</x:v>
      </x:c>
      <x:c r="G29" s="20" t="str">
        <x:v>Cambio porcentual promedio pre–post en instrumento psicosocial validado</x:v>
      </x:c>
      <x:c r="H29" s="20" t="str">
        <x:v>%</x:v>
      </x:c>
      <x:c r="I29" s="20" t="str">
        <x:v>VALUE</x:v>
      </x:c>
      <x:c r="J29" s="20" t="str">
        <x:v>≥30%</x:v>
      </x:c>
      <x:c r="K29" s="20" t="str">
        <x:v>aggregated_measure</x:v>
      </x:c>
      <x:c r="L29" s="20" t="str">
        <x:v>YES</x:v>
      </x:c>
    </x:row>
    <x:row r="30">
      <x:c r="A30" s="20" t="str">
        <x:v>OPS-004_VAL</x:v>
      </x:c>
      <x:c r="B30" s="20" t="str">
        <x:v>OPS-004</x:v>
      </x:c>
      <x:c r="C30" s="20" t="str">
        <x:v>Operaciones</x:v>
      </x:c>
      <x:c r="D30" s="20" t="str">
        <x:v>Resultados estratégicos</x:v>
      </x:c>
      <x:c r="E30" s="20" t="str">
        <x:v>Mejora de habilidades deportivas</x:v>
      </x:c>
      <x:c r="F30" s="20" t="str">
        <x:v>VAL</x:v>
      </x:c>
      <x:c r="G30" s="20" t="str">
        <x:v>Cambio porcentual promedio pre–post en evaluación deportiva estandarizada</x:v>
      </x:c>
      <x:c r="H30" s="20" t="str">
        <x:v>%</x:v>
      </x:c>
      <x:c r="I30" s="20" t="str">
        <x:v>VALUE</x:v>
      </x:c>
      <x:c r="J30" s="20" t="str">
        <x:v>≥30%</x:v>
      </x:c>
      <x:c r="K30" s="20" t="str">
        <x:v>aggregated_measure</x:v>
      </x:c>
      <x:c r="L30" s="20" t="str">
        <x:v>YES</x:v>
      </x:c>
    </x:row>
    <x:row r="31">
      <x:c r="A31" s="20" t="str">
        <x:v>OPS-005_A</x:v>
      </x:c>
      <x:c r="B31" s="20" t="str">
        <x:v>OPS-005</x:v>
      </x:c>
      <x:c r="C31" s="20" t="str">
        <x:v>Operaciones</x:v>
      </x:c>
      <x:c r="D31" s="20" t="str">
        <x:v>Resultados estratégicos</x:v>
      </x:c>
      <x:c r="E31" s="20" t="str">
        <x:v>Incremento del tiempo de actividad física de beneficiarios</x:v>
      </x:c>
      <x:c r="F31" s="20" t="str">
        <x:v>A</x:v>
      </x:c>
      <x:c r="G31" s="20" t="str">
        <x:v>Minutos promedio post</x:v>
      </x:c>
      <x:c r="H31" s="20" t="str">
        <x:v>minutos</x:v>
      </x:c>
      <x:c r="I31" s="20" t="str">
        <x:v>CHANGE_PCT</x:v>
      </x:c>
      <x:c r="J31" s="20" t="str">
        <x:v>≥30%</x:v>
      </x:c>
      <x:c r="K31" s="20" t="str">
        <x:v>aggregated_measure</x:v>
      </x:c>
      <x:c r="L31" s="20" t="str">
        <x:v>YES</x:v>
      </x:c>
    </x:row>
    <x:row r="32">
      <x:c r="A32" s="20" t="str">
        <x:v>OPS-005_B</x:v>
      </x:c>
      <x:c r="B32" s="20" t="str">
        <x:v>OPS-005</x:v>
      </x:c>
      <x:c r="C32" s="20" t="str">
        <x:v>Operaciones</x:v>
      </x:c>
      <x:c r="D32" s="20" t="str">
        <x:v>Resultados estratégicos</x:v>
      </x:c>
      <x:c r="E32" s="20" t="str">
        <x:v>Incremento del tiempo de actividad física de beneficiarios</x:v>
      </x:c>
      <x:c r="F32" s="20" t="str">
        <x:v>B</x:v>
      </x:c>
      <x:c r="G32" s="20" t="str">
        <x:v>minutos promedio baseline</x:v>
      </x:c>
      <x:c r="H32" s="20" t="str">
        <x:v>minutos</x:v>
      </x:c>
      <x:c r="I32" s="20" t="str">
        <x:v>CHANGE_PCT</x:v>
      </x:c>
      <x:c r="J32" s="20" t="str">
        <x:v>≥30%</x:v>
      </x:c>
      <x:c r="K32" s="20" t="str">
        <x:v>aggregated_measure</x:v>
      </x:c>
      <x:c r="L32" s="20" t="str">
        <x:v>YES</x:v>
      </x:c>
    </x:row>
    <x:row r="33">
      <x:c r="A33" s="20" t="str">
        <x:v>OPS-006_NUM</x:v>
      </x:c>
      <x:c r="B33" s="20" t="str">
        <x:v>OPS-006</x:v>
      </x:c>
      <x:c r="C33" s="20" t="str">
        <x:v>Operaciones</x:v>
      </x:c>
      <x:c r="D33" s="20" t="str">
        <x:v>Beneficiarios y grupos de interés</x:v>
      </x:c>
      <x:c r="E33" s="20" t="str">
        <x:v>Beneficiarios que alcanzan competencia deportiva inicial</x:v>
      </x:c>
      <x:c r="F33" s="20" t="str">
        <x:v>NUM</x:v>
      </x:c>
      <x:c r="G33" s="20" t="str">
        <x:v>Beneficiarios que alcanzan el umbral de competencia inicial</x:v>
      </x:c>
      <x:c r="H33" s="20" t="str">
        <x:v># / base</x:v>
      </x:c>
      <x:c r="I33" s="20" t="str">
        <x:v>RATIO_PCT</x:v>
      </x:c>
      <x:c r="J33" s="20" t="str">
        <x:v>≥70%</x:v>
      </x:c>
      <x:c r="K33" s="20" t="str">
        <x:v>beneficiary_count</x:v>
      </x:c>
      <x:c r="L33" s="20" t="str">
        <x:v>YES</x:v>
      </x:c>
    </x:row>
    <x:row r="34">
      <x:c r="A34" s="20" t="str">
        <x:v>OPS-006_DEN</x:v>
      </x:c>
      <x:c r="B34" s="20" t="str">
        <x:v>OPS-006</x:v>
      </x:c>
      <x:c r="C34" s="20" t="str">
        <x:v>Operaciones</x:v>
      </x:c>
      <x:c r="D34" s="20" t="str">
        <x:v>Beneficiarios y grupos de interés</x:v>
      </x:c>
      <x:c r="E34" s="20" t="str">
        <x:v>Beneficiarios que alcanzan competencia deportiva inicial</x:v>
      </x:c>
      <x:c r="F34" s="20" t="str">
        <x:v>DEN</x:v>
      </x:c>
      <x:c r="G34" s="20" t="str">
        <x:v>beneficiarios evaluados</x:v>
      </x:c>
      <x:c r="H34" s="20" t="str">
        <x:v># / base</x:v>
      </x:c>
      <x:c r="I34" s="20" t="str">
        <x:v>RATIO_PCT</x:v>
      </x:c>
      <x:c r="J34" s="20" t="str">
        <x:v>≥70%</x:v>
      </x:c>
      <x:c r="K34" s="20" t="str">
        <x:v>beneficiary_count</x:v>
      </x:c>
      <x:c r="L34" s="20" t="str">
        <x:v>YES</x:v>
      </x:c>
    </x:row>
    <x:row r="35">
      <x:c r="A35" s="20" t="str">
        <x:v>OPS-008_NUM</x:v>
      </x:c>
      <x:c r="B35" s="20" t="str">
        <x:v>OPS-008</x:v>
      </x:c>
      <x:c r="C35" s="20" t="str">
        <x:v>Operaciones</x:v>
      </x:c>
      <x:c r="D35" s="20" t="str">
        <x:v>Beneficiarios y grupos de interés</x:v>
      </x:c>
      <x:c r="E35" s="20" t="str">
        <x:v>Cobertura del piloto de nutrición infantil</x:v>
      </x:c>
      <x:c r="F35" s="20" t="str">
        <x:v>NUM</x:v>
      </x:c>
      <x:c r="G35" s="20" t="str">
        <x:v>NNA incorporados al piloto</x:v>
      </x:c>
      <x:c r="H35" s="20" t="str">
        <x:v># / base</x:v>
      </x:c>
      <x:c r="I35" s="20" t="str">
        <x:v>RATIO_PCT</x:v>
      </x:c>
      <x:c r="J35" s="20" t="str">
        <x:v>100%</x:v>
      </x:c>
      <x:c r="K35" s="20" t="str">
        <x:v>aggregated_measure</x:v>
      </x:c>
      <x:c r="L35" s="20" t="str">
        <x:v>YES</x:v>
      </x:c>
    </x:row>
    <x:row r="36">
      <x:c r="A36" s="20" t="str">
        <x:v>OPS-008_DEN</x:v>
      </x:c>
      <x:c r="B36" s="20" t="str">
        <x:v>OPS-008</x:v>
      </x:c>
      <x:c r="C36" s="20" t="str">
        <x:v>Operaciones</x:v>
      </x:c>
      <x:c r="D36" s="20" t="str">
        <x:v>Beneficiarios y grupos de interés</x:v>
      </x:c>
      <x:c r="E36" s="20" t="str">
        <x:v>Cobertura del piloto de nutrición infantil</x:v>
      </x:c>
      <x:c r="F36" s="20" t="str">
        <x:v>DEN</x:v>
      </x:c>
      <x:c r="G36" s="20" t="str">
        <x:v>meta de participantes</x:v>
      </x:c>
      <x:c r="H36" s="20" t="str">
        <x:v># / base</x:v>
      </x:c>
      <x:c r="I36" s="20" t="str">
        <x:v>RATIO_PCT</x:v>
      </x:c>
      <x:c r="J36" s="20" t="str">
        <x:v>100%</x:v>
      </x:c>
      <x:c r="K36" s="20" t="str">
        <x:v>participant_count</x:v>
      </x:c>
      <x:c r="L36" s="20" t="str">
        <x:v>YES</x:v>
      </x:c>
    </x:row>
    <x:row r="37">
      <x:c r="A37" s="20" t="str">
        <x:v>OPS-009_NUM</x:v>
      </x:c>
      <x:c r="B37" s="20" t="str">
        <x:v>OPS-009</x:v>
      </x:c>
      <x:c r="C37" s="20" t="str">
        <x:v>Operaciones</x:v>
      </x:c>
      <x:c r="D37" s="20" t="str">
        <x:v>Procesos internos</x:v>
      </x:c>
      <x:c r="E37" s="20" t="str">
        <x:v>Cobertura de seguimiento nutricional con registros completos</x:v>
      </x:c>
      <x:c r="F37" s="20" t="str">
        <x:v>NUM</x:v>
      </x:c>
      <x:c r="G37" s="20" t="str">
        <x:v>Participantes con mediciones periódicas completas</x:v>
      </x:c>
      <x:c r="H37" s="20" t="str">
        <x:v># / base</x:v>
      </x:c>
      <x:c r="I37" s="20" t="str">
        <x:v>RATIO_PCT</x:v>
      </x:c>
      <x:c r="J37" s="20" t="str">
        <x:v>≥95%</x:v>
      </x:c>
      <x:c r="K37" s="20" t="str">
        <x:v>participant_count</x:v>
      </x:c>
      <x:c r="L37" s="20" t="str">
        <x:v>YES</x:v>
      </x:c>
    </x:row>
    <x:row r="38">
      <x:c r="A38" s="20" t="str">
        <x:v>OPS-009_DEN</x:v>
      </x:c>
      <x:c r="B38" s="20" t="str">
        <x:v>OPS-009</x:v>
      </x:c>
      <x:c r="C38" s="20" t="str">
        <x:v>Operaciones</x:v>
      </x:c>
      <x:c r="D38" s="20" t="str">
        <x:v>Procesos internos</x:v>
      </x:c>
      <x:c r="E38" s="20" t="str">
        <x:v>Cobertura de seguimiento nutricional con registros completos</x:v>
      </x:c>
      <x:c r="F38" s="20" t="str">
        <x:v>DEN</x:v>
      </x:c>
      <x:c r="G38" s="20" t="str">
        <x:v>participantes activos elegibles</x:v>
      </x:c>
      <x:c r="H38" s="20" t="str">
        <x:v># / base</x:v>
      </x:c>
      <x:c r="I38" s="20" t="str">
        <x:v>RATIO_PCT</x:v>
      </x:c>
      <x:c r="J38" s="20" t="str">
        <x:v>≥95%</x:v>
      </x:c>
      <x:c r="K38" s="20" t="str">
        <x:v>participant_count</x:v>
      </x:c>
      <x:c r="L38" s="20" t="str">
        <x:v>YES</x:v>
      </x:c>
    </x:row>
    <x:row r="39">
      <x:c r="A39" s="20" t="str">
        <x:v>OPS-010_A</x:v>
      </x:c>
      <x:c r="B39" s="20" t="str">
        <x:v>OPS-010</x:v>
      </x:c>
      <x:c r="C39" s="20" t="str">
        <x:v>Operaciones</x:v>
      </x:c>
      <x:c r="D39" s="20" t="str">
        <x:v>Resultados estratégicos</x:v>
      </x:c>
      <x:c r="E39" s="20" t="str">
        <x:v>Incremento de actividad física — programa de nutrición</x:v>
      </x:c>
      <x:c r="F39" s="20" t="str">
        <x:v>A</x:v>
      </x:c>
      <x:c r="G39" s="20" t="str">
        <x:v>Actividad física post</x:v>
      </x:c>
      <x:c r="H39" s="20" t="str">
        <x:v># / base</x:v>
      </x:c>
      <x:c r="I39" s="20" t="str">
        <x:v>CHANGE_PCT</x:v>
      </x:c>
      <x:c r="J39" s="20" t="str">
        <x:v>≥60%</x:v>
      </x:c>
      <x:c r="K39" s="20" t="str">
        <x:v>aggregated_measure</x:v>
      </x:c>
      <x:c r="L39" s="20" t="str">
        <x:v>YES</x:v>
      </x:c>
    </x:row>
    <x:row r="40">
      <x:c r="A40" s="20" t="str">
        <x:v>OPS-010_B</x:v>
      </x:c>
      <x:c r="B40" s="20" t="str">
        <x:v>OPS-010</x:v>
      </x:c>
      <x:c r="C40" s="20" t="str">
        <x:v>Operaciones</x:v>
      </x:c>
      <x:c r="D40" s="20" t="str">
        <x:v>Resultados estratégicos</x:v>
      </x:c>
      <x:c r="E40" s="20" t="str">
        <x:v>Incremento de actividad física — programa de nutrición</x:v>
      </x:c>
      <x:c r="F40" s="20" t="str">
        <x:v>B</x:v>
      </x:c>
      <x:c r="G40" s="20" t="str">
        <x:v>baseline</x:v>
      </x:c>
      <x:c r="H40" s="20" t="str">
        <x:v># / base</x:v>
      </x:c>
      <x:c r="I40" s="20" t="str">
        <x:v>CHANGE_PCT</x:v>
      </x:c>
      <x:c r="J40" s="20" t="str">
        <x:v>≥60%</x:v>
      </x:c>
      <x:c r="K40" s="20" t="str">
        <x:v>aggregated_measure</x:v>
      </x:c>
      <x:c r="L40" s="20" t="str">
        <x:v>YES</x:v>
      </x:c>
    </x:row>
    <x:row r="41">
      <x:c r="A41" s="20" t="str">
        <x:v>OPS-012_NUM</x:v>
      </x:c>
      <x:c r="B41" s="20" t="str">
        <x:v>OPS-012</x:v>
      </x:c>
      <x:c r="C41" s="20" t="str">
        <x:v>Operaciones</x:v>
      </x:c>
      <x:c r="D41" s="20" t="str">
        <x:v>Procesos internos</x:v>
      </x:c>
      <x:c r="E41" s="20" t="str">
        <x:v>Países con plan de escalamiento de nutrición listo para 2027</x:v>
      </x:c>
      <x:c r="F41" s="20" t="str">
        <x:v>NUM</x:v>
      </x:c>
      <x:c r="G41" s="20" t="str">
        <x:v>Países objetivo con plan operativo aprobado y listo para ejecución</x:v>
      </x:c>
      <x:c r="H41" s="20" t="str">
        <x:v># / base</x:v>
      </x:c>
      <x:c r="I41" s="20" t="str">
        <x:v>RATIO_PCT</x:v>
      </x:c>
      <x:c r="J41" s="20" t="str">
        <x:v>100% (2 de 2)</x:v>
      </x:c>
      <x:c r="K41" s="20" t="str">
        <x:v>country_count</x:v>
      </x:c>
      <x:c r="L41" s="20" t="str">
        <x:v>YES</x:v>
      </x:c>
    </x:row>
    <x:row r="42">
      <x:c r="A42" s="20" t="str">
        <x:v>OPS-012_DEN</x:v>
      </x:c>
      <x:c r="B42" s="20" t="str">
        <x:v>OPS-012</x:v>
      </x:c>
      <x:c r="C42" s="20" t="str">
        <x:v>Operaciones</x:v>
      </x:c>
      <x:c r="D42" s="20" t="str">
        <x:v>Procesos internos</x:v>
      </x:c>
      <x:c r="E42" s="20" t="str">
        <x:v>Países con plan de escalamiento de nutrición listo para 2027</x:v>
      </x:c>
      <x:c r="F42" s="20" t="str">
        <x:v>DEN</x:v>
      </x:c>
      <x:c r="G42" s="20" t="str">
        <x:v>países objetivo</x:v>
      </x:c>
      <x:c r="H42" s="20" t="str">
        <x:v># / base</x:v>
      </x:c>
      <x:c r="I42" s="20" t="str">
        <x:v>RATIO_PCT</x:v>
      </x:c>
      <x:c r="J42" s="20" t="str">
        <x:v>100% (2 de 2)</x:v>
      </x:c>
      <x:c r="K42" s="20" t="str">
        <x:v>country_count</x:v>
      </x:c>
      <x:c r="L42" s="20" t="str">
        <x:v>YES</x:v>
      </x:c>
    </x:row>
    <x:row r="43">
      <x:c r="A43" s="20" t="str">
        <x:v>OPS-013_NUM</x:v>
      </x:c>
      <x:c r="B43" s="20" t="str">
        <x:v>OPS-013</x:v>
      </x:c>
      <x:c r="C43" s="20" t="str">
        <x:v>Operaciones</x:v>
      </x:c>
      <x:c r="D43" s="20" t="str">
        <x:v>Beneficiarios y grupos de interés</x:v>
      </x:c>
      <x:c r="E43" s="20" t="str">
        <x:v>Cumplimiento de cobertura — Sueña Chivas Estadio</x:v>
      </x:c>
      <x:c r="F43" s="20" t="str">
        <x:v>NUM</x:v>
      </x:c>
      <x:c r="G43" s="20" t="str">
        <x:v>Participantes atendidos</x:v>
      </x:c>
      <x:c r="H43" s="20" t="str">
        <x:v># / base</x:v>
      </x:c>
      <x:c r="I43" s="20" t="str">
        <x:v>RATIO_PCT</x:v>
      </x:c>
      <x:c r="J43" s="20" t="str">
        <x:v>100% (3,200; 32 eventos)</x:v>
      </x:c>
      <x:c r="K43" s="20" t="str">
        <x:v>participant_count</x:v>
      </x:c>
      <x:c r="L43" s="20" t="str">
        <x:v>YES</x:v>
      </x:c>
    </x:row>
    <x:row r="44">
      <x:c r="A44" s="20" t="str">
        <x:v>OPS-013_DEN</x:v>
      </x:c>
      <x:c r="B44" s="20" t="str">
        <x:v>OPS-013</x:v>
      </x:c>
      <x:c r="C44" s="20" t="str">
        <x:v>Operaciones</x:v>
      </x:c>
      <x:c r="D44" s="20" t="str">
        <x:v>Beneficiarios y grupos de interés</x:v>
      </x:c>
      <x:c r="E44" s="20" t="str">
        <x:v>Cumplimiento de cobertura — Sueña Chivas Estadio</x:v>
      </x:c>
      <x:c r="F44" s="20" t="str">
        <x:v>DEN</x:v>
      </x:c>
      <x:c r="G44" s="20" t="str">
        <x:v>meta anual de participantes</x:v>
      </x:c>
      <x:c r="H44" s="20" t="str">
        <x:v># / base</x:v>
      </x:c>
      <x:c r="I44" s="20" t="str">
        <x:v>RATIO_PCT</x:v>
      </x:c>
      <x:c r="J44" s="20" t="str">
        <x:v>100% (3,200; 32 eventos)</x:v>
      </x:c>
      <x:c r="K44" s="20" t="str">
        <x:v>participant_count</x:v>
      </x:c>
      <x:c r="L44" s="20" t="str">
        <x:v>YES</x:v>
      </x:c>
    </x:row>
    <x:row r="45">
      <x:c r="A45" s="20" t="str">
        <x:v>OPS-014_NUM</x:v>
      </x:c>
      <x:c r="B45" s="20" t="str">
        <x:v>OPS-014</x:v>
      </x:c>
      <x:c r="C45" s="20" t="str">
        <x:v>Operaciones</x:v>
      </x:c>
      <x:c r="D45" s="20" t="str">
        <x:v>Beneficiarios y grupos de interés</x:v>
      </x:c>
      <x:c r="E45" s="20" t="str">
        <x:v>Cumplimiento de cobertura — Sueña Chivas Tour</x:v>
      </x:c>
      <x:c r="F45" s="20" t="str">
        <x:v>NUM</x:v>
      </x:c>
      <x:c r="G45" s="20" t="str">
        <x:v>Participantes atendidos</x:v>
      </x:c>
      <x:c r="H45" s="20" t="str">
        <x:v># / base</x:v>
      </x:c>
      <x:c r="I45" s="20" t="str">
        <x:v>RATIO_PCT</x:v>
      </x:c>
      <x:c r="J45" s="20" t="str">
        <x:v>100% (1,080; indicador fuente menciona 32 eventos)</x:v>
      </x:c>
      <x:c r="K45" s="20" t="str">
        <x:v>participant_count</x:v>
      </x:c>
      <x:c r="L45" s="20" t="str">
        <x:v>YES</x:v>
      </x:c>
    </x:row>
    <x:row r="46">
      <x:c r="A46" s="20" t="str">
        <x:v>OPS-014_DEN</x:v>
      </x:c>
      <x:c r="B46" s="20" t="str">
        <x:v>OPS-014</x:v>
      </x:c>
      <x:c r="C46" s="20" t="str">
        <x:v>Operaciones</x:v>
      </x:c>
      <x:c r="D46" s="20" t="str">
        <x:v>Beneficiarios y grupos de interés</x:v>
      </x:c>
      <x:c r="E46" s="20" t="str">
        <x:v>Cumplimiento de cobertura — Sueña Chivas Tour</x:v>
      </x:c>
      <x:c r="F46" s="20" t="str">
        <x:v>DEN</x:v>
      </x:c>
      <x:c r="G46" s="20" t="str">
        <x:v>meta anual de participantes</x:v>
      </x:c>
      <x:c r="H46" s="20" t="str">
        <x:v># / base</x:v>
      </x:c>
      <x:c r="I46" s="20" t="str">
        <x:v>RATIO_PCT</x:v>
      </x:c>
      <x:c r="J46" s="20" t="str">
        <x:v>100% (1,080; indicador fuente menciona 32 eventos)</x:v>
      </x:c>
      <x:c r="K46" s="20" t="str">
        <x:v>participant_count</x:v>
      </x:c>
      <x:c r="L46" s="20" t="str">
        <x:v>YES</x:v>
      </x:c>
    </x:row>
    <x:row r="47">
      <x:c r="A47" s="20" t="str">
        <x:v>OPS-015_VAL</x:v>
      </x:c>
      <x:c r="B47" s="20" t="str">
        <x:v>OPS-015</x:v>
      </x:c>
      <x:c r="C47" s="20" t="str">
        <x:v>Operaciones</x:v>
      </x:c>
      <x:c r="D47" s="20" t="str">
        <x:v>Beneficiarios y grupos de interés</x:v>
      </x:c>
      <x:c r="E47" s="20" t="str">
        <x:v>Sueña Chivas Individuales completados</x:v>
      </x:c>
      <x:c r="F47" s="20" t="str">
        <x:v>VAL</x:v>
      </x:c>
      <x:c r="G47" s="20" t="str">
        <x:v>Número de experiencias individuales completadas conforme a protocolo</x:v>
      </x:c>
      <x:c r="H47" s="20" t="str">
        <x:v>#</x:v>
      </x:c>
      <x:c r="I47" s="20" t="str">
        <x:v>VALUE</x:v>
      </x:c>
      <x:c r="J47" s="20" t="str">
        <x:v>≥12</x:v>
      </x:c>
      <x:c r="K47" s="20" t="str">
        <x:v>aggregated_measure</x:v>
      </x:c>
      <x:c r="L47" s="20" t="str">
        <x:v>YES</x:v>
      </x:c>
    </x:row>
    <x:row r="48">
      <x:c r="A48" s="20" t="str">
        <x:v>OPS-016_VAL</x:v>
      </x:c>
      <x:c r="B48" s="20" t="str">
        <x:v>OPS-016</x:v>
      </x:c>
      <x:c r="C48" s="20" t="str">
        <x:v>Operaciones</x:v>
      </x:c>
      <x:c r="D48" s="20" t="str">
        <x:v>Procesos internos</x:v>
      </x:c>
      <x:c r="E48" s="20" t="str">
        <x:v>Proyectos OSC financiados conforme a reglas de operación</x:v>
      </x:c>
      <x:c r="F48" s="20" t="str">
        <x:v>VAL</x:v>
      </x:c>
      <x:c r="G48" s="20" t="str">
        <x:v>Número de proyectos OSC aprobados, formalizados y financiados conforme a reglas</x:v>
      </x:c>
      <x:c r="H48" s="20" t="str">
        <x:v>#</x:v>
      </x:c>
      <x:c r="I48" s="20" t="str">
        <x:v>VALUE</x:v>
      </x:c>
      <x:c r="J48" s="20" t="str">
        <x:v>4</x:v>
      </x:c>
      <x:c r="K48" s="20" t="str">
        <x:v>aggregated_measure</x:v>
      </x:c>
      <x:c r="L48" s="20" t="str">
        <x:v>YES</x:v>
      </x:c>
    </x:row>
    <x:row r="49">
      <x:c r="A49" s="20" t="str">
        <x:v>OPS-019_NUM</x:v>
      </x:c>
      <x:c r="B49" s="20" t="str">
        <x:v>OPS-019</x:v>
      </x:c>
      <x:c r="C49" s="20" t="str">
        <x:v>Operaciones</x:v>
      </x:c>
      <x:c r="D49" s="20" t="str">
        <x:v>Procesos internos</x:v>
      </x:c>
      <x:c r="E49" s="20" t="str">
        <x:v>Proyectos OSC con seguimiento y reporte de resultados aprobado</x:v>
      </x:c>
      <x:c r="F49" s="20" t="str">
        <x:v>NUM</x:v>
      </x:c>
      <x:c r="G49" s="20" t="str">
        <x:v>Proyectos apoyados con informe de aplicación y resultados aprobado</x:v>
      </x:c>
      <x:c r="H49" s="20" t="str">
        <x:v># / base</x:v>
      </x:c>
      <x:c r="I49" s="20" t="str">
        <x:v>RATIO_PCT</x:v>
      </x:c>
      <x:c r="J49" s="20" t="str">
        <x:v>100% (4 de 4)</x:v>
      </x:c>
      <x:c r="K49" s="20" t="str">
        <x:v>aggregated_measure</x:v>
      </x:c>
      <x:c r="L49" s="20" t="str">
        <x:v>YES</x:v>
      </x:c>
    </x:row>
    <x:row r="50">
      <x:c r="A50" s="20" t="str">
        <x:v>OPS-019_DEN</x:v>
      </x:c>
      <x:c r="B50" s="20" t="str">
        <x:v>OPS-019</x:v>
      </x:c>
      <x:c r="C50" s="20" t="str">
        <x:v>Operaciones</x:v>
      </x:c>
      <x:c r="D50" s="20" t="str">
        <x:v>Procesos internos</x:v>
      </x:c>
      <x:c r="E50" s="20" t="str">
        <x:v>Proyectos OSC con seguimiento y reporte de resultados aprobado</x:v>
      </x:c>
      <x:c r="F50" s="20" t="str">
        <x:v>DEN</x:v>
      </x:c>
      <x:c r="G50" s="20" t="str">
        <x:v>proyectos apoyados</x:v>
      </x:c>
      <x:c r="H50" s="20" t="str">
        <x:v># / base</x:v>
      </x:c>
      <x:c r="I50" s="20" t="str">
        <x:v>RATIO_PCT</x:v>
      </x:c>
      <x:c r="J50" s="20" t="str">
        <x:v>100% (4 de 4)</x:v>
      </x:c>
      <x:c r="K50" s="20" t="str">
        <x:v>aggregated_measure</x:v>
      </x:c>
      <x:c r="L50" s="20" t="str">
        <x:v>YES</x:v>
      </x:c>
    </x:row>
    <x:row r="51">
      <x:c r="A51" s="20" t="str">
        <x:v>OPS-020_NUM</x:v>
      </x:c>
      <x:c r="B51" s="20" t="str">
        <x:v>OPS-020</x:v>
      </x:c>
      <x:c r="C51" s="20" t="str">
        <x:v>Operaciones</x:v>
      </x:c>
      <x:c r="D51" s="20" t="str">
        <x:v>Procesos internos</x:v>
      </x:c>
      <x:c r="E51" s="20" t="str">
        <x:v>Donativos en especie asignados a organizaciones elegibles</x:v>
      </x:c>
      <x:c r="F51" s="20" t="str">
        <x:v>NUM</x:v>
      </x:c>
      <x:c r="G51" s="20" t="str">
        <x:v>Valor o unidades de donativos en especie asignados</x:v>
      </x:c>
      <x:c r="H51" s="20" t="str">
        <x:v>Moneda</x:v>
      </x:c>
      <x:c r="I51" s="20" t="str">
        <x:v>RATIO_PCT</x:v>
      </x:c>
      <x:c r="J51" s="20" t="str">
        <x:v>100%</x:v>
      </x:c>
      <x:c r="K51" s="20" t="str">
        <x:v>donation_amount</x:v>
      </x:c>
      <x:c r="L51" s="20" t="str">
        <x:v>YES</x:v>
      </x:c>
    </x:row>
    <x:row r="52">
      <x:c r="A52" s="20" t="str">
        <x:v>OPS-020_DEN</x:v>
      </x:c>
      <x:c r="B52" s="20" t="str">
        <x:v>OPS-020</x:v>
      </x:c>
      <x:c r="C52" s="20" t="str">
        <x:v>Operaciones</x:v>
      </x:c>
      <x:c r="D52" s="20" t="str">
        <x:v>Procesos internos</x:v>
      </x:c>
      <x:c r="E52" s="20" t="str">
        <x:v>Donativos en especie asignados a organizaciones elegibles</x:v>
      </x:c>
      <x:c r="F52" s="20" t="str">
        <x:v>DEN</x:v>
      </x:c>
      <x:c r="G52" s="20" t="str">
        <x:v>total recibido/designado para colocación</x:v>
      </x:c>
      <x:c r="H52" s="20" t="str">
        <x:v># / base</x:v>
      </x:c>
      <x:c r="I52" s="20" t="str">
        <x:v>RATIO_PCT</x:v>
      </x:c>
      <x:c r="J52" s="20" t="str">
        <x:v>100%</x:v>
      </x:c>
      <x:c r="K52" s="20" t="str">
        <x:v>aggregated_measure</x:v>
      </x:c>
      <x:c r="L52" s="20" t="str">
        <x:v>YES</x:v>
      </x:c>
    </x:row>
    <x:row r="53">
      <x:c r="A53" s="20" t="str">
        <x:v>LEG-001_VAL</x:v>
      </x:c>
      <x:c r="B53" s="20" t="str">
        <x:v>LEG-001</x:v>
      </x:c>
      <x:c r="C53" s="20" t="str">
        <x:v>Jurídico</x:v>
      </x:c>
      <x:c r="D53" s="20" t="str">
        <x:v>Procesos internos</x:v>
      </x:c>
      <x:c r="E53" s="20" t="str">
        <x:v>Tiempo de ciclo para liberación contractual</x:v>
      </x:c>
      <x:c r="F53" s="20" t="str">
        <x:v>VAL</x:v>
      </x:c>
      <x:c r="G53" s="20" t="str">
        <x:v>Mediana de días hábiles desde solicitud completa hasta liberación de contrato/convenio</x:v>
      </x:c>
      <x:c r="H53" s="20" t="str">
        <x:v>días</x:v>
      </x:c>
      <x:c r="I53" s="20" t="str">
        <x:v>VALUE</x:v>
      </x:c>
      <x:c r="J53" s="20" t="str">
        <x:v>≤3 días y ≥40% de reducción vs baseline</x:v>
      </x:c>
      <x:c r="K53" s="20" t="str">
        <x:v>request_count</x:v>
      </x:c>
      <x:c r="L53" s="20" t="str">
        <x:v>YES</x:v>
      </x:c>
    </x:row>
    <x:row r="54">
      <x:c r="A54" s="20" t="str">
        <x:v>LEG-002_NUM</x:v>
      </x:c>
      <x:c r="B54" s="20" t="str">
        <x:v>LEG-002</x:v>
      </x:c>
      <x:c r="C54" s="20" t="str">
        <x:v>Jurídico</x:v>
      </x:c>
      <x:c r="D54" s="20" t="str">
        <x:v>Capacidades y tecnología</x:v>
      </x:c>
      <x:c r="E54" s="20" t="str">
        <x:v>Expedientes jurídicos completos en repositorio digital</x:v>
      </x:c>
      <x:c r="F54" s="20" t="str">
        <x:v>NUM</x:v>
      </x:c>
      <x:c r="G54" s="20" t="str">
        <x:v>Expedientes activos con documentación, responsable y fechas límite completas</x:v>
      </x:c>
      <x:c r="H54" s="20" t="str">
        <x:v>días</x:v>
      </x:c>
      <x:c r="I54" s="20" t="str">
        <x:v>RATIO_PCT</x:v>
      </x:c>
      <x:c r="J54" s="20" t="str">
        <x:v>100%</x:v>
      </x:c>
      <x:c r="K54" s="20" t="str">
        <x:v>date_or_deadline</x:v>
      </x:c>
      <x:c r="L54" s="20" t="str">
        <x:v>YES</x:v>
      </x:c>
    </x:row>
    <x:row r="55">
      <x:c r="A55" s="20" t="str">
        <x:v>LEG-002_DEN</x:v>
      </x:c>
      <x:c r="B55" s="20" t="str">
        <x:v>LEG-002</x:v>
      </x:c>
      <x:c r="C55" s="20" t="str">
        <x:v>Jurídico</x:v>
      </x:c>
      <x:c r="D55" s="20" t="str">
        <x:v>Capacidades y tecnología</x:v>
      </x:c>
      <x:c r="E55" s="20" t="str">
        <x:v>Expedientes jurídicos completos en repositorio digital</x:v>
      </x:c>
      <x:c r="F55" s="20" t="str">
        <x:v>DEN</x:v>
      </x:c>
      <x:c r="G55" s="20" t="str">
        <x:v>expedientes activos</x:v>
      </x:c>
      <x:c r="H55" s="20" t="str">
        <x:v># / base</x:v>
      </x:c>
      <x:c r="I55" s="20" t="str">
        <x:v>RATIO_PCT</x:v>
      </x:c>
      <x:c r="J55" s="20" t="str">
        <x:v>100%</x:v>
      </x:c>
      <x:c r="K55" s="20" t="str">
        <x:v>aggregated_measure</x:v>
      </x:c>
      <x:c r="L55" s="20" t="str">
        <x:v>YES</x:v>
      </x:c>
    </x:row>
    <x:row r="56">
      <x:c r="A56" s="20" t="str">
        <x:v>LEG-003_BASE</x:v>
      </x:c>
      <x:c r="B56" s="20" t="str">
        <x:v>LEG-003</x:v>
      </x:c>
      <x:c r="C56" s="20" t="str">
        <x:v>Jurídico</x:v>
      </x:c>
      <x:c r="D56" s="20" t="str">
        <x:v>Procesos internos</x:v>
      </x:c>
      <x:c r="E56" s="20" t="str">
        <x:v>Reducción de cargas regulatorias duplicadas con cumplimiento íntegro</x:v>
      </x:c>
      <x:c r="F56" s="20" t="str">
        <x:v>BASE</x:v>
      </x:c>
      <x:c r="G56" s="20" t="str">
        <x:v>Número baseline de reportes/obligaciones duplicadas</x:v>
      </x:c>
      <x:c r="H56" s="20" t="str">
        <x:v># / base</x:v>
      </x:c>
      <x:c r="I56" s="20" t="str">
        <x:v>REDUCTION_PCT</x:v>
      </x:c>
      <x:c r="J56" s="20" t="str">
        <x:v>≥50% de reducción y 100% de obligaciones vigentes cumplidas</x:v>
      </x:c>
      <x:c r="K56" s="20" t="str">
        <x:v>obligation_count</x:v>
      </x:c>
      <x:c r="L56" s="20" t="str">
        <x:v>YES</x:v>
      </x:c>
    </x:row>
    <x:row r="57">
      <x:c r="A57" s="20" t="str">
        <x:v>LEG-003_CUR</x:v>
      </x:c>
      <x:c r="B57" s="20" t="str">
        <x:v>LEG-003</x:v>
      </x:c>
      <x:c r="C57" s="20" t="str">
        <x:v>Jurídico</x:v>
      </x:c>
      <x:c r="D57" s="20" t="str">
        <x:v>Procesos internos</x:v>
      </x:c>
      <x:c r="E57" s="20" t="str">
        <x:v>Reducción de cargas regulatorias duplicadas con cumplimiento íntegro</x:v>
      </x:c>
      <x:c r="F57" s="20" t="str">
        <x:v>CUR</x:v>
      </x:c>
      <x:c r="G57" s="20" t="str">
        <x:v>número actual</x:v>
      </x:c>
      <x:c r="H57" s="20" t="str">
        <x:v># / base</x:v>
      </x:c>
      <x:c r="I57" s="20" t="str">
        <x:v>REDUCTION_PCT</x:v>
      </x:c>
      <x:c r="J57" s="20" t="str">
        <x:v>≥50% de reducción y 100% de obligaciones vigentes cumplidas</x:v>
      </x:c>
      <x:c r="K57" s="20" t="str">
        <x:v>aggregated_measure</x:v>
      </x:c>
      <x:c r="L57" s="20" t="str">
        <x:v>YES</x:v>
      </x:c>
    </x:row>
    <x:row r="58">
      <x:c r="A58" s="20" t="str">
        <x:v>LEG-004_BASE</x:v>
      </x:c>
      <x:c r="B58" s="20" t="str">
        <x:v>LEG-004</x:v>
      </x:c>
      <x:c r="C58" s="20" t="str">
        <x:v>Jurídico</x:v>
      </x:c>
      <x:c r="D58" s="20" t="str">
        <x:v>Procesos internos</x:v>
      </x:c>
      <x:c r="E58" s="20" t="str">
        <x:v>Reducción de procesos administrativos duplicados por estructura societaria</x:v>
      </x:c>
      <x:c r="F58" s="20" t="str">
        <x:v>BASE</x:v>
      </x:c>
      <x:c r="G58" s="20" t="str">
        <x:v>Procesos/transacciones duplicadas baseline</x:v>
      </x:c>
      <x:c r="H58" s="20" t="str">
        <x:v># / base</x:v>
      </x:c>
      <x:c r="I58" s="20" t="str">
        <x:v>REDUCTION_PCT</x:v>
      </x:c>
      <x:c r="J58" s="20" t="str">
        <x:v>≥50% de reducción</x:v>
      </x:c>
      <x:c r="K58" s="20" t="str">
        <x:v>action_count</x:v>
      </x:c>
      <x:c r="L58" s="20" t="str">
        <x:v>YES</x:v>
      </x:c>
    </x:row>
    <x:row r="59">
      <x:c r="A59" s="20" t="str">
        <x:v>LEG-004_CUR</x:v>
      </x:c>
      <x:c r="B59" s="20" t="str">
        <x:v>LEG-004</x:v>
      </x:c>
      <x:c r="C59" s="20" t="str">
        <x:v>Jurídico</x:v>
      </x:c>
      <x:c r="D59" s="20" t="str">
        <x:v>Procesos internos</x:v>
      </x:c>
      <x:c r="E59" s="20" t="str">
        <x:v>Reducción de procesos administrativos duplicados por estructura societaria</x:v>
      </x:c>
      <x:c r="F59" s="20" t="str">
        <x:v>CUR</x:v>
      </x:c>
      <x:c r="G59" s="20" t="str">
        <x:v>actuales</x:v>
      </x:c>
      <x:c r="H59" s="20" t="str">
        <x:v># / base</x:v>
      </x:c>
      <x:c r="I59" s="20" t="str">
        <x:v>REDUCTION_PCT</x:v>
      </x:c>
      <x:c r="J59" s="20" t="str">
        <x:v>≥50% de reducción</x:v>
      </x:c>
      <x:c r="K59" s="20" t="str">
        <x:v>aggregated_measure</x:v>
      </x:c>
      <x:c r="L59" s="20" t="str">
        <x:v>YES</x:v>
      </x:c>
    </x:row>
    <x:row r="60">
      <x:c r="A60" s="20" t="str">
        <x:v>LEG-005_BASE</x:v>
      </x:c>
      <x:c r="B60" s="20" t="str">
        <x:v>LEG-005</x:v>
      </x:c>
      <x:c r="C60" s="20" t="str">
        <x:v>Jurídico</x:v>
      </x:c>
      <x:c r="D60" s="20" t="str">
        <x:v>Sostenibilidad financiera</x:v>
      </x:c>
      <x:c r="E60" s="20" t="str">
        <x:v>Ahorro en costos internos derivados de la simplificación</x:v>
      </x:c>
      <x:c r="F60" s="20" t="str">
        <x:v>BASE</x:v>
      </x:c>
      <x:c r="G60" s="20" t="str">
        <x:v>Costo baseline comparable</x:v>
      </x:c>
      <x:c r="H60" s="20" t="str">
        <x:v>Moneda</x:v>
      </x:c>
      <x:c r="I60" s="20" t="str">
        <x:v>REDUCTION_PCT</x:v>
      </x:c>
      <x:c r="J60" s="20" t="str">
        <x:v>≥20%</x:v>
      </x:c>
      <x:c r="K60" s="20" t="str">
        <x:v>cost_amount</x:v>
      </x:c>
      <x:c r="L60" s="20" t="str">
        <x:v>YES</x:v>
      </x:c>
    </x:row>
    <x:row r="61">
      <x:c r="A61" s="20" t="str">
        <x:v>LEG-005_CUR</x:v>
      </x:c>
      <x:c r="B61" s="20" t="str">
        <x:v>LEG-005</x:v>
      </x:c>
      <x:c r="C61" s="20" t="str">
        <x:v>Jurídico</x:v>
      </x:c>
      <x:c r="D61" s="20" t="str">
        <x:v>Sostenibilidad financiera</x:v>
      </x:c>
      <x:c r="E61" s="20" t="str">
        <x:v>Ahorro en costos internos derivados de la simplificación</x:v>
      </x:c>
      <x:c r="F61" s="20" t="str">
        <x:v>CUR</x:v>
      </x:c>
      <x:c r="G61" s="20" t="str">
        <x:v>costo actual comparable</x:v>
      </x:c>
      <x:c r="H61" s="20" t="str">
        <x:v>Moneda</x:v>
      </x:c>
      <x:c r="I61" s="20" t="str">
        <x:v>REDUCTION_PCT</x:v>
      </x:c>
      <x:c r="J61" s="20" t="str">
        <x:v>≥20%</x:v>
      </x:c>
      <x:c r="K61" s="20" t="str">
        <x:v>cost_amount</x:v>
      </x:c>
      <x:c r="L61" s="20" t="str">
        <x:v>YES</x:v>
      </x:c>
    </x:row>
    <x:row r="62">
      <x:c r="A62" s="20" t="str">
        <x:v>LEG-006_NUM</x:v>
      </x:c>
      <x:c r="B62" s="20" t="str">
        <x:v>LEG-006</x:v>
      </x:c>
      <x:c r="C62" s="20" t="str">
        <x:v>Jurídico</x:v>
      </x:c>
      <x:c r="D62" s="20" t="str">
        <x:v>Capacidades y tecnología</x:v>
      </x:c>
      <x:c r="E62" s="20" t="str">
        <x:v>Cobertura de certificación antilavado del equipo Jurídico</x:v>
      </x:c>
      <x:c r="F62" s="20" t="str">
        <x:v>NUM</x:v>
      </x:c>
      <x:c r="G62" s="20" t="str">
        <x:v>Miembros del equipo Jurídico con certificación vigente</x:v>
      </x:c>
      <x:c r="H62" s="20" t="str">
        <x:v># / base</x:v>
      </x:c>
      <x:c r="I62" s="20" t="str">
        <x:v>RATIO_PCT</x:v>
      </x:c>
      <x:c r="J62" s="20" t="str">
        <x:v>100%</x:v>
      </x:c>
      <x:c r="K62" s="20" t="str">
        <x:v>aggregated_measure</x:v>
      </x:c>
      <x:c r="L62" s="20" t="str">
        <x:v>YES</x:v>
      </x:c>
    </x:row>
    <x:row r="63">
      <x:c r="A63" s="20" t="str">
        <x:v>LEG-006_DEN</x:v>
      </x:c>
      <x:c r="B63" s="20" t="str">
        <x:v>LEG-006</x:v>
      </x:c>
      <x:c r="C63" s="20" t="str">
        <x:v>Jurídico</x:v>
      </x:c>
      <x:c r="D63" s="20" t="str">
        <x:v>Capacidades y tecnología</x:v>
      </x:c>
      <x:c r="E63" s="20" t="str">
        <x:v>Cobertura de certificación antilavado del equipo Jurídico</x:v>
      </x:c>
      <x:c r="F63" s="20" t="str">
        <x:v>DEN</x:v>
      </x:c>
      <x:c r="G63" s="20" t="str">
        <x:v>miembros que requieren certificación</x:v>
      </x:c>
      <x:c r="H63" s="20" t="str">
        <x:v># / base</x:v>
      </x:c>
      <x:c r="I63" s="20" t="str">
        <x:v>RATIO_PCT</x:v>
      </x:c>
      <x:c r="J63" s="20" t="str">
        <x:v>100%</x:v>
      </x:c>
      <x:c r="K63" s="20" t="str">
        <x:v>aggregated_measure</x:v>
      </x:c>
      <x:c r="L63" s="20" t="str">
        <x:v>YES</x:v>
      </x:c>
    </x:row>
    <x:row r="64">
      <x:c r="A64" s="20" t="str">
        <x:v>LEG-008_NUM</x:v>
      </x:c>
      <x:c r="B64" s="20" t="str">
        <x:v>LEG-008</x:v>
      </x:c>
      <x:c r="C64" s="20" t="str">
        <x:v>Jurídico</x:v>
      </x:c>
      <x:c r="D64" s="20" t="str">
        <x:v>Capacidades y tecnología</x:v>
      </x:c>
      <x:c r="E64" s="20" t="str">
        <x:v>Adopción activa de WEBDOX por usuarios jurídicos</x:v>
      </x:c>
      <x:c r="F64" s="20" t="str">
        <x:v>NUM</x:v>
      </x:c>
      <x:c r="G64" s="20" t="str">
        <x:v>Usuarios objetivo que utilizan WEBDOX para los procesos definidos en el periodo</x:v>
      </x:c>
      <x:c r="H64" s="20" t="str">
        <x:v># / base</x:v>
      </x:c>
      <x:c r="I64" s="20" t="str">
        <x:v>RATIO_PCT</x:v>
      </x:c>
      <x:c r="J64" s="20" t="str">
        <x:v>≥90%</x:v>
      </x:c>
      <x:c r="K64" s="20" t="str">
        <x:v>user_count</x:v>
      </x:c>
      <x:c r="L64" s="20" t="str">
        <x:v>YES</x:v>
      </x:c>
    </x:row>
    <x:row r="65">
      <x:c r="A65" s="20" t="str">
        <x:v>LEG-008_DEN</x:v>
      </x:c>
      <x:c r="B65" s="20" t="str">
        <x:v>LEG-008</x:v>
      </x:c>
      <x:c r="C65" s="20" t="str">
        <x:v>Jurídico</x:v>
      </x:c>
      <x:c r="D65" s="20" t="str">
        <x:v>Capacidades y tecnología</x:v>
      </x:c>
      <x:c r="E65" s="20" t="str">
        <x:v>Adopción activa de WEBDOX por usuarios jurídicos</x:v>
      </x:c>
      <x:c r="F65" s="20" t="str">
        <x:v>DEN</x:v>
      </x:c>
      <x:c r="G65" s="20" t="str">
        <x:v>usuarios objetivo</x:v>
      </x:c>
      <x:c r="H65" s="20" t="str">
        <x:v># / base</x:v>
      </x:c>
      <x:c r="I65" s="20" t="str">
        <x:v>RATIO_PCT</x:v>
      </x:c>
      <x:c r="J65" s="20" t="str">
        <x:v>≥90%</x:v>
      </x:c>
      <x:c r="K65" s="20" t="str">
        <x:v>user_count</x:v>
      </x:c>
      <x:c r="L65" s="20" t="str">
        <x:v>YES</x:v>
      </x:c>
    </x:row>
    <x:row r="66">
      <x:c r="A66" s="20" t="str">
        <x:v>LEG-009_NUM</x:v>
      </x:c>
      <x:c r="B66" s="20" t="str">
        <x:v>LEG-009</x:v>
      </x:c>
      <x:c r="C66" s="20" t="str">
        <x:v>Jurídico</x:v>
      </x:c>
      <x:c r="D66" s="20" t="str">
        <x:v>Capacidades y tecnología</x:v>
      </x:c>
      <x:c r="E66" s="20" t="str">
        <x:v>Convenios tramitados end-to-end en WEBDOX</x:v>
      </x:c>
      <x:c r="F66" s="20" t="str">
        <x:v>NUM</x:v>
      </x:c>
      <x:c r="G66" s="20" t="str">
        <x:v>Convenios elegibles gestionados completamente en WEBDOX</x:v>
      </x:c>
      <x:c r="H66" s="20" t="str">
        <x:v># / base</x:v>
      </x:c>
      <x:c r="I66" s="20" t="str">
        <x:v>RATIO_PCT</x:v>
      </x:c>
      <x:c r="J66" s="20" t="str">
        <x:v>≥90%</x:v>
      </x:c>
      <x:c r="K66" s="20" t="str">
        <x:v>agreement_count</x:v>
      </x:c>
      <x:c r="L66" s="20" t="str">
        <x:v>YES</x:v>
      </x:c>
    </x:row>
    <x:row r="67">
      <x:c r="A67" s="20" t="str">
        <x:v>LEG-009_DEN</x:v>
      </x:c>
      <x:c r="B67" s="20" t="str">
        <x:v>LEG-009</x:v>
      </x:c>
      <x:c r="C67" s="20" t="str">
        <x:v>Jurídico</x:v>
      </x:c>
      <x:c r="D67" s="20" t="str">
        <x:v>Capacidades y tecnología</x:v>
      </x:c>
      <x:c r="E67" s="20" t="str">
        <x:v>Convenios tramitados end-to-end en WEBDOX</x:v>
      </x:c>
      <x:c r="F67" s="20" t="str">
        <x:v>DEN</x:v>
      </x:c>
      <x:c r="G67" s="20" t="str">
        <x:v>convenios elegibles</x:v>
      </x:c>
      <x:c r="H67" s="20" t="str">
        <x:v># / base</x:v>
      </x:c>
      <x:c r="I67" s="20" t="str">
        <x:v>RATIO_PCT</x:v>
      </x:c>
      <x:c r="J67" s="20" t="str">
        <x:v>≥90%</x:v>
      </x:c>
      <x:c r="K67" s="20" t="str">
        <x:v>agreement_count</x:v>
      </x:c>
      <x:c r="L67" s="20" t="str">
        <x:v>YES</x:v>
      </x:c>
    </x:row>
    <x:row r="68">
      <x:c r="A68" s="20" t="str">
        <x:v>LEG-010_NUM</x:v>
      </x:c>
      <x:c r="B68" s="20" t="str">
        <x:v>LEG-010</x:v>
      </x:c>
      <x:c r="C68" s="20" t="str">
        <x:v>Jurídico</x:v>
      </x:c>
      <x:c r="D68" s="20" t="str">
        <x:v>Beneficiarios y grupos de interés</x:v>
      </x:c>
      <x:c r="E68" s="20" t="str">
        <x:v>Cumplimiento jurídico-fiscal de comunicaciones institucionales</x:v>
      </x:c>
      <x:c r="F68" s="20" t="str">
        <x:v>NUM</x:v>
      </x:c>
      <x:c r="G68" s="20" t="str">
        <x:v>Comunicaciones/campañas sujetas a revisión aprobadas sin incumplimiento material</x:v>
      </x:c>
      <x:c r="H68" s="20" t="str">
        <x:v># / base</x:v>
      </x:c>
      <x:c r="I68" s="20" t="str">
        <x:v>RATIO_PCT</x:v>
      </x:c>
      <x:c r="J68" s="20" t="str">
        <x:v>100%</x:v>
      </x:c>
      <x:c r="K68" s="20" t="str">
        <x:v>campaign_count_or_amount</x:v>
      </x:c>
      <x:c r="L68" s="20" t="str">
        <x:v>YES</x:v>
      </x:c>
    </x:row>
    <x:row r="69">
      <x:c r="A69" s="20" t="str">
        <x:v>LEG-010_DEN</x:v>
      </x:c>
      <x:c r="B69" s="20" t="str">
        <x:v>LEG-010</x:v>
      </x:c>
      <x:c r="C69" s="20" t="str">
        <x:v>Jurídico</x:v>
      </x:c>
      <x:c r="D69" s="20" t="str">
        <x:v>Beneficiarios y grupos de interés</x:v>
      </x:c>
      <x:c r="E69" s="20" t="str">
        <x:v>Cumplimiento jurídico-fiscal de comunicaciones institucionales</x:v>
      </x:c>
      <x:c r="F69" s="20" t="str">
        <x:v>DEN</x:v>
      </x:c>
      <x:c r="G69" s="20" t="str">
        <x:v>comunicaciones/campañas revisadas</x:v>
      </x:c>
      <x:c r="H69" s="20" t="str">
        <x:v># / base</x:v>
      </x:c>
      <x:c r="I69" s="20" t="str">
        <x:v>RATIO_PCT</x:v>
      </x:c>
      <x:c r="J69" s="20" t="str">
        <x:v>100%</x:v>
      </x:c>
      <x:c r="K69" s="20" t="str">
        <x:v>campaign_count_or_amount</x:v>
      </x:c>
      <x:c r="L69" s="20" t="str">
        <x:v>YES</x:v>
      </x:c>
    </x:row>
    <x:row r="70">
      <x:c r="A70" s="20" t="str">
        <x:v>LEG-012_NUM</x:v>
      </x:c>
      <x:c r="B70" s="20" t="str">
        <x:v>LEG-012</x:v>
      </x:c>
      <x:c r="C70" s="20" t="str">
        <x:v>Jurídico</x:v>
      </x:c>
      <x:c r="D70" s="20" t="str">
        <x:v>Beneficiarios y grupos de interés</x:v>
      </x:c>
      <x:c r="E70" s="20" t="str">
        <x:v>Países objetivo con autorización fiscal para recibir donativos deducibles</x:v>
      </x:c>
      <x:c r="F70" s="20" t="str">
        <x:v>NUM</x:v>
      </x:c>
      <x:c r="G70" s="20" t="str">
        <x:v>Países objetivo con autorización fiscal/donataria obtenida</x:v>
      </x:c>
      <x:c r="H70" s="20" t="str">
        <x:v># / base</x:v>
      </x:c>
      <x:c r="I70" s="20" t="str">
        <x:v>RATIO_PCT</x:v>
      </x:c>
      <x:c r="J70" s="20" t="str">
        <x:v>100% (2 de 2)</x:v>
      </x:c>
      <x:c r="K70" s="20" t="str">
        <x:v>country_count</x:v>
      </x:c>
      <x:c r="L70" s="20" t="str">
        <x:v>YES</x:v>
      </x:c>
    </x:row>
    <x:row r="71">
      <x:c r="A71" s="20" t="str">
        <x:v>LEG-012_DEN</x:v>
      </x:c>
      <x:c r="B71" s="20" t="str">
        <x:v>LEG-012</x:v>
      </x:c>
      <x:c r="C71" s="20" t="str">
        <x:v>Jurídico</x:v>
      </x:c>
      <x:c r="D71" s="20" t="str">
        <x:v>Beneficiarios y grupos de interés</x:v>
      </x:c>
      <x:c r="E71" s="20" t="str">
        <x:v>Países objetivo con autorización fiscal para recibir donativos deducibles</x:v>
      </x:c>
      <x:c r="F71" s="20" t="str">
        <x:v>DEN</x:v>
      </x:c>
      <x:c r="G71" s="20" t="str">
        <x:v>países objetivo</x:v>
      </x:c>
      <x:c r="H71" s="20" t="str">
        <x:v># / base</x:v>
      </x:c>
      <x:c r="I71" s="20" t="str">
        <x:v>RATIO_PCT</x:v>
      </x:c>
      <x:c r="J71" s="20" t="str">
        <x:v>100% (2 de 2)</x:v>
      </x:c>
      <x:c r="K71" s="20" t="str">
        <x:v>country_count</x:v>
      </x:c>
      <x:c r="L71" s="20" t="str">
        <x:v>YES</x:v>
      </x:c>
    </x:row>
    <x:row r="72">
      <x:c r="A72" s="20" t="str">
        <x:v>LEG-013_NUM</x:v>
      </x:c>
      <x:c r="B72" s="20" t="str">
        <x:v>LEG-013</x:v>
      </x:c>
      <x:c r="C72" s="20" t="str">
        <x:v>Jurídico</x:v>
      </x:c>
      <x:c r="D72" s="20" t="str">
        <x:v>Beneficiarios y grupos de interés</x:v>
      </x:c>
      <x:c r="E72" s="20" t="str">
        <x:v>Cobertura de certificaciones de responsabilidad social en sedes internacionales objetivo</x:v>
      </x:c>
      <x:c r="F72" s="20" t="str">
        <x:v>NUM</x:v>
      </x:c>
      <x:c r="G72" s="20" t="str">
        <x:v>Sedes objetivo con certificación equivalente a ESR obtenida</x:v>
      </x:c>
      <x:c r="H72" s="20" t="str">
        <x:v># / base</x:v>
      </x:c>
      <x:c r="I72" s="20" t="str">
        <x:v>RATIO_PCT</x:v>
      </x:c>
      <x:c r="J72" s="20" t="str">
        <x:v>100% (3 de 3, horizonte fuente 24 meses)</x:v>
      </x:c>
      <x:c r="K72" s="20" t="str">
        <x:v>aggregated_measure</x:v>
      </x:c>
      <x:c r="L72" s="20" t="str">
        <x:v>YES</x:v>
      </x:c>
    </x:row>
    <x:row r="73">
      <x:c r="A73" s="20" t="str">
        <x:v>LEG-013_DEN</x:v>
      </x:c>
      <x:c r="B73" s="20" t="str">
        <x:v>LEG-013</x:v>
      </x:c>
      <x:c r="C73" s="20" t="str">
        <x:v>Jurídico</x:v>
      </x:c>
      <x:c r="D73" s="20" t="str">
        <x:v>Beneficiarios y grupos de interés</x:v>
      </x:c>
      <x:c r="E73" s="20" t="str">
        <x:v>Cobertura de certificaciones de responsabilidad social en sedes internacionales objetivo</x:v>
      </x:c>
      <x:c r="F73" s="20" t="str">
        <x:v>DEN</x:v>
      </x:c>
      <x:c r="G73" s="20" t="str">
        <x:v>sedes objetivo</x:v>
      </x:c>
      <x:c r="H73" s="20" t="str">
        <x:v># / base</x:v>
      </x:c>
      <x:c r="I73" s="20" t="str">
        <x:v>RATIO_PCT</x:v>
      </x:c>
      <x:c r="J73" s="20" t="str">
        <x:v>100% (3 de 3, horizonte fuente 24 meses)</x:v>
      </x:c>
      <x:c r="K73" s="20" t="str">
        <x:v>aggregated_measure</x:v>
      </x:c>
      <x:c r="L73" s="20" t="str">
        <x:v>YES</x:v>
      </x:c>
    </x:row>
    <x:row r="74">
      <x:c r="A74" s="20" t="str">
        <x:v>LEG-014_VAL</x:v>
      </x:c>
      <x:c r="B74" s="20" t="str">
        <x:v>LEG-014</x:v>
      </x:c>
      <x:c r="C74" s="20" t="str">
        <x:v>Jurídico</x:v>
      </x:c>
      <x:c r="D74" s="20" t="str">
        <x:v>Beneficiarios y grupos de interés</x:v>
      </x:c>
      <x:c r="E74" s="20" t="str">
        <x:v>Alianzas formalizadas con organismos certificadores internacionales</x:v>
      </x:c>
      <x:c r="F74" s="20" t="str">
        <x:v>VAL</x:v>
      </x:c>
      <x:c r="G74" s="20" t="str">
        <x:v>Número de convenios de colaboración/acreditación formalizados con organismos elegibles</x:v>
      </x:c>
      <x:c r="H74" s="20" t="str">
        <x:v>#</x:v>
      </x:c>
      <x:c r="I74" s="20" t="str">
        <x:v>VALUE</x:v>
      </x:c>
      <x:c r="J74" s="20" t="str">
        <x:v>≥2</x:v>
      </x:c>
      <x:c r="K74" s="20" t="str">
        <x:v>agreement_count</x:v>
      </x:c>
      <x:c r="L74" s="20" t="str">
        <x:v>YES</x:v>
      </x:c>
    </x:row>
    <x:row r="75">
      <x:c r="A75" s="20" t="str">
        <x:v>LEG-015_NUM</x:v>
      </x:c>
      <x:c r="B75" s="20" t="str">
        <x:v>LEG-015</x:v>
      </x:c>
      <x:c r="C75" s="20" t="str">
        <x:v>Jurídico</x:v>
      </x:c>
      <x:c r="D75" s="20" t="str">
        <x:v>Procesos internos</x:v>
      </x:c>
      <x:c r="E75" s="20" t="str">
        <x:v>Proyectos OSC con reglas de operación aplicables antes de aprobación</x:v>
      </x:c>
      <x:c r="F75" s="20" t="str">
        <x:v>NUM</x:v>
      </x:c>
      <x:c r="G75" s="20" t="str">
        <x:v>Proyectos OSC evaluados bajo reglas de operación vigentes</x:v>
      </x:c>
      <x:c r="H75" s="20" t="str">
        <x:v># / base</x:v>
      </x:c>
      <x:c r="I75" s="20" t="str">
        <x:v>RATIO_PCT</x:v>
      </x:c>
      <x:c r="J75" s="20" t="str">
        <x:v>100%</x:v>
      </x:c>
      <x:c r="K75" s="20" t="str">
        <x:v>aggregated_measure</x:v>
      </x:c>
      <x:c r="L75" s="20" t="str">
        <x:v>YES</x:v>
      </x:c>
    </x:row>
    <x:row r="76">
      <x:c r="A76" s="20" t="str">
        <x:v>LEG-015_DEN</x:v>
      </x:c>
      <x:c r="B76" s="20" t="str">
        <x:v>LEG-015</x:v>
      </x:c>
      <x:c r="C76" s="20" t="str">
        <x:v>Jurídico</x:v>
      </x:c>
      <x:c r="D76" s="20" t="str">
        <x:v>Procesos internos</x:v>
      </x:c>
      <x:c r="E76" s="20" t="str">
        <x:v>Proyectos OSC con reglas de operación aplicables antes de aprobación</x:v>
      </x:c>
      <x:c r="F76" s="20" t="str">
        <x:v>DEN</x:v>
      </x:c>
      <x:c r="G76" s="20" t="str">
        <x:v>proyectos OSC evaluados</x:v>
      </x:c>
      <x:c r="H76" s="20" t="str">
        <x:v># / base</x:v>
      </x:c>
      <x:c r="I76" s="20" t="str">
        <x:v>RATIO_PCT</x:v>
      </x:c>
      <x:c r="J76" s="20" t="str">
        <x:v>100%</x:v>
      </x:c>
      <x:c r="K76" s="20" t="str">
        <x:v>aggregated_measure</x:v>
      </x:c>
      <x:c r="L76" s="20" t="str">
        <x:v>YES</x:v>
      </x:c>
    </x:row>
    <x:row r="77">
      <x:c r="A77" s="20" t="str">
        <x:v>LEG-016_NUM</x:v>
      </x:c>
      <x:c r="B77" s="20" t="str">
        <x:v>LEG-016</x:v>
      </x:c>
      <x:c r="C77" s="20" t="str">
        <x:v>Jurídico</x:v>
      </x:c>
      <x:c r="D77" s="20" t="str">
        <x:v>Procesos internos</x:v>
      </x:c>
      <x:c r="E77" s="20" t="str">
        <x:v>Donativos a OSC con convenio formalizado previo al desembolso</x:v>
      </x:c>
      <x:c r="F77" s="20" t="str">
        <x:v>NUM</x:v>
      </x:c>
      <x:c r="G77" s="20" t="str">
        <x:v>Donativos/proyectos con convenio firmado antes del desembolso</x:v>
      </x:c>
      <x:c r="H77" s="20" t="str">
        <x:v>Moneda</x:v>
      </x:c>
      <x:c r="I77" s="20" t="str">
        <x:v>RATIO_PCT</x:v>
      </x:c>
      <x:c r="J77" s="20" t="str">
        <x:v>100% (4 proyectos previstos)</x:v>
      </x:c>
      <x:c r="K77" s="20" t="str">
        <x:v>donation_amount</x:v>
      </x:c>
      <x:c r="L77" s="20" t="str">
        <x:v>YES</x:v>
      </x:c>
    </x:row>
    <x:row r="78">
      <x:c r="A78" s="20" t="str">
        <x:v>LEG-016_DEN</x:v>
      </x:c>
      <x:c r="B78" s="20" t="str">
        <x:v>LEG-016</x:v>
      </x:c>
      <x:c r="C78" s="20" t="str">
        <x:v>Jurídico</x:v>
      </x:c>
      <x:c r="D78" s="20" t="str">
        <x:v>Procesos internos</x:v>
      </x:c>
      <x:c r="E78" s="20" t="str">
        <x:v>Donativos a OSC con convenio formalizado previo al desembolso</x:v>
      </x:c>
      <x:c r="F78" s="20" t="str">
        <x:v>DEN</x:v>
      </x:c>
      <x:c r="G78" s="20" t="str">
        <x:v>donativos/proyectos aprobados</x:v>
      </x:c>
      <x:c r="H78" s="20" t="str">
        <x:v>Moneda</x:v>
      </x:c>
      <x:c r="I78" s="20" t="str">
        <x:v>RATIO_PCT</x:v>
      </x:c>
      <x:c r="J78" s="20" t="str">
        <x:v>100% (4 proyectos previstos)</x:v>
      </x:c>
      <x:c r="K78" s="20" t="str">
        <x:v>donation_amount</x:v>
      </x:c>
      <x:c r="L78" s="20" t="str">
        <x:v>YES</x:v>
      </x:c>
    </x:row>
    <x:row r="79">
      <x:c r="A79" s="20" t="str">
        <x:v>LEG-017_NUM</x:v>
      </x:c>
      <x:c r="B79" s="20" t="str">
        <x:v>LEG-017</x:v>
      </x:c>
      <x:c r="C79" s="20" t="str">
        <x:v>Jurídico</x:v>
      </x:c>
      <x:c r="D79" s="20" t="str">
        <x:v>Procesos internos</x:v>
      </x:c>
      <x:c r="E79" s="20" t="str">
        <x:v>Proyectos OSC con cierre operativo-financiero validado</x:v>
      </x:c>
      <x:c r="F79" s="20" t="str">
        <x:v>NUM</x:v>
      </x:c>
      <x:c r="G79" s="20" t="str">
        <x:v>Proyectos apoyados con cierre operativo y financiero validado</x:v>
      </x:c>
      <x:c r="H79" s="20" t="str">
        <x:v># / base</x:v>
      </x:c>
      <x:c r="I79" s="20" t="str">
        <x:v>RATIO_PCT</x:v>
      </x:c>
      <x:c r="J79" s="20" t="str">
        <x:v>100%</x:v>
      </x:c>
      <x:c r="K79" s="20" t="str">
        <x:v>aggregated_measure</x:v>
      </x:c>
      <x:c r="L79" s="20" t="str">
        <x:v>YES</x:v>
      </x:c>
    </x:row>
    <x:row r="80">
      <x:c r="A80" s="20" t="str">
        <x:v>LEG-017_DEN</x:v>
      </x:c>
      <x:c r="B80" s="20" t="str">
        <x:v>LEG-017</x:v>
      </x:c>
      <x:c r="C80" s="20" t="str">
        <x:v>Jurídico</x:v>
      </x:c>
      <x:c r="D80" s="20" t="str">
        <x:v>Procesos internos</x:v>
      </x:c>
      <x:c r="E80" s="20" t="str">
        <x:v>Proyectos OSC con cierre operativo-financiero validado</x:v>
      </x:c>
      <x:c r="F80" s="20" t="str">
        <x:v>DEN</x:v>
      </x:c>
      <x:c r="G80" s="20" t="str">
        <x:v>proyectos apoyados concluidos</x:v>
      </x:c>
      <x:c r="H80" s="20" t="str">
        <x:v># / base</x:v>
      </x:c>
      <x:c r="I80" s="20" t="str">
        <x:v>RATIO_PCT</x:v>
      </x:c>
      <x:c r="J80" s="20" t="str">
        <x:v>100%</x:v>
      </x:c>
      <x:c r="K80" s="20" t="str">
        <x:v>aggregated_measure</x:v>
      </x:c>
      <x:c r="L80" s="20" t="str">
        <x:v>YES</x:v>
      </x:c>
    </x:row>
    <x:row r="81">
      <x:c r="A81" s="20" t="str">
        <x:v>FND-001_VAL</x:v>
      </x:c>
      <x:c r="B81" s="20" t="str">
        <x:v>FND-001</x:v>
      </x:c>
      <x:c r="C81" s="20" t="str">
        <x:v>Procuración de Fondos</x:v>
      </x:c>
      <x:c r="D81" s="20" t="str">
        <x:v>Sostenibilidad financiera</x:v>
      </x:c>
      <x:c r="E81" s="20" t="str">
        <x:v>Fondos recaudados — Tu Donativo x2 (Chivas)</x:v>
      </x:c>
      <x:c r="F81" s="20" t="str">
        <x:v>VAL</x:v>
      </x:c>
      <x:c r="G81" s="20" t="str">
        <x:v>Suma de donativos efectivamente recibidos atribuibles a la campaña</x:v>
      </x:c>
      <x:c r="H81" s="20" t="str">
        <x:v>MXN</x:v>
      </x:c>
      <x:c r="I81" s="20" t="str">
        <x:v>VALUE</x:v>
      </x:c>
      <x:c r="J81" s="20" t="str">
        <x:v>≥$40,000 MXN y no menor a la media 2025</x:v>
      </x:c>
      <x:c r="K81" s="20" t="str">
        <x:v>donation_amount</x:v>
      </x:c>
      <x:c r="L81" s="20" t="str">
        <x:v>YES</x:v>
      </x:c>
    </x:row>
    <x:row r="82">
      <x:c r="A82" s="20" t="str">
        <x:v>FND-002_VAL</x:v>
      </x:c>
      <x:c r="B82" s="20" t="str">
        <x:v>FND-002</x:v>
      </x:c>
      <x:c r="C82" s="20" t="str">
        <x:v>Procuración de Fondos</x:v>
      </x:c>
      <x:c r="D82" s="20" t="str">
        <x:v>Sostenibilidad financiera</x:v>
      </x:c>
      <x:c r="E82" s="20" t="str">
        <x:v>Fondos recaudados — ¿Cuánto vale una sonrisa? México</x:v>
      </x:c>
      <x:c r="F82" s="20" t="str">
        <x:v>VAL</x:v>
      </x:c>
      <x:c r="G82" s="20" t="str">
        <x:v>Suma de donativos efectivamente recibidos en la campaña México</x:v>
      </x:c>
      <x:c r="H82" s="20" t="str">
        <x:v>MXN</x:v>
      </x:c>
      <x:c r="I82" s="20" t="str">
        <x:v>VALUE</x:v>
      </x:c>
      <x:c r="J82" s="20" t="str">
        <x:v>≥$360,000 MXN y ≥20% vs 2025</x:v>
      </x:c>
      <x:c r="K82" s="20" t="str">
        <x:v>donation_amount</x:v>
      </x:c>
      <x:c r="L82" s="20" t="str">
        <x:v>YES</x:v>
      </x:c>
    </x:row>
    <x:row r="83">
      <x:c r="A83" s="20" t="str">
        <x:v>FND-003_VAL</x:v>
      </x:c>
      <x:c r="B83" s="20" t="str">
        <x:v>FND-003</x:v>
      </x:c>
      <x:c r="C83" s="20" t="str">
        <x:v>Procuración de Fondos</x:v>
      </x:c>
      <x:c r="D83" s="20" t="str">
        <x:v>Sostenibilidad financiera</x:v>
      </x:c>
      <x:c r="E83" s="20" t="str">
        <x:v>Fondos recaudados — ¿Cuánto vale una sonrisa? USA</x:v>
      </x:c>
      <x:c r="F83" s="20" t="str">
        <x:v>VAL</x:v>
      </x:c>
      <x:c r="G83" s="20" t="str">
        <x:v>Suma de donativos efectivamente recibidos en la campaña USA</x:v>
      </x:c>
      <x:c r="H83" s="20" t="str">
        <x:v>USD</x:v>
      </x:c>
      <x:c r="I83" s="20" t="str">
        <x:v>VALUE</x:v>
      </x:c>
      <x:c r="J83" s="20" t="str">
        <x:v>≥$30,000 USD y ≥20% vs 2025</x:v>
      </x:c>
      <x:c r="K83" s="20" t="str">
        <x:v>donation_amount</x:v>
      </x:c>
      <x:c r="L83" s="20" t="str">
        <x:v>YES</x:v>
      </x:c>
    </x:row>
    <x:row r="84">
      <x:c r="A84" s="20" t="str">
        <x:v>FND-004_VAL</x:v>
      </x:c>
      <x:c r="B84" s="20" t="str">
        <x:v>FND-004</x:v>
      </x:c>
      <x:c r="C84" s="20" t="str">
        <x:v>Procuración de Fondos</x:v>
      </x:c>
      <x:c r="D84" s="20" t="str">
        <x:v>Sostenibilidad financiera</x:v>
      </x:c>
      <x:c r="E84" s="20" t="str">
        <x:v>Fondos recaudados — ¿Cuánto vale una sonrisa? Perú</x:v>
      </x:c>
      <x:c r="F84" s="20" t="str">
        <x:v>VAL</x:v>
      </x:c>
      <x:c r="G84" s="20" t="str">
        <x:v>Suma de donativos efectivamente recibidos en la campaña Perú</x:v>
      </x:c>
      <x:c r="H84" s="20" t="str">
        <x:v>USD</x:v>
      </x:c>
      <x:c r="I84" s="20" t="str">
        <x:v>VALUE</x:v>
      </x:c>
      <x:c r="J84" s="20" t="str">
        <x:v>≥$3,000 USD y ≥20% vs 2025</x:v>
      </x:c>
      <x:c r="K84" s="20" t="str">
        <x:v>donation_amount</x:v>
      </x:c>
      <x:c r="L84" s="20" t="str">
        <x:v>YES</x:v>
      </x:c>
    </x:row>
    <x:row r="85">
      <x:c r="A85" s="20" t="str">
        <x:v>FND-005_NUM</x:v>
      </x:c>
      <x:c r="B85" s="20" t="str">
        <x:v>FND-005</x:v>
      </x:c>
      <x:c r="C85" s="20" t="str">
        <x:v>Procuración de Fondos</x:v>
      </x:c>
      <x:c r="D85" s="20" t="str">
        <x:v>Sostenibilidad financiera</x:v>
      </x:c>
      <x:c r="E85" s="20" t="str">
        <x:v>Sell-through de artículos Mes de Fundación</x:v>
      </x:c>
      <x:c r="F85" s="20" t="str">
        <x:v>NUM</x:v>
      </x:c>
      <x:c r="G85" s="20" t="str">
        <x:v>Unidades vendidas</x:v>
      </x:c>
      <x:c r="H85" s="20" t="str">
        <x:v># / base</x:v>
      </x:c>
      <x:c r="I85" s="20" t="str">
        <x:v>RATIO_PCT</x:v>
      </x:c>
      <x:c r="J85" s="20" t="str">
        <x:v>100%</x:v>
      </x:c>
      <x:c r="K85" s="20" t="str">
        <x:v>aggregated_measure</x:v>
      </x:c>
      <x:c r="L85" s="20" t="str">
        <x:v>YES</x:v>
      </x:c>
    </x:row>
    <x:row r="86">
      <x:c r="A86" s="20" t="str">
        <x:v>FND-005_DEN</x:v>
      </x:c>
      <x:c r="B86" s="20" t="str">
        <x:v>FND-005</x:v>
      </x:c>
      <x:c r="C86" s="20" t="str">
        <x:v>Procuración de Fondos</x:v>
      </x:c>
      <x:c r="D86" s="20" t="str">
        <x:v>Sostenibilidad financiera</x:v>
      </x:c>
      <x:c r="E86" s="20" t="str">
        <x:v>Sell-through de artículos Mes de Fundación</x:v>
      </x:c>
      <x:c r="F86" s="20" t="str">
        <x:v>DEN</x:v>
      </x:c>
      <x:c r="G86" s="20" t="str">
        <x:v>unidades producidas disponibles para venta</x:v>
      </x:c>
      <x:c r="H86" s="20" t="str">
        <x:v># / base</x:v>
      </x:c>
      <x:c r="I86" s="20" t="str">
        <x:v>RATIO_PCT</x:v>
      </x:c>
      <x:c r="J86" s="20" t="str">
        <x:v>100%</x:v>
      </x:c>
      <x:c r="K86" s="20" t="str">
        <x:v>aggregated_measure</x:v>
      </x:c>
      <x:c r="L86" s="20" t="str">
        <x:v>YES</x:v>
      </x:c>
    </x:row>
    <x:row r="87">
      <x:c r="A87" s="20" t="str">
        <x:v>FND-006_VAL</x:v>
      </x:c>
      <x:c r="B87" s="20" t="str">
        <x:v>FND-006</x:v>
      </x:c>
      <x:c r="C87" s="20" t="str">
        <x:v>Procuración de Fondos</x:v>
      </x:c>
      <x:c r="D87" s="20" t="str">
        <x:v>Sostenibilidad financiera</x:v>
      </x:c>
      <x:c r="E87" s="20" t="str">
        <x:v>Nuevos donantes recurrentes — USA</x:v>
      </x:c>
      <x:c r="F87" s="20" t="str">
        <x:v>VAL</x:v>
      </x:c>
      <x:c r="G87" s="20" t="str">
        <x:v>Número de personas que inician una donación recurrente activa en USA durante 2026</x:v>
      </x:c>
      <x:c r="H87" s="20" t="str">
        <x:v>#</x:v>
      </x:c>
      <x:c r="I87" s="20" t="str">
        <x:v>VALUE</x:v>
      </x:c>
      <x:c r="J87" s="20" t="str">
        <x:v>≥5 nuevos y ≥71% vs baseline 2025</x:v>
      </x:c>
      <x:c r="K87" s="20" t="str">
        <x:v>aggregated_measure</x:v>
      </x:c>
      <x:c r="L87" s="20" t="str">
        <x:v>YES</x:v>
      </x:c>
    </x:row>
    <x:row r="88">
      <x:c r="A88" s="20" t="str">
        <x:v>FND-007_VAL</x:v>
      </x:c>
      <x:c r="B88" s="20" t="str">
        <x:v>FND-007</x:v>
      </x:c>
      <x:c r="C88" s="20" t="str">
        <x:v>Procuración de Fondos</x:v>
      </x:c>
      <x:c r="D88" s="20" t="str">
        <x:v>Sostenibilidad financiera</x:v>
      </x:c>
      <x:c r="E88" s="20" t="str">
        <x:v>Nuevos donantes recurrentes — México</x:v>
      </x:c>
      <x:c r="F88" s="20" t="str">
        <x:v>VAL</x:v>
      </x:c>
      <x:c r="G88" s="20" t="str">
        <x:v>Número de personas que inician una donación recurrente activa en México durante 2026</x:v>
      </x:c>
      <x:c r="H88" s="20" t="str">
        <x:v>#</x:v>
      </x:c>
      <x:c r="I88" s="20" t="str">
        <x:v>VALUE</x:v>
      </x:c>
      <x:c r="J88" s="20" t="str">
        <x:v>≥30 nuevos y ≥15% vs 2025</x:v>
      </x:c>
      <x:c r="K88" s="20" t="str">
        <x:v>aggregated_measure</x:v>
      </x:c>
      <x:c r="L88" s="20" t="str">
        <x:v>YES</x:v>
      </x:c>
    </x:row>
    <x:row r="89">
      <x:c r="A89" s="20" t="str">
        <x:v>FND-008_VAL</x:v>
      </x:c>
      <x:c r="B89" s="20" t="str">
        <x:v>FND-008</x:v>
      </x:c>
      <x:c r="C89" s="20" t="str">
        <x:v>Procuración de Fondos</x:v>
      </x:c>
      <x:c r="D89" s="20" t="str">
        <x:v>Sostenibilidad financiera</x:v>
      </x:c>
      <x:c r="E89" s="20" t="str">
        <x:v>Nuevos donantes recurrentes — Perú</x:v>
      </x:c>
      <x:c r="F89" s="20" t="str">
        <x:v>VAL</x:v>
      </x:c>
      <x:c r="G89" s="20" t="str">
        <x:v>Nuevos donantes con recurrencia activa y primer cobro exitoso</x:v>
      </x:c>
      <x:c r="H89" s="20" t="str">
        <x:v>#</x:v>
      </x:c>
      <x:c r="I89" s="20" t="str">
        <x:v>VALUE</x:v>
      </x:c>
      <x:c r="J89" s="20" t="str">
        <x:v>≥8</x:v>
      </x:c>
      <x:c r="K89" s="20" t="str">
        <x:v>donor_count</x:v>
      </x:c>
      <x:c r="L89" s="20" t="str">
        <x:v>YES</x:v>
      </x:c>
    </x:row>
    <x:row r="90">
      <x:c r="A90" s="20" t="str">
        <x:v>FND-009_VAL</x:v>
      </x:c>
      <x:c r="B90" s="20" t="str">
        <x:v>FND-009</x:v>
      </x:c>
      <x:c r="C90" s="20" t="str">
        <x:v>Procuración de Fondos</x:v>
      </x:c>
      <x:c r="D90" s="20" t="str">
        <x:v>Sostenibilidad financiera</x:v>
      </x:c>
      <x:c r="E90" s="20" t="str">
        <x:v>Nuevos donantes recurrentes — Colombia</x:v>
      </x:c>
      <x:c r="F90" s="20" t="str">
        <x:v>VAL</x:v>
      </x:c>
      <x:c r="G90" s="20" t="str">
        <x:v>Nuevos donantes con recurrencia activa y primer cobro exitoso</x:v>
      </x:c>
      <x:c r="H90" s="20" t="str">
        <x:v>#</x:v>
      </x:c>
      <x:c r="I90" s="20" t="str">
        <x:v>VALUE</x:v>
      </x:c>
      <x:c r="J90" s="20" t="str">
        <x:v>≥5</x:v>
      </x:c>
      <x:c r="K90" s="20" t="str">
        <x:v>donor_count</x:v>
      </x:c>
      <x:c r="L90" s="20" t="str">
        <x:v>YES</x:v>
      </x:c>
    </x:row>
    <x:row r="91">
      <x:c r="A91" s="20" t="str">
        <x:v>FND-010_VAL</x:v>
      </x:c>
      <x:c r="B91" s="20" t="str">
        <x:v>FND-010</x:v>
      </x:c>
      <x:c r="C91" s="20" t="str">
        <x:v>Procuración de Fondos</x:v>
      </x:c>
      <x:c r="D91" s="20" t="str">
        <x:v>Beneficiarios y grupos de interés</x:v>
      </x:c>
      <x:c r="E91" s="20" t="str">
        <x:v>Participación de staff en voluntariado corporativo</x:v>
      </x:c>
      <x:c r="F91" s="20" t="str">
        <x:v>VAL</x:v>
      </x:c>
      <x:c r="G91" s="20" t="str">
        <x:v>Número de voluntarios staff participantes por evento</x:v>
      </x:c>
      <x:c r="H91" s="20" t="str">
        <x:v>#</x:v>
      </x:c>
      <x:c r="I91" s="20" t="str">
        <x:v>VALUE</x:v>
      </x:c>
      <x:c r="J91" s="20" t="str">
        <x:v>≥40 por evento y ≥25% vs 2025</x:v>
      </x:c>
      <x:c r="K91" s="20" t="str">
        <x:v>participant_count</x:v>
      </x:c>
      <x:c r="L91" s="20" t="str">
        <x:v>YES</x:v>
      </x:c>
    </x:row>
    <x:row r="92">
      <x:c r="A92" s="20" t="str">
        <x:v>FND-011_NUM</x:v>
      </x:c>
      <x:c r="B92" s="20" t="str">
        <x:v>FND-011</x:v>
      </x:c>
      <x:c r="C92" s="20" t="str">
        <x:v>Procuración de Fondos</x:v>
      </x:c>
      <x:c r="D92" s="20" t="str">
        <x:v>Sostenibilidad financiera</x:v>
      </x:c>
      <x:c r="E92" s="20" t="str">
        <x:v>Conversión de voluntarios staff a donantes recurrentes</x:v>
      </x:c>
      <x:c r="F92" s="20" t="str">
        <x:v>NUM</x:v>
      </x:c>
      <x:c r="G92" s="20" t="str">
        <x:v>Nuevos donantes recurrentes atribuibles al voluntariado</x:v>
      </x:c>
      <x:c r="H92" s="20" t="str">
        <x:v># / base</x:v>
      </x:c>
      <x:c r="I92" s="20" t="str">
        <x:v>RATIO_PCT</x:v>
      </x:c>
      <x:c r="J92" s="20" t="str">
        <x:v>≥3 nuevos donantes por evento y mejora de ≥4% vs baseline</x:v>
      </x:c>
      <x:c r="K92" s="20" t="str">
        <x:v>donor_count</x:v>
      </x:c>
      <x:c r="L92" s="20" t="str">
        <x:v>YES</x:v>
      </x:c>
    </x:row>
    <x:row r="93">
      <x:c r="A93" s="20" t="str">
        <x:v>FND-011_DEN</x:v>
      </x:c>
      <x:c r="B93" s="20" t="str">
        <x:v>FND-011</x:v>
      </x:c>
      <x:c r="C93" s="20" t="str">
        <x:v>Procuración de Fondos</x:v>
      </x:c>
      <x:c r="D93" s="20" t="str">
        <x:v>Sostenibilidad financiera</x:v>
      </x:c>
      <x:c r="E93" s="20" t="str">
        <x:v>Conversión de voluntarios staff a donantes recurrentes</x:v>
      </x:c>
      <x:c r="F93" s="20" t="str">
        <x:v>DEN</x:v>
      </x:c>
      <x:c r="G93" s="20" t="str">
        <x:v>participantes elegibles del voluntariado</x:v>
      </x:c>
      <x:c r="H93" s="20" t="str">
        <x:v># / base</x:v>
      </x:c>
      <x:c r="I93" s="20" t="str">
        <x:v>RATIO_PCT</x:v>
      </x:c>
      <x:c r="J93" s="20" t="str">
        <x:v>≥3 nuevos donantes por evento y mejora de ≥4% vs baseline</x:v>
      </x:c>
      <x:c r="K93" s="20" t="str">
        <x:v>participant_count</x:v>
      </x:c>
      <x:c r="L93" s="20" t="str">
        <x:v>YES</x:v>
      </x:c>
    </x:row>
    <x:row r="94">
      <x:c r="A94" s="20" t="str">
        <x:v>FND-012_VAL</x:v>
      </x:c>
      <x:c r="B94" s="20" t="str">
        <x:v>FND-012</x:v>
      </x:c>
      <x:c r="C94" s="20" t="str">
        <x:v>Procuración de Fondos</x:v>
      </x:c>
      <x:c r="D94" s="20" t="str">
        <x:v>Beneficiarios y grupos de interés</x:v>
      </x:c>
      <x:c r="E94" s="20" t="str">
        <x:v>Participación de empresarios EOS en voluntariado</x:v>
      </x:c>
      <x:c r="F94" s="20" t="str">
        <x:v>VAL</x:v>
      </x:c>
      <x:c r="G94" s="20" t="str">
        <x:v>Número de EOS participantes en la actividad de voluntariado</x:v>
      </x:c>
      <x:c r="H94" s="20" t="str">
        <x:v>#</x:v>
      </x:c>
      <x:c r="I94" s="20" t="str">
        <x:v>VALUE</x:v>
      </x:c>
      <x:c r="J94" s="20" t="str">
        <x:v>≥40 y ≥15% vs 2025</x:v>
      </x:c>
      <x:c r="K94" s="20" t="str">
        <x:v>participant_count</x:v>
      </x:c>
      <x:c r="L94" s="20" t="str">
        <x:v>YES</x:v>
      </x:c>
    </x:row>
    <x:row r="95">
      <x:c r="A95" s="20" t="str">
        <x:v>FND-013_VAL</x:v>
      </x:c>
      <x:c r="B95" s="20" t="str">
        <x:v>FND-013</x:v>
      </x:c>
      <x:c r="C95" s="20" t="str">
        <x:v>Procuración de Fondos</x:v>
      </x:c>
      <x:c r="D95" s="20" t="str">
        <x:v>Sostenibilidad financiera</x:v>
      </x:c>
      <x:c r="E95" s="20" t="str">
        <x:v>Nuevos donantes recurrentes EOS — Perú</x:v>
      </x:c>
      <x:c r="F95" s="20" t="str">
        <x:v>VAL</x:v>
      </x:c>
      <x:c r="G95" s="20" t="str">
        <x:v>Nuevos donantes recurrentes en Perú atribuibles a la activación EOS</x:v>
      </x:c>
      <x:c r="H95" s="20" t="str">
        <x:v>#</x:v>
      </x:c>
      <x:c r="I95" s="20" t="str">
        <x:v>VALUE</x:v>
      </x:c>
      <x:c r="J95" s="20" t="str">
        <x:v>≥2</x:v>
      </x:c>
      <x:c r="K95" s="20" t="str">
        <x:v>donor_count</x:v>
      </x:c>
      <x:c r="L95" s="20" t="str">
        <x:v>YES</x:v>
      </x:c>
    </x:row>
    <x:row r="96">
      <x:c r="A96" s="20" t="str">
        <x:v>FND-014_VAL</x:v>
      </x:c>
      <x:c r="B96" s="20" t="str">
        <x:v>FND-014</x:v>
      </x:c>
      <x:c r="C96" s="20" t="str">
        <x:v>Procuración de Fondos</x:v>
      </x:c>
      <x:c r="D96" s="20" t="str">
        <x:v>Sostenibilidad financiera</x:v>
      </x:c>
      <x:c r="E96" s="20" t="str">
        <x:v>Nuevos donantes recurrentes EOS — Colombia</x:v>
      </x:c>
      <x:c r="F96" s="20" t="str">
        <x:v>VAL</x:v>
      </x:c>
      <x:c r="G96" s="20" t="str">
        <x:v>Nuevos donantes recurrentes en Colombia atribuibles a la activación EOS</x:v>
      </x:c>
      <x:c r="H96" s="20" t="str">
        <x:v>#</x:v>
      </x:c>
      <x:c r="I96" s="20" t="str">
        <x:v>VALUE</x:v>
      </x:c>
      <x:c r="J96" s="20" t="str">
        <x:v>≥2</x:v>
      </x:c>
      <x:c r="K96" s="20" t="str">
        <x:v>donor_count</x:v>
      </x:c>
      <x:c r="L96" s="20" t="str">
        <x:v>YES</x:v>
      </x:c>
    </x:row>
    <x:row r="97">
      <x:c r="A97" s="20" t="str">
        <x:v>FND-015_VAL</x:v>
      </x:c>
      <x:c r="B97" s="20" t="str">
        <x:v>FND-015</x:v>
      </x:c>
      <x:c r="C97" s="20" t="str">
        <x:v>Procuración de Fondos</x:v>
      </x:c>
      <x:c r="D97" s="20" t="str">
        <x:v>Sostenibilidad financiera</x:v>
      </x:c>
      <x:c r="E97" s="20" t="str">
        <x:v>Nuevos donantes recurrentes EOS — México</x:v>
      </x:c>
      <x:c r="F97" s="20" t="str">
        <x:v>VAL</x:v>
      </x:c>
      <x:c r="G97" s="20" t="str">
        <x:v>Nuevos donantes recurrentes en México atribuibles a activación EOS</x:v>
      </x:c>
      <x:c r="H97" s="20" t="str">
        <x:v>#</x:v>
      </x:c>
      <x:c r="I97" s="20" t="str">
        <x:v>VALUE</x:v>
      </x:c>
      <x:c r="J97" s="20" t="str">
        <x:v>≥5 y ≥66.6% vs baseline</x:v>
      </x:c>
      <x:c r="K97" s="20" t="str">
        <x:v>donor_count</x:v>
      </x:c>
      <x:c r="L97" s="20" t="str">
        <x:v>YES</x:v>
      </x:c>
    </x:row>
    <x:row r="98">
      <x:c r="A98" s="20" t="str">
        <x:v>FND-016_VAL</x:v>
      </x:c>
      <x:c r="B98" s="20" t="str">
        <x:v>FND-016</x:v>
      </x:c>
      <x:c r="C98" s="20" t="str">
        <x:v>Procuración de Fondos</x:v>
      </x:c>
      <x:c r="D98" s="20" t="str">
        <x:v>Procesos internos</x:v>
      </x:c>
      <x:c r="E98" s="20" t="str">
        <x:v>Nuevas alianzas estratégicas activas por país</x:v>
      </x:c>
      <x:c r="F98" s="20" t="str">
        <x:v>VAL</x:v>
      </x:c>
      <x:c r="G98" s="20" t="str">
        <x:v>Número de alianzas nuevas formalizadas con plan de activación y responsable</x:v>
      </x:c>
      <x:c r="H98" s="20" t="str">
        <x:v>#</x:v>
      </x:c>
      <x:c r="I98" s="20" t="str">
        <x:v>VALUE</x:v>
      </x:c>
      <x:c r="J98" s="20" t="str">
        <x:v>4 (1 por México, Colombia, Perú y USA)</x:v>
      </x:c>
      <x:c r="K98" s="20" t="str">
        <x:v>alliance_count</x:v>
      </x:c>
      <x:c r="L98" s="20" t="str">
        <x:v>YES</x:v>
      </x:c>
    </x:row>
    <x:row r="99">
      <x:c r="A99" s="20" t="str">
        <x:v>FND-017_VAL</x:v>
      </x:c>
      <x:c r="B99" s="20" t="str">
        <x:v>FND-017</x:v>
      </x:c>
      <x:c r="C99" s="20" t="str">
        <x:v>Procuración de Fondos</x:v>
      </x:c>
      <x:c r="D99" s="20" t="str">
        <x:v>Sostenibilidad financiera</x:v>
      </x:c>
      <x:c r="E99" s="20" t="str">
        <x:v>Fondos recaudados — Subasta Omnilife</x:v>
      </x:c>
      <x:c r="F99" s="20" t="str">
        <x:v>VAL</x:v>
      </x:c>
      <x:c r="G99" s="20" t="str">
        <x:v>Suma de fondos efectivamente recibidos por la subasta</x:v>
      </x:c>
      <x:c r="H99" s="20" t="str">
        <x:v>MXN</x:v>
      </x:c>
      <x:c r="I99" s="20" t="str">
        <x:v>VALUE</x:v>
      </x:c>
      <x:c r="J99" s="20" t="str">
        <x:v>≥$1,600,000 MXN y ≥7% vs referencia anterior</x:v>
      </x:c>
      <x:c r="K99" s="20" t="str">
        <x:v>amount_received</x:v>
      </x:c>
      <x:c r="L99" s="20" t="str">
        <x:v>YES</x:v>
      </x:c>
    </x:row>
    <x:row r="100">
      <x:c r="A100" s="20" t="str">
        <x:v>MKT-001_NUM</x:v>
      </x:c>
      <x:c r="B100" s="20" t="str">
        <x:v>MKT-001</x:v>
      </x:c>
      <x:c r="C100" s="20" t="str">
        <x:v>Marketing y Comunicación</x:v>
      </x:c>
      <x:c r="D100" s="20" t="str">
        <x:v>Capacidades y tecnología</x:v>
      </x:c>
      <x:c r="E100" s="20" t="str">
        <x:v>Cumplimiento del manual/protocolo de comunicación global</x:v>
      </x:c>
      <x:c r="F100" s="20" t="str">
        <x:v>NUM</x:v>
      </x:c>
      <x:c r="G100" s="20" t="str">
        <x:v>Piezas/campañas auditadas que cumplen lineamientos vigentes</x:v>
      </x:c>
      <x:c r="H100" s="20" t="str">
        <x:v># / base</x:v>
      </x:c>
      <x:c r="I100" s="20" t="str">
        <x:v>RATIO_PCT</x:v>
      </x:c>
      <x:c r="J100" s="20" t="str">
        <x:v>≥95%</x:v>
      </x:c>
      <x:c r="K100" s="20" t="str">
        <x:v>campaign_count_or_amount</x:v>
      </x:c>
      <x:c r="L100" s="20" t="str">
        <x:v>YES</x:v>
      </x:c>
    </x:row>
    <x:row r="101">
      <x:c r="A101" s="20" t="str">
        <x:v>MKT-001_DEN</x:v>
      </x:c>
      <x:c r="B101" s="20" t="str">
        <x:v>MKT-001</x:v>
      </x:c>
      <x:c r="C101" s="20" t="str">
        <x:v>Marketing y Comunicación</x:v>
      </x:c>
      <x:c r="D101" s="20" t="str">
        <x:v>Capacidades y tecnología</x:v>
      </x:c>
      <x:c r="E101" s="20" t="str">
        <x:v>Cumplimiento del manual/protocolo de comunicación global</x:v>
      </x:c>
      <x:c r="F101" s="20" t="str">
        <x:v>DEN</x:v>
      </x:c>
      <x:c r="G101" s="20" t="str">
        <x:v>piezas/campañas auditadas</x:v>
      </x:c>
      <x:c r="H101" s="20" t="str">
        <x:v># / base</x:v>
      </x:c>
      <x:c r="I101" s="20" t="str">
        <x:v>RATIO_PCT</x:v>
      </x:c>
      <x:c r="J101" s="20" t="str">
        <x:v>≥95%</x:v>
      </x:c>
      <x:c r="K101" s="20" t="str">
        <x:v>campaign_count_or_amount</x:v>
      </x:c>
      <x:c r="L101" s="20" t="str">
        <x:v>YES</x:v>
      </x:c>
    </x:row>
    <x:row r="102">
      <x:c r="A102" s="20" t="str">
        <x:v>MKT-002_NUM</x:v>
      </x:c>
      <x:c r="B102" s="20" t="str">
        <x:v>MKT-002</x:v>
      </x:c>
      <x:c r="C102" s="20" t="str">
        <x:v>Marketing y Comunicación</x:v>
      </x:c>
      <x:c r="D102" s="20" t="str">
        <x:v>Procesos internos</x:v>
      </x:c>
      <x:c r="E102" s="20" t="str">
        <x:v>Acciones de mejora derivadas de analítica implementadas en plazo</x:v>
      </x:c>
      <x:c r="F102" s="20" t="str">
        <x:v>NUM</x:v>
      </x:c>
      <x:c r="G102" s="20" t="str">
        <x:v>Acciones de mejora cerradas dentro del plazo</x:v>
      </x:c>
      <x:c r="H102" s="20" t="str">
        <x:v># / base</x:v>
      </x:c>
      <x:c r="I102" s="20" t="str">
        <x:v>RATIO_PCT</x:v>
      </x:c>
      <x:c r="J102" s="20" t="str">
        <x:v>≥80%</x:v>
      </x:c>
      <x:c r="K102" s="20" t="str">
        <x:v>action_count</x:v>
      </x:c>
      <x:c r="L102" s="20" t="str">
        <x:v>YES</x:v>
      </x:c>
    </x:row>
    <x:row r="103">
      <x:c r="A103" s="20" t="str">
        <x:v>MKT-002_DEN</x:v>
      </x:c>
      <x:c r="B103" s="20" t="str">
        <x:v>MKT-002</x:v>
      </x:c>
      <x:c r="C103" s="20" t="str">
        <x:v>Marketing y Comunicación</x:v>
      </x:c>
      <x:c r="D103" s="20" t="str">
        <x:v>Procesos internos</x:v>
      </x:c>
      <x:c r="E103" s="20" t="str">
        <x:v>Acciones de mejora derivadas de analítica implementadas en plazo</x:v>
      </x:c>
      <x:c r="F103" s="20" t="str">
        <x:v>DEN</x:v>
      </x:c>
      <x:c r="G103" s="20" t="str">
        <x:v>acciones comprometidas en informes bimestrales</x:v>
      </x:c>
      <x:c r="H103" s="20" t="str">
        <x:v># / base</x:v>
      </x:c>
      <x:c r="I103" s="20" t="str">
        <x:v>RATIO_PCT</x:v>
      </x:c>
      <x:c r="J103" s="20" t="str">
        <x:v>≥80%</x:v>
      </x:c>
      <x:c r="K103" s="20" t="str">
        <x:v>action_count</x:v>
      </x:c>
      <x:c r="L103" s="20" t="str">
        <x:v>YES</x:v>
      </x:c>
    </x:row>
    <x:row r="104">
      <x:c r="A104" s="20" t="str">
        <x:v>MKT-003_NUM</x:v>
      </x:c>
      <x:c r="B104" s="20" t="str">
        <x:v>MKT-003</x:v>
      </x:c>
      <x:c r="C104" s="20" t="str">
        <x:v>Marketing y Comunicación</x:v>
      </x:c>
      <x:c r="D104" s="20" t="str">
        <x:v>Beneficiarios y grupos de interés</x:v>
      </x:c>
      <x:c r="E104" s="20" t="str">
        <x:v>Cumplimiento de metas de KPIs digitales prioritarios</x:v>
      </x:c>
      <x:c r="F104" s="20" t="str">
        <x:v>NUM</x:v>
      </x:c>
      <x:c r="G104" s="20" t="str">
        <x:v>KPIs digitales prioritarios que alcanzan su meta</x:v>
      </x:c>
      <x:c r="H104" s="20" t="str">
        <x:v># / base</x:v>
      </x:c>
      <x:c r="I104" s="20" t="str">
        <x:v>RATIO_PCT</x:v>
      </x:c>
      <x:c r="J104" s="20" t="str">
        <x:v>100% de KPIs con meta validada</x:v>
      </x:c>
      <x:c r="K104" s="20" t="str">
        <x:v>aggregated_measure</x:v>
      </x:c>
      <x:c r="L104" s="20" t="str">
        <x:v>YES</x:v>
      </x:c>
    </x:row>
    <x:row r="105">
      <x:c r="A105" s="20" t="str">
        <x:v>MKT-003_DEN</x:v>
      </x:c>
      <x:c r="B105" s="20" t="str">
        <x:v>MKT-003</x:v>
      </x:c>
      <x:c r="C105" s="20" t="str">
        <x:v>Marketing y Comunicación</x:v>
      </x:c>
      <x:c r="D105" s="20" t="str">
        <x:v>Beneficiarios y grupos de interés</x:v>
      </x:c>
      <x:c r="E105" s="20" t="str">
        <x:v>Cumplimiento de metas de KPIs digitales prioritarios</x:v>
      </x:c>
      <x:c r="F105" s="20" t="str">
        <x:v>DEN</x:v>
      </x:c>
      <x:c r="G105" s="20" t="str">
        <x:v>KPIs digitales prioritarios definidos</x:v>
      </x:c>
      <x:c r="H105" s="20" t="str">
        <x:v># / base</x:v>
      </x:c>
      <x:c r="I105" s="20" t="str">
        <x:v>RATIO_PCT</x:v>
      </x:c>
      <x:c r="J105" s="20" t="str">
        <x:v>100% de KPIs con meta validada</x:v>
      </x:c>
      <x:c r="K105" s="20" t="str">
        <x:v>aggregated_measure</x:v>
      </x:c>
      <x:c r="L105" s="20" t="str">
        <x:v>YES</x:v>
      </x:c>
    </x:row>
    <x:row r="106">
      <x:c r="A106" s="20" t="str">
        <x:v>MKT-004_NUM</x:v>
      </x:c>
      <x:c r="B106" s="20" t="str">
        <x:v>MKT-004</x:v>
      </x:c>
      <x:c r="C106" s="20" t="str">
        <x:v>Marketing y Comunicación</x:v>
      </x:c>
      <x:c r="D106" s="20" t="str">
        <x:v>Capacidades y tecnología</x:v>
      </x:c>
      <x:c r="E106" s="20" t="str">
        <x:v>Compromisos de mejora de comunicación cerrados en plazo</x:v>
      </x:c>
      <x:c r="F106" s="20" t="str">
        <x:v>NUM</x:v>
      </x:c>
      <x:c r="G106" s="20" t="str">
        <x:v>Compromisos de sesiones de feedback cerrados en fecha</x:v>
      </x:c>
      <x:c r="H106" s="20" t="str">
        <x:v>días</x:v>
      </x:c>
      <x:c r="I106" s="20" t="str">
        <x:v>RATIO_PCT</x:v>
      </x:c>
      <x:c r="J106" s="20" t="str">
        <x:v>≥90%</x:v>
      </x:c>
      <x:c r="K106" s="20" t="str">
        <x:v>date_or_deadline</x:v>
      </x:c>
      <x:c r="L106" s="20" t="str">
        <x:v>YES</x:v>
      </x:c>
    </x:row>
    <x:row r="107">
      <x:c r="A107" s="20" t="str">
        <x:v>MKT-004_DEN</x:v>
      </x:c>
      <x:c r="B107" s="20" t="str">
        <x:v>MKT-004</x:v>
      </x:c>
      <x:c r="C107" s="20" t="str">
        <x:v>Marketing y Comunicación</x:v>
      </x:c>
      <x:c r="D107" s="20" t="str">
        <x:v>Capacidades y tecnología</x:v>
      </x:c>
      <x:c r="E107" s="20" t="str">
        <x:v>Compromisos de mejora de comunicación cerrados en plazo</x:v>
      </x:c>
      <x:c r="F107" s="20" t="str">
        <x:v>DEN</x:v>
      </x:c>
      <x:c r="G107" s="20" t="str">
        <x:v>compromisos acordados</x:v>
      </x:c>
      <x:c r="H107" s="20" t="str">
        <x:v># / base</x:v>
      </x:c>
      <x:c r="I107" s="20" t="str">
        <x:v>RATIO_PCT</x:v>
      </x:c>
      <x:c r="J107" s="20" t="str">
        <x:v>≥90%</x:v>
      </x:c>
      <x:c r="K107" s="20" t="str">
        <x:v>aggregated_measure</x:v>
      </x:c>
      <x:c r="L107" s="20" t="str">
        <x:v>YES</x:v>
      </x:c>
    </x:row>
    <x:row r="108">
      <x:c r="A108" s="20" t="str">
        <x:v>MKT-007_NUM</x:v>
      </x:c>
      <x:c r="B108" s="20" t="str">
        <x:v>MKT-007</x:v>
      </x:c>
      <x:c r="C108" s="20" t="str">
        <x:v>Marketing y Comunicación</x:v>
      </x:c>
      <x:c r="D108" s="20" t="str">
        <x:v>Beneficiarios y grupos de interés</x:v>
      </x:c>
      <x:c r="E108" s="20" t="str">
        <x:v>Embajadores Omnilife activos en campaña de nutrición</x:v>
      </x:c>
      <x:c r="F108" s="20" t="str">
        <x:v>NUM</x:v>
      </x:c>
      <x:c r="G108" s="20" t="str">
        <x:v>Embajadores confirmados que realizan al menos una activación verificable</x:v>
      </x:c>
      <x:c r="H108" s="20" t="str">
        <x:v># / base</x:v>
      </x:c>
      <x:c r="I108" s="20" t="str">
        <x:v>RATIO_PCT</x:v>
      </x:c>
      <x:c r="J108" s="20" t="str">
        <x:v>5 activos / 100% de los comprometidos</x:v>
      </x:c>
      <x:c r="K108" s="20" t="str">
        <x:v>aggregated_measure</x:v>
      </x:c>
      <x:c r="L108" s="20" t="str">
        <x:v>YES</x:v>
      </x:c>
    </x:row>
    <x:row r="109">
      <x:c r="A109" s="20" t="str">
        <x:v>MKT-007_DEN</x:v>
      </x:c>
      <x:c r="B109" s="20" t="str">
        <x:v>MKT-007</x:v>
      </x:c>
      <x:c r="C109" s="20" t="str">
        <x:v>Marketing y Comunicación</x:v>
      </x:c>
      <x:c r="D109" s="20" t="str">
        <x:v>Beneficiarios y grupos de interés</x:v>
      </x:c>
      <x:c r="E109" s="20" t="str">
        <x:v>Embajadores Omnilife activos en campaña de nutrición</x:v>
      </x:c>
      <x:c r="F109" s="20" t="str">
        <x:v>DEN</x:v>
      </x:c>
      <x:c r="G109" s="20" t="str">
        <x:v>embajadores comprometidos</x:v>
      </x:c>
      <x:c r="H109" s="20" t="str">
        <x:v># / base</x:v>
      </x:c>
      <x:c r="I109" s="20" t="str">
        <x:v>RATIO_PCT</x:v>
      </x:c>
      <x:c r="J109" s="20" t="str">
        <x:v>5 activos / 100% de los comprometidos</x:v>
      </x:c>
      <x:c r="K109" s="20" t="str">
        <x:v>aggregated_measure</x:v>
      </x:c>
      <x:c r="L109" s="20" t="str">
        <x:v>YES</x:v>
      </x:c>
    </x:row>
    <x:row r="110">
      <x:c r="A110" s="20" t="str">
        <x:v>MKT-008_NUM</x:v>
      </x:c>
      <x:c r="B110" s="20" t="str">
        <x:v>MKT-008</x:v>
      </x:c>
      <x:c r="C110" s="20" t="str">
        <x:v>Marketing y Comunicación</x:v>
      </x:c>
      <x:c r="D110" s="20" t="str">
        <x:v>Procesos internos</x:v>
      </x:c>
      <x:c r="E110" s="20" t="str">
        <x:v>Cumplimiento de ejecución multicanal del lanzamiento</x:v>
      </x:c>
      <x:c r="F110" s="20" t="str">
        <x:v>NUM</x:v>
      </x:c>
      <x:c r="G110" s="20" t="str">
        <x:v>Activos/canales ejecutados conforme al plan</x:v>
      </x:c>
      <x:c r="H110" s="20" t="str">
        <x:v># / base</x:v>
      </x:c>
      <x:c r="I110" s="20" t="str">
        <x:v>RATIO_PCT</x:v>
      </x:c>
      <x:c r="J110" s="20" t="str">
        <x:v>100% del plan (incluye 12 contenidos, 6 boletines y materiales definidos)</x:v>
      </x:c>
      <x:c r="K110" s="20" t="str">
        <x:v>aggregated_measure</x:v>
      </x:c>
      <x:c r="L110" s="20" t="str">
        <x:v>YES</x:v>
      </x:c>
    </x:row>
    <x:row r="111">
      <x:c r="A111" s="20" t="str">
        <x:v>MKT-008_DEN</x:v>
      </x:c>
      <x:c r="B111" s="20" t="str">
        <x:v>MKT-008</x:v>
      </x:c>
      <x:c r="C111" s="20" t="str">
        <x:v>Marketing y Comunicación</x:v>
      </x:c>
      <x:c r="D111" s="20" t="str">
        <x:v>Procesos internos</x:v>
      </x:c>
      <x:c r="E111" s="20" t="str">
        <x:v>Cumplimiento de ejecución multicanal del lanzamiento</x:v>
      </x:c>
      <x:c r="F111" s="20" t="str">
        <x:v>DEN</x:v>
      </x:c>
      <x:c r="G111" s="20" t="str">
        <x:v>activos/canales planificados</x:v>
      </x:c>
      <x:c r="H111" s="20" t="str">
        <x:v># / base</x:v>
      </x:c>
      <x:c r="I111" s="20" t="str">
        <x:v>RATIO_PCT</x:v>
      </x:c>
      <x:c r="J111" s="20" t="str">
        <x:v>100% del plan (incluye 12 contenidos, 6 boletines y materiales definidos)</x:v>
      </x:c>
      <x:c r="K111" s="20" t="str">
        <x:v>aggregated_measure</x:v>
      </x:c>
      <x:c r="L111" s="20" t="str">
        <x:v>YES</x:v>
      </x:c>
    </x:row>
    <x:row r="112">
      <x:c r="A112" s="20" t="str">
        <x:v>MKT-009_NUM</x:v>
      </x:c>
      <x:c r="B112" s="20" t="str">
        <x:v>MKT-009</x:v>
      </x:c>
      <x:c r="C112" s="20" t="str">
        <x:v>Marketing y Comunicación</x:v>
      </x:c>
      <x:c r="D112" s="20" t="str">
        <x:v>Beneficiarios y grupos de interés</x:v>
      </x:c>
      <x:c r="E112" s="20" t="str">
        <x:v>Cumplimiento del calendario internacional de contenidos</x:v>
      </x:c>
      <x:c r="F112" s="20" t="str">
        <x:v>NUM</x:v>
      </x:c>
      <x:c r="G112" s="20" t="str">
        <x:v>Publicaciones internacionales realizadas en fecha</x:v>
      </x:c>
      <x:c r="H112" s="20" t="str">
        <x:v>días</x:v>
      </x:c>
      <x:c r="I112" s="20" t="str">
        <x:v>RATIO_PCT</x:v>
      </x:c>
      <x:c r="J112" s="20" t="str">
        <x:v>100%</x:v>
      </x:c>
      <x:c r="K112" s="20" t="str">
        <x:v>date_or_deadline</x:v>
      </x:c>
      <x:c r="L112" s="20" t="str">
        <x:v>YES</x:v>
      </x:c>
    </x:row>
    <x:row r="113">
      <x:c r="A113" s="20" t="str">
        <x:v>MKT-009_DEN</x:v>
      </x:c>
      <x:c r="B113" s="20" t="str">
        <x:v>MKT-009</x:v>
      </x:c>
      <x:c r="C113" s="20" t="str">
        <x:v>Marketing y Comunicación</x:v>
      </x:c>
      <x:c r="D113" s="20" t="str">
        <x:v>Beneficiarios y grupos de interés</x:v>
      </x:c>
      <x:c r="E113" s="20" t="str">
        <x:v>Cumplimiento del calendario internacional de contenidos</x:v>
      </x:c>
      <x:c r="F113" s="20" t="str">
        <x:v>DEN</x:v>
      </x:c>
      <x:c r="G113" s="20" t="str">
        <x:v>publicaciones planificadas</x:v>
      </x:c>
      <x:c r="H113" s="20" t="str">
        <x:v># / base</x:v>
      </x:c>
      <x:c r="I113" s="20" t="str">
        <x:v>RATIO_PCT</x:v>
      </x:c>
      <x:c r="J113" s="20" t="str">
        <x:v>100%</x:v>
      </x:c>
      <x:c r="K113" s="20" t="str">
        <x:v>publication_count</x:v>
      </x:c>
      <x:c r="L113" s="20" t="str">
        <x:v>YES</x:v>
      </x:c>
    </x:row>
    <x:row r="114">
      <x:c r="A114" s="20" t="str">
        <x:v>MKT-010_NUM</x:v>
      </x:c>
      <x:c r="B114" s="20" t="str">
        <x:v>MKT-010</x:v>
      </x:c>
      <x:c r="C114" s="20" t="str">
        <x:v>Marketing y Comunicación</x:v>
      </x:c>
      <x:c r="D114" s="20" t="str">
        <x:v>Beneficiarios y grupos de interés</x:v>
      </x:c>
      <x:c r="E114" s="20" t="str">
        <x:v>Países con presencia digital continua conforme al estándar</x:v>
      </x:c>
      <x:c r="F114" s="20" t="str">
        <x:v>NUM</x:v>
      </x:c>
      <x:c r="G114" s="20" t="str">
        <x:v>Países objetivo con frecuencia mínima de comunicación cumplida</x:v>
      </x:c>
      <x:c r="H114" s="20" t="str">
        <x:v># / base</x:v>
      </x:c>
      <x:c r="I114" s="20" t="str">
        <x:v>RATIO_PCT</x:v>
      </x:c>
      <x:c r="J114" s="20" t="str">
        <x:v>100%</x:v>
      </x:c>
      <x:c r="K114" s="20" t="str">
        <x:v>country_count</x:v>
      </x:c>
      <x:c r="L114" s="20" t="str">
        <x:v>YES</x:v>
      </x:c>
    </x:row>
    <x:row r="115">
      <x:c r="A115" s="20" t="str">
        <x:v>MKT-010_DEN</x:v>
      </x:c>
      <x:c r="B115" s="20" t="str">
        <x:v>MKT-010</x:v>
      </x:c>
      <x:c r="C115" s="20" t="str">
        <x:v>Marketing y Comunicación</x:v>
      </x:c>
      <x:c r="D115" s="20" t="str">
        <x:v>Beneficiarios y grupos de interés</x:v>
      </x:c>
      <x:c r="E115" s="20" t="str">
        <x:v>Países con presencia digital continua conforme al estándar</x:v>
      </x:c>
      <x:c r="F115" s="20" t="str">
        <x:v>DEN</x:v>
      </x:c>
      <x:c r="G115" s="20" t="str">
        <x:v>países objetivo</x:v>
      </x:c>
      <x:c r="H115" s="20" t="str">
        <x:v># / base</x:v>
      </x:c>
      <x:c r="I115" s="20" t="str">
        <x:v>RATIO_PCT</x:v>
      </x:c>
      <x:c r="J115" s="20" t="str">
        <x:v>100%</x:v>
      </x:c>
      <x:c r="K115" s="20" t="str">
        <x:v>country_count</x:v>
      </x:c>
      <x:c r="L115" s="20" t="str">
        <x:v>YES</x:v>
      </x:c>
    </x:row>
    <x:row r="116">
      <x:c r="A116" s="20" t="str">
        <x:v>MKT-011_NUM</x:v>
      </x:c>
      <x:c r="B116" s="20" t="str">
        <x:v>MKT-011</x:v>
      </x:c>
      <x:c r="C116" s="20" t="str">
        <x:v>Marketing y Comunicación</x:v>
      </x:c>
      <x:c r="D116" s="20" t="str">
        <x:v>Procesos internos</x:v>
      </x:c>
      <x:c r="E116" s="20" t="str">
        <x:v>Actividades principales con cobertura completa de comunicación e impacto</x:v>
      </x:c>
      <x:c r="F116" s="20" t="str">
        <x:v>NUM</x:v>
      </x:c>
      <x:c r="G116" s="20" t="str">
        <x:v>Actividades principales con foto/video + dato de impacto publicado</x:v>
      </x:c>
      <x:c r="H116" s="20" t="str">
        <x:v># / base</x:v>
      </x:c>
      <x:c r="I116" s="20" t="str">
        <x:v>RATIO_PCT</x:v>
      </x:c>
      <x:c r="J116" s="20" t="str">
        <x:v>100%</x:v>
      </x:c>
      <x:c r="K116" s="20" t="str">
        <x:v>publication_count</x:v>
      </x:c>
      <x:c r="L116" s="20" t="str">
        <x:v>YES</x:v>
      </x:c>
    </x:row>
    <x:row r="117">
      <x:c r="A117" s="20" t="str">
        <x:v>MKT-011_DEN</x:v>
      </x:c>
      <x:c r="B117" s="20" t="str">
        <x:v>MKT-011</x:v>
      </x:c>
      <x:c r="C117" s="20" t="str">
        <x:v>Marketing y Comunicación</x:v>
      </x:c>
      <x:c r="D117" s="20" t="str">
        <x:v>Procesos internos</x:v>
      </x:c>
      <x:c r="E117" s="20" t="str">
        <x:v>Actividades principales con cobertura completa de comunicación e impacto</x:v>
      </x:c>
      <x:c r="F117" s="20" t="str">
        <x:v>DEN</x:v>
      </x:c>
      <x:c r="G117" s="20" t="str">
        <x:v>actividades principales realizadas</x:v>
      </x:c>
      <x:c r="H117" s="20" t="str">
        <x:v># / base</x:v>
      </x:c>
      <x:c r="I117" s="20" t="str">
        <x:v>RATIO_PCT</x:v>
      </x:c>
      <x:c r="J117" s="20" t="str">
        <x:v>100%</x:v>
      </x:c>
      <x:c r="K117" s="20" t="str">
        <x:v>aggregated_measure</x:v>
      </x:c>
      <x:c r="L117" s="20" t="str">
        <x:v>YES</x:v>
      </x:c>
    </x:row>
    <x:row r="118">
      <x:c r="A118" s="20" t="str">
        <x:v>MKT-012_NUM</x:v>
      </x:c>
      <x:c r="B118" s="20" t="str">
        <x:v>MKT-012</x:v>
      </x:c>
      <x:c r="C118" s="20" t="str">
        <x:v>Marketing y Comunicación</x:v>
      </x:c>
      <x:c r="D118" s="20" t="str">
        <x:v>Beneficiarios y grupos de interés</x:v>
      </x:c>
      <x:c r="E118" s="20" t="str">
        <x:v>Cumplimiento del calendario de comunicaciones conjuntas Omnilife–Chivas</x:v>
      </x:c>
      <x:c r="F118" s="20" t="str">
        <x:v>NUM</x:v>
      </x:c>
      <x:c r="G118" s="20" t="str">
        <x:v>Comunicaciones conjuntas publicadas en fecha</x:v>
      </x:c>
      <x:c r="H118" s="20" t="str">
        <x:v>días</x:v>
      </x:c>
      <x:c r="I118" s="20" t="str">
        <x:v>RATIO_PCT</x:v>
      </x:c>
      <x:c r="J118" s="20" t="str">
        <x:v>100% del plan anual</x:v>
      </x:c>
      <x:c r="K118" s="20" t="str">
        <x:v>date_or_deadline</x:v>
      </x:c>
      <x:c r="L118" s="20" t="str">
        <x:v>YES</x:v>
      </x:c>
    </x:row>
    <x:row r="119">
      <x:c r="A119" s="20" t="str">
        <x:v>MKT-012_DEN</x:v>
      </x:c>
      <x:c r="B119" s="20" t="str">
        <x:v>MKT-012</x:v>
      </x:c>
      <x:c r="C119" s="20" t="str">
        <x:v>Marketing y Comunicación</x:v>
      </x:c>
      <x:c r="D119" s="20" t="str">
        <x:v>Beneficiarios y grupos de interés</x:v>
      </x:c>
      <x:c r="E119" s="20" t="str">
        <x:v>Cumplimiento del calendario de comunicaciones conjuntas Omnilife–Chivas</x:v>
      </x:c>
      <x:c r="F119" s="20" t="str">
        <x:v>DEN</x:v>
      </x:c>
      <x:c r="G119" s="20" t="str">
        <x:v>comunicaciones conjuntas planificadas</x:v>
      </x:c>
      <x:c r="H119" s="20" t="str">
        <x:v># / base</x:v>
      </x:c>
      <x:c r="I119" s="20" t="str">
        <x:v>RATIO_PCT</x:v>
      </x:c>
      <x:c r="J119" s="20" t="str">
        <x:v>100% del plan anual</x:v>
      </x:c>
      <x:c r="K119" s="20" t="str">
        <x:v>aggregated_measure</x:v>
      </x:c>
      <x:c r="L119" s="20" t="str">
        <x:v>YES</x:v>
      </x:c>
    </x:row>
    <x:row r="120">
      <x:c r="A120" s="20" t="str">
        <x:v>MKT-013_NUM</x:v>
      </x:c>
      <x:c r="B120" s="20" t="str">
        <x:v>MKT-013</x:v>
      </x:c>
      <x:c r="C120" s="20" t="str">
        <x:v>Marketing y Comunicación</x:v>
      </x:c>
      <x:c r="D120" s="20" t="str">
        <x:v>Procesos internos</x:v>
      </x:c>
      <x:c r="E120" s="20" t="str">
        <x:v>Campañas de procuración con análisis conjunto MKT–PF</x:v>
      </x:c>
      <x:c r="F120" s="20" t="str">
        <x:v>NUM</x:v>
      </x:c>
      <x:c r="G120" s="20" t="str">
        <x:v>Campañas activas con cruce de datos de marketing y procuración + conclusión accionable</x:v>
      </x:c>
      <x:c r="H120" s="20" t="str">
        <x:v># / base</x:v>
      </x:c>
      <x:c r="I120" s="20" t="str">
        <x:v>RATIO_PCT</x:v>
      </x:c>
      <x:c r="J120" s="20" t="str">
        <x:v>100% (con al menos 12 cortes anuales)</x:v>
      </x:c>
      <x:c r="K120" s="20" t="str">
        <x:v>campaign_count_or_amount</x:v>
      </x:c>
      <x:c r="L120" s="20" t="str">
        <x:v>YES</x:v>
      </x:c>
    </x:row>
    <x:row r="121">
      <x:c r="A121" s="20" t="str">
        <x:v>MKT-013_DEN</x:v>
      </x:c>
      <x:c r="B121" s="20" t="str">
        <x:v>MKT-013</x:v>
      </x:c>
      <x:c r="C121" s="20" t="str">
        <x:v>Marketing y Comunicación</x:v>
      </x:c>
      <x:c r="D121" s="20" t="str">
        <x:v>Procesos internos</x:v>
      </x:c>
      <x:c r="E121" s="20" t="str">
        <x:v>Campañas de procuración con análisis conjunto MKT–PF</x:v>
      </x:c>
      <x:c r="F121" s="20" t="str">
        <x:v>DEN</x:v>
      </x:c>
      <x:c r="G121" s="20" t="str">
        <x:v>campañas activas</x:v>
      </x:c>
      <x:c r="H121" s="20" t="str">
        <x:v># / base</x:v>
      </x:c>
      <x:c r="I121" s="20" t="str">
        <x:v>RATIO_PCT</x:v>
      </x:c>
      <x:c r="J121" s="20" t="str">
        <x:v>100% (con al menos 12 cortes anuales)</x:v>
      </x:c>
      <x:c r="K121" s="20" t="str">
        <x:v>campaign_count_or_amount</x:v>
      </x:c>
      <x:c r="L121" s="20" t="str">
        <x:v>YES</x:v>
      </x:c>
    </x:row>
    <x:row r="122">
      <x:c r="A122" s="20" t="str">
        <x:v>MKT-014_VAL</x:v>
      </x:c>
      <x:c r="B122" s="20" t="str">
        <x:v>MKT-014</x:v>
      </x:c>
      <x:c r="C122" s="20" t="str">
        <x:v>Marketing y Comunicación</x:v>
      </x:c>
      <x:c r="D122" s="20" t="str">
        <x:v>Procesos internos</x:v>
      </x:c>
      <x:c r="E122" s="20" t="str">
        <x:v>Fondos atribuibles a campañas conjuntas Omnilife–Chivas</x:v>
      </x:c>
      <x:c r="F122" s="20" t="str">
        <x:v>VAL</x:v>
      </x:c>
      <x:c r="G122" s="20" t="str">
        <x:v>Fondos efectivamente recibidos atribuibles a campañas conjuntas según regla de atribución acordada</x:v>
      </x:c>
      <x:c r="H122" s="20" t="str">
        <x:v>USD</x:v>
      </x:c>
      <x:c r="I122" s="20" t="str">
        <x:v>VALUE</x:v>
      </x:c>
      <x:c r="J122" s="20" t="str">
        <x:v>Baseline 2026 + meta por campaña validada con Procuración</x:v>
      </x:c>
      <x:c r="K122" s="20" t="str">
        <x:v>amount_received</x:v>
      </x:c>
      <x:c r="L122" s="20" t="str">
        <x:v>YES</x:v>
      </x:c>
    </x:row>
    <x:row r="123">
      <x:c r="A123" s="20" t="str">
        <x:v>MKT-015_NUM</x:v>
      </x:c>
      <x:c r="B123" s="20" t="str">
        <x:v>MKT-015</x:v>
      </x:c>
      <x:c r="C123" s="20" t="str">
        <x:v>Marketing y Comunicación</x:v>
      </x:c>
      <x:c r="D123" s="20" t="str">
        <x:v>Capacidades y tecnología</x:v>
      </x:c>
      <x:c r="E123" s="20" t="str">
        <x:v>Implementación de recomendaciones de benchmarking</x:v>
      </x:c>
      <x:c r="F123" s="20" t="str">
        <x:v>NUM</x:v>
      </x:c>
      <x:c r="G123" s="20" t="str">
        <x:v>Recomendaciones aprobadas implementadas y verificadas</x:v>
      </x:c>
      <x:c r="H123" s="20" t="str">
        <x:v># / base</x:v>
      </x:c>
      <x:c r="I123" s="20" t="str">
        <x:v>RATIO_PCT</x:v>
      </x:c>
      <x:c r="J123" s="20" t="str">
        <x:v>100% de las 3 aprobadas</x:v>
      </x:c>
      <x:c r="K123" s="20" t="str">
        <x:v>aggregated_measure</x:v>
      </x:c>
      <x:c r="L123" s="20" t="str">
        <x:v>YES</x:v>
      </x:c>
    </x:row>
    <x:row r="124">
      <x:c r="A124" s="20" t="str">
        <x:v>MKT-015_DEN</x:v>
      </x:c>
      <x:c r="B124" s="20" t="str">
        <x:v>MKT-015</x:v>
      </x:c>
      <x:c r="C124" s="20" t="str">
        <x:v>Marketing y Comunicación</x:v>
      </x:c>
      <x:c r="D124" s="20" t="str">
        <x:v>Capacidades y tecnología</x:v>
      </x:c>
      <x:c r="E124" s="20" t="str">
        <x:v>Implementación de recomendaciones de benchmarking</x:v>
      </x:c>
      <x:c r="F124" s="20" t="str">
        <x:v>DEN</x:v>
      </x:c>
      <x:c r="G124" s="20" t="str">
        <x:v>recomendaciones aprobadas</x:v>
      </x:c>
      <x:c r="H124" s="20" t="str">
        <x:v># / base</x:v>
      </x:c>
      <x:c r="I124" s="20" t="str">
        <x:v>RATIO_PCT</x:v>
      </x:c>
      <x:c r="J124" s="20" t="str">
        <x:v>100% de las 3 aprobadas</x:v>
      </x:c>
      <x:c r="K124" s="20" t="str">
        <x:v>aggregated_measure</x:v>
      </x:c>
      <x:c r="L124" s="20" t="str">
        <x:v>YES</x:v>
      </x:c>
    </x:row>
    <x:row r="125">
      <x:c r="A125" s="20" t="str">
        <x:v>MKT-016_NUM</x:v>
      </x:c>
      <x:c r="B125" s="20" t="str">
        <x:v>MKT-016</x:v>
      </x:c>
      <x:c r="C125" s="20" t="str">
        <x:v>Marketing y Comunicación</x:v>
      </x:c>
      <x:c r="D125" s="20" t="str">
        <x:v>Capacidades y tecnología</x:v>
      </x:c>
      <x:c r="E125" s="20" t="str">
        <x:v>Cierre en plazo de hallazgos de auditoría de comunicación</x:v>
      </x:c>
      <x:c r="F125" s="20" t="str">
        <x:v>NUM</x:v>
      </x:c>
      <x:c r="G125" s="20" t="str">
        <x:v>Hallazgos/recomendaciones de auditoría cerrados en plazo</x:v>
      </x:c>
      <x:c r="H125" s="20" t="str">
        <x:v># / base</x:v>
      </x:c>
      <x:c r="I125" s="20" t="str">
        <x:v>RATIO_PCT</x:v>
      </x:c>
      <x:c r="J125" s="20" t="str">
        <x:v>≥90%</x:v>
      </x:c>
      <x:c r="K125" s="20" t="str">
        <x:v>aggregated_measure</x:v>
      </x:c>
      <x:c r="L125" s="20" t="str">
        <x:v>YES</x:v>
      </x:c>
    </x:row>
    <x:row r="126">
      <x:c r="A126" s="20" t="str">
        <x:v>MKT-016_DEN</x:v>
      </x:c>
      <x:c r="B126" s="20" t="str">
        <x:v>MKT-016</x:v>
      </x:c>
      <x:c r="C126" s="20" t="str">
        <x:v>Marketing y Comunicación</x:v>
      </x:c>
      <x:c r="D126" s="20" t="str">
        <x:v>Capacidades y tecnología</x:v>
      </x:c>
      <x:c r="E126" s="20" t="str">
        <x:v>Cierre en plazo de hallazgos de auditoría de comunicación</x:v>
      </x:c>
      <x:c r="F126" s="20" t="str">
        <x:v>DEN</x:v>
      </x:c>
      <x:c r="G126" s="20" t="str">
        <x:v>hallazgos/recomendaciones comprometidos</x:v>
      </x:c>
      <x:c r="H126" s="20" t="str">
        <x:v># / base</x:v>
      </x:c>
      <x:c r="I126" s="20" t="str">
        <x:v>RATIO_PCT</x:v>
      </x:c>
      <x:c r="J126" s="20" t="str">
        <x:v>≥90%</x:v>
      </x:c>
      <x:c r="K126" s="20" t="str">
        <x:v>aggregated_measure</x:v>
      </x:c>
      <x:c r="L126" s="20" t="str">
        <x:v>YES</x:v>
      </x:c>
    </x:row>
    <x:row r="127">
      <x:c r="A127" s="20" t="str">
        <x:v>OPS-010B_NUM</x:v>
      </x:c>
      <x:c r="B127" s="20" t="str">
        <x:v>OPS-010B</x:v>
      </x:c>
      <x:c r="C127" s="20" t="str">
        <x:v>Operaciones</x:v>
      </x:c>
      <x:c r="D127" s="20" t="str">
        <x:v>Resultados estratégicos</x:v>
      </x:c>
      <x:c r="E127" s="20" t="str">
        <x:v>Cobertura de acceso al suplemento nutricional</x:v>
      </x:c>
      <x:c r="F127" s="20" t="str">
        <x:v>NUM</x:v>
      </x:c>
      <x:c r="G127" s="20" t="str">
        <x:v>Participantes elegibles con acceso efectivo al suplemento</x:v>
      </x:c>
      <x:c r="H127" s="20" t="str">
        <x:v># / base</x:v>
      </x:c>
      <x:c r="I127" s="20" t="str">
        <x:v>RATIO_PCT</x:v>
      </x:c>
      <x:c r="J127" s="20" t="str">
        <x:v>100%</x:v>
      </x:c>
      <x:c r="K127" s="20" t="str">
        <x:v>participant_count</x:v>
      </x:c>
      <x:c r="L127" s="20" t="str">
        <x:v>YES</x:v>
      </x:c>
    </x:row>
    <x:row r="128">
      <x:c r="A128" s="20" t="str">
        <x:v>OPS-010B_DEN</x:v>
      </x:c>
      <x:c r="B128" s="20" t="str">
        <x:v>OPS-010B</x:v>
      </x:c>
      <x:c r="C128" s="20" t="str">
        <x:v>Operaciones</x:v>
      </x:c>
      <x:c r="D128" s="20" t="str">
        <x:v>Resultados estratégicos</x:v>
      </x:c>
      <x:c r="E128" s="20" t="str">
        <x:v>Cobertura de acceso al suplemento nutricional</x:v>
      </x:c>
      <x:c r="F128" s="20" t="str">
        <x:v>DEN</x:v>
      </x:c>
      <x:c r="G128" s="20" t="str">
        <x:v>participantes elegibles</x:v>
      </x:c>
      <x:c r="H128" s="20" t="str">
        <x:v># / base</x:v>
      </x:c>
      <x:c r="I128" s="20" t="str">
        <x:v>RATIO_PCT</x:v>
      </x:c>
      <x:c r="J128" s="20" t="str">
        <x:v>100%</x:v>
      </x:c>
      <x:c r="K128" s="20" t="str">
        <x:v>participant_count</x:v>
      </x:c>
      <x:c r="L128" s="20" t="str">
        <x:v>YES</x:v>
      </x:c>
    </x:row>
    <x:row r="129">
      <x:c r="A129" s="20" t="str">
        <x:v>REC-S01_NUM</x:v>
      </x:c>
      <x:c r="B129" s="20" t="str">
        <x:v>REC-S01</x:v>
      </x:c>
      <x:c r="C129" s="20" t="str">
        <x:v>Dirección + Operaciones</x:v>
      </x:c>
      <x:c r="D129" s="20" t="str">
        <x:v>Resultados estratégicos</x:v>
      </x:c>
      <x:c r="E129" s="20" t="str">
        <x:v>Programas que alcanzan su meta principal de impacto</x:v>
      </x:c>
      <x:c r="F129" s="20" t="str">
        <x:v>NUM</x:v>
      </x:c>
      <x:c r="G129" s="20" t="str">
        <x:v>Programas evaluados que alcanzan el outcome primario definido</x:v>
      </x:c>
      <x:c r="H129" s="20" t="str">
        <x:v># / base</x:v>
      </x:c>
      <x:c r="I129" s="20" t="str">
        <x:v>RATIO_PCT</x:v>
      </x:c>
      <x:c r="J129" s="20" t="str">
        <x:v>≥90%</x:v>
      </x:c>
      <x:c r="K129" s="20" t="str">
        <x:v>program_count</x:v>
      </x:c>
      <x:c r="L129" s="20" t="str">
        <x:v>YES</x:v>
      </x:c>
    </x:row>
    <x:row r="130">
      <x:c r="A130" s="20" t="str">
        <x:v>REC-S01_DEN</x:v>
      </x:c>
      <x:c r="B130" s="20" t="str">
        <x:v>REC-S01</x:v>
      </x:c>
      <x:c r="C130" s="20" t="str">
        <x:v>Dirección + Operaciones</x:v>
      </x:c>
      <x:c r="D130" s="20" t="str">
        <x:v>Resultados estratégicos</x:v>
      </x:c>
      <x:c r="E130" s="20" t="str">
        <x:v>Programas que alcanzan su meta principal de impacto</x:v>
      </x:c>
      <x:c r="F130" s="20" t="str">
        <x:v>DEN</x:v>
      </x:c>
      <x:c r="G130" s="20" t="str">
        <x:v>programas evaluados con datos válidos</x:v>
      </x:c>
      <x:c r="H130" s="20" t="str">
        <x:v># / base</x:v>
      </x:c>
      <x:c r="I130" s="20" t="str">
        <x:v>RATIO_PCT</x:v>
      </x:c>
      <x:c r="J130" s="20" t="str">
        <x:v>≥90%</x:v>
      </x:c>
      <x:c r="K130" s="20" t="str">
        <x:v>program_count</x:v>
      </x:c>
      <x:c r="L130" s="20" t="str">
        <x:v>YES</x:v>
      </x:c>
    </x:row>
    <x:row r="131">
      <x:c r="A131" s="20" t="str">
        <x:v>REC-S02_NUM</x:v>
      </x:c>
      <x:c r="B131" s="20" t="str">
        <x:v>REC-S02</x:v>
      </x:c>
      <x:c r="C131" s="20" t="str">
        <x:v>Operaciones</x:v>
      </x:c>
      <x:c r="D131" s="20" t="str">
        <x:v>Resultados estratégicos</x:v>
      </x:c>
      <x:c r="E131" s="20" t="str">
        <x:v>Cumplimiento de cobertura total de beneficiarios</x:v>
      </x:c>
      <x:c r="F131" s="20" t="str">
        <x:v>NUM</x:v>
      </x:c>
      <x:c r="G131" s="20" t="str">
        <x:v>Beneficiarios atendidos válidos</x:v>
      </x:c>
      <x:c r="H131" s="20" t="str">
        <x:v># / base</x:v>
      </x:c>
      <x:c r="I131" s="20" t="str">
        <x:v>RATIO_PCT</x:v>
      </x:c>
      <x:c r="J131" s="20" t="str">
        <x:v>≥95%</x:v>
      </x:c>
      <x:c r="K131" s="20" t="str">
        <x:v>beneficiary_count</x:v>
      </x:c>
      <x:c r="L131" s="20" t="str">
        <x:v>YES</x:v>
      </x:c>
    </x:row>
    <x:row r="132">
      <x:c r="A132" s="20" t="str">
        <x:v>REC-S02_DEN</x:v>
      </x:c>
      <x:c r="B132" s="20" t="str">
        <x:v>REC-S02</x:v>
      </x:c>
      <x:c r="C132" s="20" t="str">
        <x:v>Operaciones</x:v>
      </x:c>
      <x:c r="D132" s="20" t="str">
        <x:v>Resultados estratégicos</x:v>
      </x:c>
      <x:c r="E132" s="20" t="str">
        <x:v>Cumplimiento de cobertura total de beneficiarios</x:v>
      </x:c>
      <x:c r="F132" s="20" t="str">
        <x:v>DEN</x:v>
      </x:c>
      <x:c r="G132" s="20" t="str">
        <x:v>beneficiarios programados consolidados</x:v>
      </x:c>
      <x:c r="H132" s="20" t="str">
        <x:v># / base</x:v>
      </x:c>
      <x:c r="I132" s="20" t="str">
        <x:v>RATIO_PCT</x:v>
      </x:c>
      <x:c r="J132" s="20" t="str">
        <x:v>≥95%</x:v>
      </x:c>
      <x:c r="K132" s="20" t="str">
        <x:v>beneficiary_count</x:v>
      </x:c>
      <x:c r="L132" s="20" t="str">
        <x:v>YES</x:v>
      </x:c>
    </x:row>
    <x:row r="133">
      <x:c r="A133" s="20" t="str">
        <x:v>REC-S03_NUM</x:v>
      </x:c>
      <x:c r="B133" s="20" t="str">
        <x:v>REC-S03</x:v>
      </x:c>
      <x:c r="C133" s="20" t="str">
        <x:v>Dirección</x:v>
      </x:c>
      <x:c r="D133" s="20" t="str">
        <x:v>Resultados estratégicos</x:v>
      </x:c>
      <x:c r="E133" s="20" t="str">
        <x:v>Cobertura financiera del plan operativo</x:v>
      </x:c>
      <x:c r="F133" s="20" t="str">
        <x:v>NUM</x:v>
      </x:c>
      <x:c r="G133" s="20" t="str">
        <x:v>Recursos disponibles/comprometidos elegibles para operación</x:v>
      </x:c>
      <x:c r="H133" s="20" t="str">
        <x:v>Moneda</x:v>
      </x:c>
      <x:c r="I133" s="20" t="str">
        <x:v>RATIO_PCT</x:v>
      </x:c>
      <x:c r="J133" s="20" t="str">
        <x:v>≥100% para horizonte definido</x:v>
      </x:c>
      <x:c r="K133" s="20" t="str">
        <x:v>aggregated_measure</x:v>
      </x:c>
      <x:c r="L133" s="20" t="str">
        <x:v>YES</x:v>
      </x:c>
    </x:row>
    <x:row r="134">
      <x:c r="A134" s="20" t="str">
        <x:v>REC-S03_DEN</x:v>
      </x:c>
      <x:c r="B134" s="20" t="str">
        <x:v>REC-S03</x:v>
      </x:c>
      <x:c r="C134" s="20" t="str">
        <x:v>Dirección</x:v>
      </x:c>
      <x:c r="D134" s="20" t="str">
        <x:v>Resultados estratégicos</x:v>
      </x:c>
      <x:c r="E134" s="20" t="str">
        <x:v>Cobertura financiera del plan operativo</x:v>
      </x:c>
      <x:c r="F134" s="20" t="str">
        <x:v>DEN</x:v>
      </x:c>
      <x:c r="G134" s="20" t="str">
        <x:v>gasto operativo proyectado del horizonte</x:v>
      </x:c>
      <x:c r="H134" s="20" t="str">
        <x:v>Moneda</x:v>
      </x:c>
      <x:c r="I134" s="20" t="str">
        <x:v>RATIO_PCT</x:v>
      </x:c>
      <x:c r="J134" s="20" t="str">
        <x:v>≥100% para horizonte definido</x:v>
      </x:c>
      <x:c r="K134" s="20" t="str">
        <x:v>expense_amount</x:v>
      </x:c>
      <x:c r="L134" s="20" t="str">
        <x:v>YES</x:v>
      </x:c>
    </x:row>
    <x:row r="135">
      <x:c r="A135" s="20" t="str">
        <x:v>REC-C01_NUM</x:v>
      </x:c>
      <x:c r="B135" s="20" t="str">
        <x:v>REC-C01</x:v>
      </x:c>
      <x:c r="C135" s="20" t="str">
        <x:v>Operaciones</x:v>
      </x:c>
      <x:c r="D135" s="20" t="str">
        <x:v>Beneficiarios y grupos de interés</x:v>
      </x:c>
      <x:c r="E135" s="20" t="str">
        <x:v>Tasa de finalización/retención de participantes</x:v>
      </x:c>
      <x:c r="F135" s="20" t="str">
        <x:v>NUM</x:v>
      </x:c>
      <x:c r="G135" s="20" t="str">
        <x:v>Participantes que completan el ciclo definido</x:v>
      </x:c>
      <x:c r="H135" s="20" t="str">
        <x:v># / base</x:v>
      </x:c>
      <x:c r="I135" s="20" t="str">
        <x:v>RATIO_PCT</x:v>
      </x:c>
      <x:c r="J135" s="20" t="str">
        <x:v>≥85%</x:v>
      </x:c>
      <x:c r="K135" s="20" t="str">
        <x:v>participant_count</x:v>
      </x:c>
      <x:c r="L135" s="20" t="str">
        <x:v>YES</x:v>
      </x:c>
    </x:row>
    <x:row r="136">
      <x:c r="A136" s="20" t="str">
        <x:v>REC-C01_DEN</x:v>
      </x:c>
      <x:c r="B136" s="20" t="str">
        <x:v>REC-C01</x:v>
      </x:c>
      <x:c r="C136" s="20" t="str">
        <x:v>Operaciones</x:v>
      </x:c>
      <x:c r="D136" s="20" t="str">
        <x:v>Beneficiarios y grupos de interés</x:v>
      </x:c>
      <x:c r="E136" s="20" t="str">
        <x:v>Tasa de finalización/retención de participantes</x:v>
      </x:c>
      <x:c r="F136" s="20" t="str">
        <x:v>DEN</x:v>
      </x:c>
      <x:c r="G136" s="20" t="str">
        <x:v>participantes que iniciaron el ciclo</x:v>
      </x:c>
      <x:c r="H136" s="20" t="str">
        <x:v># / base</x:v>
      </x:c>
      <x:c r="I136" s="20" t="str">
        <x:v>RATIO_PCT</x:v>
      </x:c>
      <x:c r="J136" s="20" t="str">
        <x:v>≥85%</x:v>
      </x:c>
      <x:c r="K136" s="20" t="str">
        <x:v>participant_count</x:v>
      </x:c>
      <x:c r="L136" s="20" t="str">
        <x:v>YES</x:v>
      </x:c>
    </x:row>
    <x:row r="137">
      <x:c r="A137" s="20" t="str">
        <x:v>REC-C02_NUM</x:v>
      </x:c>
      <x:c r="B137" s="20" t="str">
        <x:v>REC-C02</x:v>
      </x:c>
      <x:c r="C137" s="20" t="str">
        <x:v>Operaciones</x:v>
      </x:c>
      <x:c r="D137" s="20" t="str">
        <x:v>Beneficiarios y grupos de interés</x:v>
      </x:c>
      <x:c r="E137" s="20" t="str">
        <x:v>Beneficiarios con mejora significativa en el outcome principal</x:v>
      </x:c>
      <x:c r="F137" s="20" t="str">
        <x:v>NUM</x:v>
      </x:c>
      <x:c r="G137" s="20" t="str">
        <x:v>Beneficiarios con mejora que supera el umbral definido</x:v>
      </x:c>
      <x:c r="H137" s="20" t="str">
        <x:v># / base</x:v>
      </x:c>
      <x:c r="I137" s="20" t="str">
        <x:v>RATIO_PCT</x:v>
      </x:c>
      <x:c r="J137" s="20" t="str">
        <x:v>Definir por programa tras baseline</x:v>
      </x:c>
      <x:c r="K137" s="20" t="str">
        <x:v>beneficiary_count</x:v>
      </x:c>
      <x:c r="L137" s="20" t="str">
        <x:v>YES</x:v>
      </x:c>
    </x:row>
    <x:row r="138">
      <x:c r="A138" s="20" t="str">
        <x:v>REC-C02_DEN</x:v>
      </x:c>
      <x:c r="B138" s="20" t="str">
        <x:v>REC-C02</x:v>
      </x:c>
      <x:c r="C138" s="20" t="str">
        <x:v>Operaciones</x:v>
      </x:c>
      <x:c r="D138" s="20" t="str">
        <x:v>Beneficiarios y grupos de interés</x:v>
      </x:c>
      <x:c r="E138" s="20" t="str">
        <x:v>Beneficiarios con mejora significativa en el outcome principal</x:v>
      </x:c>
      <x:c r="F138" s="20" t="str">
        <x:v>DEN</x:v>
      </x:c>
      <x:c r="G138" s="20" t="str">
        <x:v>beneficiarios con medición pre/post válida</x:v>
      </x:c>
      <x:c r="H138" s="20" t="str">
        <x:v># / base</x:v>
      </x:c>
      <x:c r="I138" s="20" t="str">
        <x:v>RATIO_PCT</x:v>
      </x:c>
      <x:c r="J138" s="20" t="str">
        <x:v>Definir por programa tras baseline</x:v>
      </x:c>
      <x:c r="K138" s="20" t="str">
        <x:v>beneficiary_count</x:v>
      </x:c>
      <x:c r="L138" s="20" t="str">
        <x:v>YES</x:v>
      </x:c>
    </x:row>
    <x:row r="139">
      <x:c r="A139" s="20" t="str">
        <x:v>REC-C03_NUM</x:v>
      </x:c>
      <x:c r="B139" s="20" t="str">
        <x:v>REC-C03</x:v>
      </x:c>
      <x:c r="C139" s="20" t="str">
        <x:v>Dirección + Jurídico</x:v>
      </x:c>
      <x:c r="D139" s="20" t="str">
        <x:v>Beneficiarios y grupos de interés</x:v>
      </x:c>
      <x:c r="E139" s="20" t="str">
        <x:v>Cumplimiento institucional en plazo</x:v>
      </x:c>
      <x:c r="F139" s="20" t="str">
        <x:v>NUM</x:v>
      </x:c>
      <x:c r="G139" s="20" t="str">
        <x:v>Obligaciones regulatorias/acreditaciones críticas cumplidas en plazo</x:v>
      </x:c>
      <x:c r="H139" s="20" t="str">
        <x:v># / base</x:v>
      </x:c>
      <x:c r="I139" s="20" t="str">
        <x:v>RATIO_PCT</x:v>
      </x:c>
      <x:c r="J139" s="20" t="str">
        <x:v>100%</x:v>
      </x:c>
      <x:c r="K139" s="20" t="str">
        <x:v>obligation_count</x:v>
      </x:c>
      <x:c r="L139" s="20" t="str">
        <x:v>YES</x:v>
      </x:c>
    </x:row>
    <x:row r="140">
      <x:c r="A140" s="20" t="str">
        <x:v>REC-C03_DEN</x:v>
      </x:c>
      <x:c r="B140" s="20" t="str">
        <x:v>REC-C03</x:v>
      </x:c>
      <x:c r="C140" s="20" t="str">
        <x:v>Dirección + Jurídico</x:v>
      </x:c>
      <x:c r="D140" s="20" t="str">
        <x:v>Beneficiarios y grupos de interés</x:v>
      </x:c>
      <x:c r="E140" s="20" t="str">
        <x:v>Cumplimiento institucional en plazo</x:v>
      </x:c>
      <x:c r="F140" s="20" t="str">
        <x:v>DEN</x:v>
      </x:c>
      <x:c r="G140" s="20" t="str">
        <x:v>obligaciones exigibles</x:v>
      </x:c>
      <x:c r="H140" s="20" t="str">
        <x:v># / base</x:v>
      </x:c>
      <x:c r="I140" s="20" t="str">
        <x:v>RATIO_PCT</x:v>
      </x:c>
      <x:c r="J140" s="20" t="str">
        <x:v>100%</x:v>
      </x:c>
      <x:c r="K140" s="20" t="str">
        <x:v>obligation_count</x:v>
      </x:c>
      <x:c r="L140" s="20" t="str">
        <x:v>YES</x:v>
      </x:c>
    </x:row>
    <x:row r="141">
      <x:c r="A141" s="20" t="str">
        <x:v>REC-C04_NUM</x:v>
      </x:c>
      <x:c r="B141" s="20" t="str">
        <x:v>REC-C04</x:v>
      </x:c>
      <x:c r="C141" s="20" t="str">
        <x:v>Procuración de Fondos</x:v>
      </x:c>
      <x:c r="D141" s="20" t="str">
        <x:v>Beneficiarios y grupos de interés</x:v>
      </x:c>
      <x:c r="E141" s="20" t="str">
        <x:v>Retención de aliados estratégicos activos</x:v>
      </x:c>
      <x:c r="F141" s="20" t="str">
        <x:v>NUM</x:v>
      </x:c>
      <x:c r="G141" s="20" t="str">
        <x:v>Aliados estratégicos elegibles que renuevan/continúan una colaboración activa</x:v>
      </x:c>
      <x:c r="H141" s="20" t="str">
        <x:v># / base</x:v>
      </x:c>
      <x:c r="I141" s="20" t="str">
        <x:v>RATIO_PCT</x:v>
      </x:c>
      <x:c r="J141" s="20" t="str">
        <x:v>Definir tras baseline; tendencia estable/creciente</x:v>
      </x:c>
      <x:c r="K141" s="20" t="str">
        <x:v>aggregated_measure</x:v>
      </x:c>
      <x:c r="L141" s="20" t="str">
        <x:v>YES</x:v>
      </x:c>
    </x:row>
    <x:row r="142">
      <x:c r="A142" s="20" t="str">
        <x:v>REC-C04_DEN</x:v>
      </x:c>
      <x:c r="B142" s="20" t="str">
        <x:v>REC-C04</x:v>
      </x:c>
      <x:c r="C142" s="20" t="str">
        <x:v>Procuración de Fondos</x:v>
      </x:c>
      <x:c r="D142" s="20" t="str">
        <x:v>Beneficiarios y grupos de interés</x:v>
      </x:c>
      <x:c r="E142" s="20" t="str">
        <x:v>Retención de aliados estratégicos activos</x:v>
      </x:c>
      <x:c r="F142" s="20" t="str">
        <x:v>DEN</x:v>
      </x:c>
      <x:c r="G142" s="20" t="str">
        <x:v>aliados elegibles</x:v>
      </x:c>
      <x:c r="H142" s="20" t="str">
        <x:v># / base</x:v>
      </x:c>
      <x:c r="I142" s="20" t="str">
        <x:v>RATIO_PCT</x:v>
      </x:c>
      <x:c r="J142" s="20" t="str">
        <x:v>Definir tras baseline; tendencia estable/creciente</x:v>
      </x:c>
      <x:c r="K142" s="20" t="str">
        <x:v>aggregated_measure</x:v>
      </x:c>
      <x:c r="L142" s="20" t="str">
        <x:v>YES</x:v>
      </x:c>
    </x:row>
    <x:row r="143">
      <x:c r="A143" s="20" t="str">
        <x:v>REC-F01_NUM</x:v>
      </x:c>
      <x:c r="B143" s="20" t="str">
        <x:v>REC-F01</x:v>
      </x:c>
      <x:c r="C143" s="20" t="str">
        <x:v>Procuración de Fondos</x:v>
      </x:c>
      <x:c r="D143" s="20" t="str">
        <x:v>Sostenibilidad financiera</x:v>
      </x:c>
      <x:c r="E143" s="20" t="str">
        <x:v>Cumplimiento de meta total de procuración</x:v>
      </x:c>
      <x:c r="F143" s="20" t="str">
        <x:v>NUM</x:v>
      </x:c>
      <x:c r="G143" s="20" t="str">
        <x:v>Fondos efectivamente recibidos en el periodo</x:v>
      </x:c>
      <x:c r="H143" s="20" t="str">
        <x:v>Moneda</x:v>
      </x:c>
      <x:c r="I143" s="20" t="str">
        <x:v>RATIO_PCT</x:v>
      </x:c>
      <x:c r="J143" s="20" t="str">
        <x:v>≥100%</x:v>
      </x:c>
      <x:c r="K143" s="20" t="str">
        <x:v>amount_received</x:v>
      </x:c>
      <x:c r="L143" s="20" t="str">
        <x:v>YES</x:v>
      </x:c>
    </x:row>
    <x:row r="144">
      <x:c r="A144" s="20" t="str">
        <x:v>REC-F01_DEN</x:v>
      </x:c>
      <x:c r="B144" s="20" t="str">
        <x:v>REC-F01</x:v>
      </x:c>
      <x:c r="C144" s="20" t="str">
        <x:v>Procuración de Fondos</x:v>
      </x:c>
      <x:c r="D144" s="20" t="str">
        <x:v>Sostenibilidad financiera</x:v>
      </x:c>
      <x:c r="E144" s="20" t="str">
        <x:v>Cumplimiento de meta total de procuración</x:v>
      </x:c>
      <x:c r="F144" s="20" t="str">
        <x:v>DEN</x:v>
      </x:c>
      <x:c r="G144" s="20" t="str">
        <x:v>meta total de procuración aprobada</x:v>
      </x:c>
      <x:c r="H144" s="20" t="str">
        <x:v># / base</x:v>
      </x:c>
      <x:c r="I144" s="20" t="str">
        <x:v>RATIO_PCT</x:v>
      </x:c>
      <x:c r="J144" s="20" t="str">
        <x:v>≥100%</x:v>
      </x:c>
      <x:c r="K144" s="20" t="str">
        <x:v>aggregated_measure</x:v>
      </x:c>
      <x:c r="L144" s="20" t="str">
        <x:v>YES</x:v>
      </x:c>
    </x:row>
    <x:row r="145">
      <x:c r="A145" s="20" t="str">
        <x:v>REC-F02_NUM</x:v>
      </x:c>
      <x:c r="B145" s="20" t="str">
        <x:v>REC-F02</x:v>
      </x:c>
      <x:c r="C145" s="20" t="str">
        <x:v>Finanzas + Procuración de Fondos</x:v>
      </x:c>
      <x:c r="D145" s="20" t="str">
        <x:v>Sostenibilidad financiera</x:v>
      </x:c>
      <x:c r="E145" s="20" t="str">
        <x:v>Concentración de financiamiento en la mayor fuente</x:v>
      </x:c>
      <x:c r="F145" s="20" t="str">
        <x:v>NUM</x:v>
      </x:c>
      <x:c r="G145" s="20" t="str">
        <x:v>Ingresos provenientes de la mayor fuente/donante/grupo</x:v>
      </x:c>
      <x:c r="H145" s="20" t="str">
        <x:v>Moneda</x:v>
      </x:c>
      <x:c r="I145" s="20" t="str">
        <x:v>RATIO_PCT</x:v>
      </x:c>
      <x:c r="J145" s="20" t="str">
        <x:v>Reducir vs baseline 2025/2026</x:v>
      </x:c>
      <x:c r="K145" s="20" t="str">
        <x:v>donor_count</x:v>
      </x:c>
      <x:c r="L145" s="20" t="str">
        <x:v>YES</x:v>
      </x:c>
    </x:row>
    <x:row r="146">
      <x:c r="A146" s="20" t="str">
        <x:v>REC-F02_DEN</x:v>
      </x:c>
      <x:c r="B146" s="20" t="str">
        <x:v>REC-F02</x:v>
      </x:c>
      <x:c r="C146" s="20" t="str">
        <x:v>Finanzas + Procuración de Fondos</x:v>
      </x:c>
      <x:c r="D146" s="20" t="str">
        <x:v>Sostenibilidad financiera</x:v>
      </x:c>
      <x:c r="E146" s="20" t="str">
        <x:v>Concentración de financiamiento en la mayor fuente</x:v>
      </x:c>
      <x:c r="F146" s="20" t="str">
        <x:v>DEN</x:v>
      </x:c>
      <x:c r="G146" s="20" t="str">
        <x:v>ingresos totales de financiamiento</x:v>
      </x:c>
      <x:c r="H146" s="20" t="str">
        <x:v>Moneda</x:v>
      </x:c>
      <x:c r="I146" s="20" t="str">
        <x:v>RATIO_PCT</x:v>
      </x:c>
      <x:c r="J146" s="20" t="str">
        <x:v>Reducir vs baseline 2025/2026</x:v>
      </x:c>
      <x:c r="K146" s="20" t="str">
        <x:v>aggregated_measure</x:v>
      </x:c>
      <x:c r="L146" s="20" t="str">
        <x:v>YES</x:v>
      </x:c>
    </x:row>
    <x:row r="147">
      <x:c r="A147" s="20" t="str">
        <x:v>REC-F03_NUM</x:v>
      </x:c>
      <x:c r="B147" s="20" t="str">
        <x:v>REC-F03</x:v>
      </x:c>
      <x:c r="C147" s="20" t="str">
        <x:v>Procuración de Fondos</x:v>
      </x:c>
      <x:c r="D147" s="20" t="str">
        <x:v>Sostenibilidad financiera</x:v>
      </x:c>
      <x:c r="E147" s="20" t="str">
        <x:v>Retención de donantes recurrentes</x:v>
      </x:c>
      <x:c r="F147" s="20" t="str">
        <x:v>NUM</x:v>
      </x:c>
      <x:c r="G147" s="20" t="str">
        <x:v>Donantes recurrentes del periodo anterior que continúan activos</x:v>
      </x:c>
      <x:c r="H147" s="20" t="str">
        <x:v># / base</x:v>
      </x:c>
      <x:c r="I147" s="20" t="str">
        <x:v>RATIO_PCT</x:v>
      </x:c>
      <x:c r="J147" s="20" t="str">
        <x:v>Definir tras baseline; recomendado ≥85%</x:v>
      </x:c>
      <x:c r="K147" s="20" t="str">
        <x:v>donor_count</x:v>
      </x:c>
      <x:c r="L147" s="20" t="str">
        <x:v>YES</x:v>
      </x:c>
    </x:row>
    <x:row r="148">
      <x:c r="A148" s="20" t="str">
        <x:v>REC-F03_DEN</x:v>
      </x:c>
      <x:c r="B148" s="20" t="str">
        <x:v>REC-F03</x:v>
      </x:c>
      <x:c r="C148" s="20" t="str">
        <x:v>Procuración de Fondos</x:v>
      </x:c>
      <x:c r="D148" s="20" t="str">
        <x:v>Sostenibilidad financiera</x:v>
      </x:c>
      <x:c r="E148" s="20" t="str">
        <x:v>Retención de donantes recurrentes</x:v>
      </x:c>
      <x:c r="F148" s="20" t="str">
        <x:v>DEN</x:v>
      </x:c>
      <x:c r="G148" s="20" t="str">
        <x:v>donantes recurrentes elegibles</x:v>
      </x:c>
      <x:c r="H148" s="20" t="str">
        <x:v># / base</x:v>
      </x:c>
      <x:c r="I148" s="20" t="str">
        <x:v>RATIO_PCT</x:v>
      </x:c>
      <x:c r="J148" s="20" t="str">
        <x:v>Definir tras baseline; recomendado ≥85%</x:v>
      </x:c>
      <x:c r="K148" s="20" t="str">
        <x:v>donor_count</x:v>
      </x:c>
      <x:c r="L148" s="20" t="str">
        <x:v>YES</x:v>
      </x:c>
    </x:row>
    <x:row r="149">
      <x:c r="A149" s="20" t="str">
        <x:v>REC-F04_NUM</x:v>
      </x:c>
      <x:c r="B149" s="20" t="str">
        <x:v>REC-F04</x:v>
      </x:c>
      <x:c r="C149" s="20" t="str">
        <x:v>Procuración de Fondos</x:v>
      </x:c>
      <x:c r="D149" s="20" t="str">
        <x:v>Sostenibilidad financiera</x:v>
      </x:c>
      <x:c r="E149" s="20" t="str">
        <x:v>Cobertura de pipeline ponderado de procuración</x:v>
      </x:c>
      <x:c r="F149" s="20" t="str">
        <x:v>NUM</x:v>
      </x:c>
      <x:c r="G149" s="20" t="str">
        <x:v>Valor ponderado por probabilidad de oportunidades activas</x:v>
      </x:c>
      <x:c r="H149" s="20" t="str">
        <x:v>%</x:v>
      </x:c>
      <x:c r="I149" s="20" t="str">
        <x:v>RATIO</x:v>
      </x:c>
      <x:c r="J149" s="20" t="str">
        <x:v>≥1.5x</x:v>
      </x:c>
      <x:c r="K149" s="20" t="str">
        <x:v>aggregated_measure</x:v>
      </x:c>
      <x:c r="L149" s="20" t="str">
        <x:v>YES</x:v>
      </x:c>
    </x:row>
    <x:row r="150">
      <x:c r="A150" s="20" t="str">
        <x:v>REC-F04_DEN</x:v>
      </x:c>
      <x:c r="B150" s="20" t="str">
        <x:v>REC-F04</x:v>
      </x:c>
      <x:c r="C150" s="20" t="str">
        <x:v>Procuración de Fondos</x:v>
      </x:c>
      <x:c r="D150" s="20" t="str">
        <x:v>Sostenibilidad financiera</x:v>
      </x:c>
      <x:c r="E150" s="20" t="str">
        <x:v>Cobertura de pipeline ponderado de procuración</x:v>
      </x:c>
      <x:c r="F150" s="20" t="str">
        <x:v>DEN</x:v>
      </x:c>
      <x:c r="G150" s="20" t="str">
        <x:v>necesidad de financiamiento de próximos 6 meses</x:v>
      </x:c>
      <x:c r="H150" s="20" t="str">
        <x:v># / base</x:v>
      </x:c>
      <x:c r="I150" s="20" t="str">
        <x:v>RATIO</x:v>
      </x:c>
      <x:c r="J150" s="20" t="str">
        <x:v>≥1.5x</x:v>
      </x:c>
      <x:c r="K150" s="20" t="str">
        <x:v>aggregated_measure</x:v>
      </x:c>
      <x:c r="L150" s="20" t="str">
        <x:v>YES</x:v>
      </x:c>
    </x:row>
    <x:row r="151">
      <x:c r="A151" s="20" t="str">
        <x:v>REC-F05_A</x:v>
      </x:c>
      <x:c r="B151" s="20" t="str">
        <x:v>REC-F05</x:v>
      </x:c>
      <x:c r="C151" s="20" t="str">
        <x:v>Administración + Finanzas</x:v>
      </x:c>
      <x:c r="D151" s="20" t="str">
        <x:v>Sostenibilidad financiera</x:v>
      </x:c>
      <x:c r="E151" s="20" t="str">
        <x:v>Variación presupuestal</x:v>
      </x:c>
      <x:c r="F151" s="20" t="str">
        <x:v>A</x:v>
      </x:c>
      <x:c r="G151" s="20" t="str">
        <x:v>Gasto real</x:v>
      </x:c>
      <x:c r="H151" s="20" t="str">
        <x:v>Moneda</x:v>
      </x:c>
      <x:c r="I151" s="20" t="str">
        <x:v>CHANGE_PCT</x:v>
      </x:c>
      <x:c r="J151" s="20" t="str">
        <x:v>Dentro de ±5% a nivel agregado, con tolerancias por rubro</x:v>
      </x:c>
      <x:c r="K151" s="20" t="str">
        <x:v>expense_amount</x:v>
      </x:c>
      <x:c r="L151" s="20" t="str">
        <x:v>YES</x:v>
      </x:c>
    </x:row>
    <x:row r="152">
      <x:c r="A152" s="20" t="str">
        <x:v>REC-F05_B</x:v>
      </x:c>
      <x:c r="B152" s="20" t="str">
        <x:v>REC-F05</x:v>
      </x:c>
      <x:c r="C152" s="20" t="str">
        <x:v>Administración + Finanzas</x:v>
      </x:c>
      <x:c r="D152" s="20" t="str">
        <x:v>Sostenibilidad financiera</x:v>
      </x:c>
      <x:c r="E152" s="20" t="str">
        <x:v>Variación presupuestal</x:v>
      </x:c>
      <x:c r="F152" s="20" t="str">
        <x:v>B</x:v>
      </x:c>
      <x:c r="G152" s="20" t="str">
        <x:v>presupuesto ajustado aprobado</x:v>
      </x:c>
      <x:c r="H152" s="20" t="str">
        <x:v>Moneda</x:v>
      </x:c>
      <x:c r="I152" s="20" t="str">
        <x:v>CHANGE_PCT</x:v>
      </x:c>
      <x:c r="J152" s="20" t="str">
        <x:v>Dentro de ±5% a nivel agregado, con tolerancias por rubro</x:v>
      </x:c>
      <x:c r="K152" s="20" t="str">
        <x:v>budget_amount</x:v>
      </x:c>
      <x:c r="L152" s="20" t="str">
        <x:v>YES</x:v>
      </x:c>
    </x:row>
    <x:row r="153">
      <x:c r="A153" s="20" t="str">
        <x:v>REC-F06_COST_DIRECT</x:v>
      </x:c>
      <x:c r="B153" s="20" t="str">
        <x:v>REC-F06</x:v>
      </x:c>
      <x:c r="C153" s="20" t="str">
        <x:v>Administración + Operaciones</x:v>
      </x:c>
      <x:c r="D153" s="20" t="str">
        <x:v>Sostenibilidad financiera</x:v>
      </x:c>
      <x:c r="E153" s="20" t="str">
        <x:v>Costo por beneficiario</x:v>
      </x:c>
      <x:c r="F153" s="20" t="str">
        <x:v>COST_DIRECT</x:v>
      </x:c>
      <x:c r="G153" s="20" t="str">
        <x:v>Costo directo</x:v>
      </x:c>
      <x:c r="H153" s="20" t="str">
        <x:v>USD</x:v>
      </x:c>
      <x:c r="I153" s="20" t="str">
        <x:v>COST_PER</x:v>
      </x:c>
      <x:c r="J153" s="20" t="str">
        <x:v>Baseline y benchmark por programa</x:v>
      </x:c>
      <x:c r="K153" s="20" t="str">
        <x:v>cost_amount</x:v>
      </x:c>
      <x:c r="L153" s="20" t="str">
        <x:v>YES</x:v>
      </x:c>
    </x:row>
    <x:row r="154">
      <x:c r="A154" s="20" t="str">
        <x:v>REC-F06_COST_ALLOC</x:v>
      </x:c>
      <x:c r="B154" s="20" t="str">
        <x:v>REC-F06</x:v>
      </x:c>
      <x:c r="C154" s="20" t="str">
        <x:v>Administración + Operaciones</x:v>
      </x:c>
      <x:c r="D154" s="20" t="str">
        <x:v>Sostenibilidad financiera</x:v>
      </x:c>
      <x:c r="E154" s="20" t="str">
        <x:v>Costo por beneficiario</x:v>
      </x:c>
      <x:c r="F154" s="20" t="str">
        <x:v>COST_ALLOC</x:v>
      </x:c>
      <x:c r="G154" s="20" t="str">
        <x:v>asignación acordada de costos de programa</x:v>
      </x:c>
      <x:c r="H154" s="20" t="str">
        <x:v>USD</x:v>
      </x:c>
      <x:c r="I154" s="20" t="str">
        <x:v>COST_PER</x:v>
      </x:c>
      <x:c r="J154" s="20" t="str">
        <x:v>Baseline y benchmark por programa</x:v>
      </x:c>
      <x:c r="K154" s="20" t="str">
        <x:v>program_count</x:v>
      </x:c>
      <x:c r="L154" s="20" t="str">
        <x:v>YES</x:v>
      </x:c>
    </x:row>
    <x:row r="155">
      <x:c r="A155" s="20" t="str">
        <x:v>REC-F06_DEN</x:v>
      </x:c>
      <x:c r="B155" s="20" t="str">
        <x:v>REC-F06</x:v>
      </x:c>
      <x:c r="C155" s="20" t="str">
        <x:v>Administración + Operaciones</x:v>
      </x:c>
      <x:c r="D155" s="20" t="str">
        <x:v>Sostenibilidad financiera</x:v>
      </x:c>
      <x:c r="E155" s="20" t="str">
        <x:v>Costo por beneficiario</x:v>
      </x:c>
      <x:c r="F155" s="20" t="str">
        <x:v>DEN</x:v>
      </x:c>
      <x:c r="G155" s="20" t="str">
        <x:v>beneficiarios válidos atendidos</x:v>
      </x:c>
      <x:c r="H155" s="20" t="str">
        <x:v># / base</x:v>
      </x:c>
      <x:c r="I155" s="20" t="str">
        <x:v>COST_PER</x:v>
      </x:c>
      <x:c r="J155" s="20" t="str">
        <x:v>Baseline y benchmark por programa</x:v>
      </x:c>
      <x:c r="K155" s="20" t="str">
        <x:v>beneficiary_count</x:v>
      </x:c>
      <x:c r="L155" s="20" t="str">
        <x:v>YES</x:v>
      </x:c>
    </x:row>
    <x:row r="156">
      <x:c r="A156" s="20" t="str">
        <x:v>REC-P01_NUM</x:v>
      </x:c>
      <x:c r="B156" s="20" t="str">
        <x:v>REC-P01</x:v>
      </x:c>
      <x:c r="C156" s="20" t="str">
        <x:v>Operaciones</x:v>
      </x:c>
      <x:c r="D156" s="20" t="str">
        <x:v>Procesos internos</x:v>
      </x:c>
      <x:c r="E156" s="20" t="str">
        <x:v>Programas ejecutados conforme al plan</x:v>
      </x:c>
      <x:c r="F156" s="20" t="str">
        <x:v>NUM</x:v>
      </x:c>
      <x:c r="G156" s="20" t="str">
        <x:v>Programas/ediciones ejecutados en alcance y ventana comprometidos</x:v>
      </x:c>
      <x:c r="H156" s="20" t="str">
        <x:v># / base</x:v>
      </x:c>
      <x:c r="I156" s="20" t="str">
        <x:v>RATIO_PCT</x:v>
      </x:c>
      <x:c r="J156" s="20" t="str">
        <x:v>≥95%</x:v>
      </x:c>
      <x:c r="K156" s="20" t="str">
        <x:v>program_count</x:v>
      </x:c>
      <x:c r="L156" s="20" t="str">
        <x:v>YES</x:v>
      </x:c>
    </x:row>
    <x:row r="157">
      <x:c r="A157" s="20" t="str">
        <x:v>REC-P01_DEN</x:v>
      </x:c>
      <x:c r="B157" s="20" t="str">
        <x:v>REC-P01</x:v>
      </x:c>
      <x:c r="C157" s="20" t="str">
        <x:v>Operaciones</x:v>
      </x:c>
      <x:c r="D157" s="20" t="str">
        <x:v>Procesos internos</x:v>
      </x:c>
      <x:c r="E157" s="20" t="str">
        <x:v>Programas ejecutados conforme al plan</x:v>
      </x:c>
      <x:c r="F157" s="20" t="str">
        <x:v>DEN</x:v>
      </x:c>
      <x:c r="G157" s="20" t="str">
        <x:v>programas/ediciones programados</x:v>
      </x:c>
      <x:c r="H157" s="20" t="str">
        <x:v># / base</x:v>
      </x:c>
      <x:c r="I157" s="20" t="str">
        <x:v>RATIO_PCT</x:v>
      </x:c>
      <x:c r="J157" s="20" t="str">
        <x:v>≥95%</x:v>
      </x:c>
      <x:c r="K157" s="20" t="str">
        <x:v>program_count</x:v>
      </x:c>
      <x:c r="L157" s="20" t="str">
        <x:v>YES</x:v>
      </x:c>
    </x:row>
    <x:row r="158">
      <x:c r="A158" s="20" t="str">
        <x:v>REC-P02_NUM</x:v>
      </x:c>
      <x:c r="B158" s="20" t="str">
        <x:v>REC-P02</x:v>
      </x:c>
      <x:c r="C158" s="20" t="str">
        <x:v>Operaciones</x:v>
      </x:c>
      <x:c r="D158" s="20" t="str">
        <x:v>Procesos internos</x:v>
      </x:c>
      <x:c r="E158" s="20" t="str">
        <x:v>Cobertura de medición de impacto</x:v>
      </x:c>
      <x:c r="F158" s="20" t="str">
        <x:v>NUM</x:v>
      </x:c>
      <x:c r="G158" s="20" t="str">
        <x:v>Programas con diseño de medición y datos de outcome suficientes</x:v>
      </x:c>
      <x:c r="H158" s="20" t="str">
        <x:v># / base</x:v>
      </x:c>
      <x:c r="I158" s="20" t="str">
        <x:v>RATIO_PCT</x:v>
      </x:c>
      <x:c r="J158" s="20" t="str">
        <x:v>100%</x:v>
      </x:c>
      <x:c r="K158" s="20" t="str">
        <x:v>program_count</x:v>
      </x:c>
      <x:c r="L158" s="20" t="str">
        <x:v>YES</x:v>
      </x:c>
    </x:row>
    <x:row r="159">
      <x:c r="A159" s="20" t="str">
        <x:v>REC-P02_DEN</x:v>
      </x:c>
      <x:c r="B159" s="20" t="str">
        <x:v>REC-P02</x:v>
      </x:c>
      <x:c r="C159" s="20" t="str">
        <x:v>Operaciones</x:v>
      </x:c>
      <x:c r="D159" s="20" t="str">
        <x:v>Procesos internos</x:v>
      </x:c>
      <x:c r="E159" s="20" t="str">
        <x:v>Cobertura de medición de impacto</x:v>
      </x:c>
      <x:c r="F159" s="20" t="str">
        <x:v>DEN</x:v>
      </x:c>
      <x:c r="G159" s="20" t="str">
        <x:v>programas ejecutados que requieren evaluación</x:v>
      </x:c>
      <x:c r="H159" s="20" t="str">
        <x:v># / base</x:v>
      </x:c>
      <x:c r="I159" s="20" t="str">
        <x:v>RATIO_PCT</x:v>
      </x:c>
      <x:c r="J159" s="20" t="str">
        <x:v>100%</x:v>
      </x:c>
      <x:c r="K159" s="20" t="str">
        <x:v>program_count</x:v>
      </x:c>
      <x:c r="L159" s="20" t="str">
        <x:v>YES</x:v>
      </x:c>
    </x:row>
    <x:row r="160">
      <x:c r="A160" s="20" t="str">
        <x:v>REC-P03_NUM</x:v>
      </x:c>
      <x:c r="B160" s="20" t="str">
        <x:v>REC-P03</x:v>
      </x:c>
      <x:c r="C160" s="20" t="str">
        <x:v>Marketing + Procuración de Fondos</x:v>
      </x:c>
      <x:c r="D160" s="20" t="str">
        <x:v>Procesos internos</x:v>
      </x:c>
      <x:c r="E160" s="20" t="str">
        <x:v>Conversión de campaña a nuevo donante</x:v>
      </x:c>
      <x:c r="F160" s="20" t="str">
        <x:v>NUM</x:v>
      </x:c>
      <x:c r="G160" s="20" t="str">
        <x:v>Nuevos donantes atribuibles a campaña</x:v>
      </x:c>
      <x:c r="H160" s="20" t="str">
        <x:v># / base</x:v>
      </x:c>
      <x:c r="I160" s="20" t="str">
        <x:v>RATIO_PCT</x:v>
      </x:c>
      <x:c r="J160" s="20" t="str">
        <x:v>Baseline 2026 + mejora</x:v>
      </x:c>
      <x:c r="K160" s="20" t="str">
        <x:v>donor_count</x:v>
      </x:c>
      <x:c r="L160" s="20" t="str">
        <x:v>YES</x:v>
      </x:c>
    </x:row>
    <x:row r="161">
      <x:c r="A161" s="20" t="str">
        <x:v>REC-P03_DEN</x:v>
      </x:c>
      <x:c r="B161" s="20" t="str">
        <x:v>REC-P03</x:v>
      </x:c>
      <x:c r="C161" s="20" t="str">
        <x:v>Marketing + Procuración de Fondos</x:v>
      </x:c>
      <x:c r="D161" s="20" t="str">
        <x:v>Procesos internos</x:v>
      </x:c>
      <x:c r="E161" s="20" t="str">
        <x:v>Conversión de campaña a nuevo donante</x:v>
      </x:c>
      <x:c r="F161" s="20" t="str">
        <x:v>DEN</x:v>
      </x:c>
      <x:c r="G161" s="20" t="str">
        <x:v>prospectos/leads elegibles generados por campaña</x:v>
      </x:c>
      <x:c r="H161" s="20" t="str">
        <x:v># / base</x:v>
      </x:c>
      <x:c r="I161" s="20" t="str">
        <x:v>RATIO_PCT</x:v>
      </x:c>
      <x:c r="J161" s="20" t="str">
        <x:v>Baseline 2026 + mejora</x:v>
      </x:c>
      <x:c r="K161" s="20" t="str">
        <x:v>campaign_count_or_amount</x:v>
      </x:c>
      <x:c r="L161" s="20" t="str">
        <x:v>YES</x:v>
      </x:c>
    </x:row>
    <x:row r="162">
      <x:c r="A162" s="20" t="str">
        <x:v>REC-P04_NUM</x:v>
      </x:c>
      <x:c r="B162" s="20" t="str">
        <x:v>REC-P04</x:v>
      </x:c>
      <x:c r="C162" s="20" t="str">
        <x:v>Administración</x:v>
      </x:c>
      <x:c r="D162" s="20" t="str">
        <x:v>Procesos internos</x:v>
      </x:c>
      <x:c r="E162" s="20" t="str">
        <x:v>Cumplimiento agregado de SLA administrativos</x:v>
      </x:c>
      <x:c r="F162" s="20" t="str">
        <x:v>NUM</x:v>
      </x:c>
      <x:c r="G162" s="20" t="str">
        <x:v>Solicitudes administrativas críticas resueltas dentro de su SLA</x:v>
      </x:c>
      <x:c r="H162" s="20" t="str">
        <x:v># / base</x:v>
      </x:c>
      <x:c r="I162" s="20" t="str">
        <x:v>RATIO_PCT</x:v>
      </x:c>
      <x:c r="J162" s="20" t="str">
        <x:v>≥95%</x:v>
      </x:c>
      <x:c r="K162" s="20" t="str">
        <x:v>request_count</x:v>
      </x:c>
      <x:c r="L162" s="20" t="str">
        <x:v>YES</x:v>
      </x:c>
    </x:row>
    <x:row r="163">
      <x:c r="A163" s="20" t="str">
        <x:v>REC-P04_DEN</x:v>
      </x:c>
      <x:c r="B163" s="20" t="str">
        <x:v>REC-P04</x:v>
      </x:c>
      <x:c r="C163" s="20" t="str">
        <x:v>Administración</x:v>
      </x:c>
      <x:c r="D163" s="20" t="str">
        <x:v>Procesos internos</x:v>
      </x:c>
      <x:c r="E163" s="20" t="str">
        <x:v>Cumplimiento agregado de SLA administrativos</x:v>
      </x:c>
      <x:c r="F163" s="20" t="str">
        <x:v>DEN</x:v>
      </x:c>
      <x:c r="G163" s="20" t="str">
        <x:v>solicitudes críticas completas</x:v>
      </x:c>
      <x:c r="H163" s="20" t="str">
        <x:v># / base</x:v>
      </x:c>
      <x:c r="I163" s="20" t="str">
        <x:v>RATIO_PCT</x:v>
      </x:c>
      <x:c r="J163" s="20" t="str">
        <x:v>≥95%</x:v>
      </x:c>
      <x:c r="K163" s="20" t="str">
        <x:v>request_count</x:v>
      </x:c>
      <x:c r="L163" s="20" t="str">
        <x:v>YES</x:v>
      </x:c>
    </x:row>
    <x:row r="164">
      <x:c r="A164" s="20" t="str">
        <x:v>REC-P06_VAL</x:v>
      </x:c>
      <x:c r="B164" s="20" t="str">
        <x:v>REC-P06</x:v>
      </x:c>
      <x:c r="C164" s="20" t="str">
        <x:v>Jurídico</x:v>
      </x:c>
      <x:c r="D164" s="20" t="str">
        <x:v>Procesos internos</x:v>
      </x:c>
      <x:c r="E164" s="20" t="str">
        <x:v>Obligaciones regulatorias vencidas</x:v>
      </x:c>
      <x:c r="F164" s="20" t="str">
        <x:v>VAL</x:v>
      </x:c>
      <x:c r="G164" s="20" t="str">
        <x:v>Número de obligaciones regulatorias vencidas y no cumplidas al corte</x:v>
      </x:c>
      <x:c r="H164" s="20" t="str">
        <x:v>#</x:v>
      </x:c>
      <x:c r="I164" s="20" t="str">
        <x:v>VALUE</x:v>
      </x:c>
      <x:c r="J164" s="20" t="str">
        <x:v>0</x:v>
      </x:c>
      <x:c r="K164" s="20" t="str">
        <x:v>obligation_count</x:v>
      </x:c>
      <x:c r="L164" s="20" t="str">
        <x:v>YES</x:v>
      </x:c>
    </x:row>
    <x:row r="165">
      <x:c r="A165" s="20" t="str">
        <x:v>REC-P07_NUM</x:v>
      </x:c>
      <x:c r="B165" s="20" t="str">
        <x:v>REC-P07</x:v>
      </x:c>
      <x:c r="C165" s="20" t="str">
        <x:v>Procuración de Fondos</x:v>
      </x:c>
      <x:c r="D165" s="20" t="str">
        <x:v>Procesos internos</x:v>
      </x:c>
      <x:c r="E165" s="20" t="str">
        <x:v>Conversión de alianzas estratégicas a recursos o capacidad programática</x:v>
      </x:c>
      <x:c r="F165" s="20" t="str">
        <x:v>NUM</x:v>
      </x:c>
      <x:c r="G165" s="20" t="str">
        <x:v>Alianzas nuevas que generan recursos, acceso, capacidad o implementación verificable</x:v>
      </x:c>
      <x:c r="H165" s="20" t="str">
        <x:v>Moneda</x:v>
      </x:c>
      <x:c r="I165" s="20" t="str">
        <x:v>RATIO_PCT</x:v>
      </x:c>
      <x:c r="J165" s="20" t="str">
        <x:v>≥70%</x:v>
      </x:c>
      <x:c r="K165" s="20" t="str">
        <x:v>alliance_count</x:v>
      </x:c>
      <x:c r="L165" s="20" t="str">
        <x:v>YES</x:v>
      </x:c>
    </x:row>
    <x:row r="166">
      <x:c r="A166" s="20" t="str">
        <x:v>REC-P07_DEN</x:v>
      </x:c>
      <x:c r="B166" s="20" t="str">
        <x:v>REC-P07</x:v>
      </x:c>
      <x:c r="C166" s="20" t="str">
        <x:v>Procuración de Fondos</x:v>
      </x:c>
      <x:c r="D166" s="20" t="str">
        <x:v>Procesos internos</x:v>
      </x:c>
      <x:c r="E166" s="20" t="str">
        <x:v>Conversión de alianzas estratégicas a recursos o capacidad programática</x:v>
      </x:c>
      <x:c r="F166" s="20" t="str">
        <x:v>DEN</x:v>
      </x:c>
      <x:c r="G166" s="20" t="str">
        <x:v>alianzas nuevas activas</x:v>
      </x:c>
      <x:c r="H166" s="20" t="str">
        <x:v># / base</x:v>
      </x:c>
      <x:c r="I166" s="20" t="str">
        <x:v>RATIO_PCT</x:v>
      </x:c>
      <x:c r="J166" s="20" t="str">
        <x:v>≥70%</x:v>
      </x:c>
      <x:c r="K166" s="20" t="str">
        <x:v>alliance_count</x:v>
      </x:c>
      <x:c r="L166" s="20" t="str">
        <x:v>YES</x:v>
      </x:c>
    </x:row>
    <x:row r="167">
      <x:c r="A167" s="20" t="str">
        <x:v>REC-L01_NUM</x:v>
      </x:c>
      <x:c r="B167" s="20" t="str">
        <x:v>REC-L01</x:v>
      </x:c>
      <x:c r="C167" s="20" t="str">
        <x:v>Todas las áreas</x:v>
      </x:c>
      <x:c r="D167" s="20" t="str">
        <x:v>Capacidades y tecnología</x:v>
      </x:c>
      <x:c r="E167" s="20" t="str">
        <x:v>Integridad y actualización de datos estratégicos</x:v>
      </x:c>
      <x:c r="F167" s="20" t="str">
        <x:v>NUM</x:v>
      </x:c>
      <x:c r="G167" s="20" t="str">
        <x:v>Campos/KPIs estratégicos requeridos completos, válidos y actualizados</x:v>
      </x:c>
      <x:c r="H167" s="20" t="str">
        <x:v># / base</x:v>
      </x:c>
      <x:c r="I167" s="20" t="str">
        <x:v>RATIO_PCT</x:v>
      </x:c>
      <x:c r="J167" s="20" t="str">
        <x:v>≥95%</x:v>
      </x:c>
      <x:c r="K167" s="20" t="str">
        <x:v>aggregated_measure</x:v>
      </x:c>
      <x:c r="L167" s="20" t="str">
        <x:v>YES</x:v>
      </x:c>
    </x:row>
    <x:row r="168">
      <x:c r="A168" s="20" t="str">
        <x:v>REC-L01_DEN</x:v>
      </x:c>
      <x:c r="B168" s="20" t="str">
        <x:v>REC-L01</x:v>
      </x:c>
      <x:c r="C168" s="20" t="str">
        <x:v>Todas las áreas</x:v>
      </x:c>
      <x:c r="D168" s="20" t="str">
        <x:v>Capacidades y tecnología</x:v>
      </x:c>
      <x:c r="E168" s="20" t="str">
        <x:v>Integridad y actualización de datos estratégicos</x:v>
      </x:c>
      <x:c r="F168" s="20" t="str">
        <x:v>DEN</x:v>
      </x:c>
      <x:c r="G168" s="20" t="str">
        <x:v>campos/KPIs requeridos</x:v>
      </x:c>
      <x:c r="H168" s="20" t="str">
        <x:v># / base</x:v>
      </x:c>
      <x:c r="I168" s="20" t="str">
        <x:v>RATIO_PCT</x:v>
      </x:c>
      <x:c r="J168" s="20" t="str">
        <x:v>≥95%</x:v>
      </x:c>
      <x:c r="K168" s="20" t="str">
        <x:v>aggregated_measure</x:v>
      </x:c>
      <x:c r="L168" s="20" t="str">
        <x:v>YES</x:v>
      </x:c>
    </x:row>
    <x:row r="169">
      <x:c r="A169" s="20" t="str">
        <x:v>REC-L02_NUM</x:v>
      </x:c>
      <x:c r="B169" s="20" t="str">
        <x:v>REC-L02</x:v>
      </x:c>
      <x:c r="C169" s="20" t="str">
        <x:v>Dirección + Administración</x:v>
      </x:c>
      <x:c r="D169" s="20" t="str">
        <x:v>Capacidades y tecnología</x:v>
      </x:c>
      <x:c r="E169" s="20" t="str">
        <x:v>Adopción de la plataforma de gestión</x:v>
      </x:c>
      <x:c r="F169" s="20" t="str">
        <x:v>NUM</x:v>
      </x:c>
      <x:c r="G169" s="20" t="str">
        <x:v>Usuarios objetivo con uso activo relevante en el periodo</x:v>
      </x:c>
      <x:c r="H169" s="20" t="str">
        <x:v># / base</x:v>
      </x:c>
      <x:c r="I169" s="20" t="str">
        <x:v>RATIO_PCT</x:v>
      </x:c>
      <x:c r="J169" s="20" t="str">
        <x:v>≥90% una vez desplegada</x:v>
      </x:c>
      <x:c r="K169" s="20" t="str">
        <x:v>user_count</x:v>
      </x:c>
      <x:c r="L169" s="20" t="str">
        <x:v>YES</x:v>
      </x:c>
    </x:row>
    <x:row r="170">
      <x:c r="A170" s="20" t="str">
        <x:v>REC-L02_DEN</x:v>
      </x:c>
      <x:c r="B170" s="20" t="str">
        <x:v>REC-L02</x:v>
      </x:c>
      <x:c r="C170" s="20" t="str">
        <x:v>Dirección + Administración</x:v>
      </x:c>
      <x:c r="D170" s="20" t="str">
        <x:v>Capacidades y tecnología</x:v>
      </x:c>
      <x:c r="E170" s="20" t="str">
        <x:v>Adopción de la plataforma de gestión</x:v>
      </x:c>
      <x:c r="F170" s="20" t="str">
        <x:v>DEN</x:v>
      </x:c>
      <x:c r="G170" s="20" t="str">
        <x:v>usuarios objetivo habilitados</x:v>
      </x:c>
      <x:c r="H170" s="20" t="str">
        <x:v># / base</x:v>
      </x:c>
      <x:c r="I170" s="20" t="str">
        <x:v>RATIO_PCT</x:v>
      </x:c>
      <x:c r="J170" s="20" t="str">
        <x:v>≥90% una vez desplegada</x:v>
      </x:c>
      <x:c r="K170" s="20" t="str">
        <x:v>user_count</x:v>
      </x:c>
      <x:c r="L170" s="20" t="str">
        <x:v>YES</x:v>
      </x:c>
    </x:row>
    <x:row r="171">
      <x:c r="A171" s="20" t="str">
        <x:v>REC-L03_NUM</x:v>
      </x:c>
      <x:c r="B171" s="20" t="str">
        <x:v>REC-L03</x:v>
      </x:c>
      <x:c r="C171" s="20" t="str">
        <x:v>Administración + Jurídico</x:v>
      </x:c>
      <x:c r="D171" s="20" t="str">
        <x:v>Capacidades y tecnología</x:v>
      </x:c>
      <x:c r="E171" s="20" t="str">
        <x:v>Cobertura de procesos críticos digitalizados</x:v>
      </x:c>
      <x:c r="F171" s="20" t="str">
        <x:v>NUM</x:v>
      </x:c>
      <x:c r="G171" s="20" t="str">
        <x:v>Procesos críticos con flujo digital end-to-end y trazabilidad</x:v>
      </x:c>
      <x:c r="H171" s="20" t="str">
        <x:v># / base</x:v>
      </x:c>
      <x:c r="I171" s="20" t="str">
        <x:v>RATIO_PCT</x:v>
      </x:c>
      <x:c r="J171" s="20" t="str">
        <x:v>≥80%</x:v>
      </x:c>
      <x:c r="K171" s="20" t="str">
        <x:v>aggregated_measure</x:v>
      </x:c>
      <x:c r="L171" s="20" t="str">
        <x:v>YES</x:v>
      </x:c>
    </x:row>
    <x:row r="172">
      <x:c r="A172" s="20" t="str">
        <x:v>REC-L03_DEN</x:v>
      </x:c>
      <x:c r="B172" s="20" t="str">
        <x:v>REC-L03</x:v>
      </x:c>
      <x:c r="C172" s="20" t="str">
        <x:v>Administración + Jurídico</x:v>
      </x:c>
      <x:c r="D172" s="20" t="str">
        <x:v>Capacidades y tecnología</x:v>
      </x:c>
      <x:c r="E172" s="20" t="str">
        <x:v>Cobertura de procesos críticos digitalizados</x:v>
      </x:c>
      <x:c r="F172" s="20" t="str">
        <x:v>DEN</x:v>
      </x:c>
      <x:c r="G172" s="20" t="str">
        <x:v>procesos críticos priorizados</x:v>
      </x:c>
      <x:c r="H172" s="20" t="str">
        <x:v># / base</x:v>
      </x:c>
      <x:c r="I172" s="20" t="str">
        <x:v>RATIO_PCT</x:v>
      </x:c>
      <x:c r="J172" s="20" t="str">
        <x:v>≥80%</x:v>
      </x:c>
      <x:c r="K172" s="20" t="str">
        <x:v>aggregated_measure</x:v>
      </x:c>
      <x:c r="L172" s="20" t="str">
        <x:v>YES</x:v>
      </x:c>
    </x:row>
    <x:row r="173">
      <x:c r="A173" s="20" t="str">
        <x:v>REC-L04_NUM</x:v>
      </x:c>
      <x:c r="B173" s="20" t="str">
        <x:v>REC-L04</x:v>
      </x:c>
      <x:c r="C173" s="20" t="str">
        <x:v>Dirección / RH</x:v>
      </x:c>
      <x:c r="D173" s="20" t="str">
        <x:v>Capacidades y tecnología</x:v>
      </x:c>
      <x:c r="E173" s="20" t="str">
        <x:v>Cobertura de capacitación crítica</x:v>
      </x:c>
      <x:c r="F173" s="20" t="str">
        <x:v>NUM</x:v>
      </x:c>
      <x:c r="G173" s="20" t="str">
        <x:v>Personas que completan y aprueban capacitación obligatoria</x:v>
      </x:c>
      <x:c r="H173" s="20" t="str">
        <x:v># / base</x:v>
      </x:c>
      <x:c r="I173" s="20" t="str">
        <x:v>RATIO_PCT</x:v>
      </x:c>
      <x:c r="J173" s="20" t="str">
        <x:v>100%</x:v>
      </x:c>
      <x:c r="K173" s="20" t="str">
        <x:v>aggregated_measure</x:v>
      </x:c>
      <x:c r="L173" s="20" t="str">
        <x:v>YES</x:v>
      </x:c>
    </x:row>
    <x:row r="174">
      <x:c r="A174" s="20" t="str">
        <x:v>REC-L04_DEN</x:v>
      </x:c>
      <x:c r="B174" s="20" t="str">
        <x:v>REC-L04</x:v>
      </x:c>
      <x:c r="C174" s="20" t="str">
        <x:v>Dirección / RH</x:v>
      </x:c>
      <x:c r="D174" s="20" t="str">
        <x:v>Capacidades y tecnología</x:v>
      </x:c>
      <x:c r="E174" s="20" t="str">
        <x:v>Cobertura de capacitación crítica</x:v>
      </x:c>
      <x:c r="F174" s="20" t="str">
        <x:v>DEN</x:v>
      </x:c>
      <x:c r="G174" s="20" t="str">
        <x:v>personas requeridas</x:v>
      </x:c>
      <x:c r="H174" s="20" t="str">
        <x:v># / base</x:v>
      </x:c>
      <x:c r="I174" s="20" t="str">
        <x:v>RATIO_PCT</x:v>
      </x:c>
      <x:c r="J174" s="20" t="str">
        <x:v>100%</x:v>
      </x:c>
      <x:c r="K174" s="20" t="str">
        <x:v>aggregated_measure</x:v>
      </x:c>
      <x:c r="L174" s="20" t="str">
        <x:v>YES</x:v>
      </x:c>
    </x:row>
    <x:row r="175">
      <x:c r="A175" s="20" t="str">
        <x:v>REC-L05_NUM</x:v>
      </x:c>
      <x:c r="B175" s="20" t="str">
        <x:v>REC-L05</x:v>
      </x:c>
      <x:c r="C175" s="20" t="str">
        <x:v>Todas las áreas</x:v>
      </x:c>
      <x:c r="D175" s="20" t="str">
        <x:v>Capacidades y tecnología</x:v>
      </x:c>
      <x:c r="E175" s="20" t="str">
        <x:v>Cumplimiento de compromisos interárea</x:v>
      </x:c>
      <x:c r="F175" s="20" t="str">
        <x:v>NUM</x:v>
      </x:c>
      <x:c r="G175" s="20" t="str">
        <x:v>Compromisos interárea cerrados en fecha y aceptados por receptor</x:v>
      </x:c>
      <x:c r="H175" s="20" t="str">
        <x:v>días</x:v>
      </x:c>
      <x:c r="I175" s="20" t="str">
        <x:v>RATIO_PCT</x:v>
      </x:c>
      <x:c r="J175" s="20" t="str">
        <x:v>≥90%</x:v>
      </x:c>
      <x:c r="K175" s="20" t="str">
        <x:v>date_or_deadline</x:v>
      </x:c>
      <x:c r="L175" s="20" t="str">
        <x:v>YES</x:v>
      </x:c>
    </x:row>
    <x:row r="176">
      <x:c r="A176" s="20" t="str">
        <x:v>REC-L05_DEN</x:v>
      </x:c>
      <x:c r="B176" s="20" t="str">
        <x:v>REC-L05</x:v>
      </x:c>
      <x:c r="C176" s="20" t="str">
        <x:v>Todas las áreas</x:v>
      </x:c>
      <x:c r="D176" s="20" t="str">
        <x:v>Capacidades y tecnología</x:v>
      </x:c>
      <x:c r="E176" s="20" t="str">
        <x:v>Cumplimiento de compromisos interárea</x:v>
      </x:c>
      <x:c r="F176" s="20" t="str">
        <x:v>DEN</x:v>
      </x:c>
      <x:c r="G176" s="20" t="str">
        <x:v>compromisos interárea vencidos</x:v>
      </x:c>
      <x:c r="H176" s="20" t="str">
        <x:v># / base</x:v>
      </x:c>
      <x:c r="I176" s="20" t="str">
        <x:v>RATIO_PCT</x:v>
      </x:c>
      <x:c r="J176" s="20" t="str">
        <x:v>≥90%</x:v>
      </x:c>
      <x:c r="K176" s="20" t="str">
        <x:v>aggregated_measure</x:v>
      </x:c>
      <x:c r="L176" s="20" t="str">
        <x:v>YES</x:v>
      </x:c>
    </x:row>
    <x:row r="177">
      <x:c r="A177" s="20" t="str">
        <x:v>REC-M02_NUM</x:v>
      </x:c>
      <x:c r="B177" s="20" t="str">
        <x:v>REC-M02</x:v>
      </x:c>
      <x:c r="C177" s="20" t="str">
        <x:v>Marketing y Comunicación</x:v>
      </x:c>
      <x:c r="D177" s="20" t="str">
        <x:v>Procesos internos</x:v>
      </x:c>
      <x:c r="E177" s="20" t="str">
        <x:v>Costo de adquisición de nuevo donante</x:v>
      </x:c>
      <x:c r="F177" s="20" t="str">
        <x:v>NUM</x:v>
      </x:c>
      <x:c r="G177" s="20" t="str">
        <x:v>Costo incremental atribuible a captación</x:v>
      </x:c>
      <x:c r="H177" s="20" t="str">
        <x:v>USD</x:v>
      </x:c>
      <x:c r="I177" s="20" t="str">
        <x:v>RATIO</x:v>
      </x:c>
      <x:c r="J177" s="20" t="str">
        <x:v>Baseline 2026 y mejora por canal/campaña</x:v>
      </x:c>
      <x:c r="K177" s="20" t="str">
        <x:v>cost_amount</x:v>
      </x:c>
      <x:c r="L177" s="20" t="str">
        <x:v>YES</x:v>
      </x:c>
    </x:row>
    <x:row r="178">
      <x:c r="A178" s="20" t="str">
        <x:v>REC-M02_DEN</x:v>
      </x:c>
      <x:c r="B178" s="20" t="str">
        <x:v>REC-M02</x:v>
      </x:c>
      <x:c r="C178" s="20" t="str">
        <x:v>Marketing y Comunicación</x:v>
      </x:c>
      <x:c r="D178" s="20" t="str">
        <x:v>Procesos internos</x:v>
      </x:c>
      <x:c r="E178" s="20" t="str">
        <x:v>Costo de adquisición de nuevo donante</x:v>
      </x:c>
      <x:c r="F178" s="20" t="str">
        <x:v>DEN</x:v>
      </x:c>
      <x:c r="G178" s="20" t="str">
        <x:v>nuevos donantes adquiridos atribuibles</x:v>
      </x:c>
      <x:c r="H178" s="20" t="str">
        <x:v># / base</x:v>
      </x:c>
      <x:c r="I178" s="20" t="str">
        <x:v>RATIO</x:v>
      </x:c>
      <x:c r="J178" s="20" t="str">
        <x:v>Baseline 2026 y mejora por canal/campaña</x:v>
      </x:c>
      <x:c r="K178" s="20" t="str">
        <x:v>donor_count</x:v>
      </x:c>
      <x:c r="L178" s="20" t="str">
        <x:v>YES</x:v>
      </x:c>
    </x:row>
    <x:row r="179">
      <x:c r="A179" s="20" t="str">
        <x:v>REC-M03_NUM</x:v>
      </x:c>
      <x:c r="B179" s="20" t="str">
        <x:v>REC-M03</x:v>
      </x:c>
      <x:c r="C179" s="20" t="str">
        <x:v>Marketing y Comunicación</x:v>
      </x:c>
      <x:c r="D179" s="20" t="str">
        <x:v>Beneficiarios y grupos de interés</x:v>
      </x:c>
      <x:c r="E179" s="20" t="str">
        <x:v>Contenido de impacto con evidencia verificable</x:v>
      </x:c>
      <x:c r="F179" s="20" t="str">
        <x:v>NUM</x:v>
      </x:c>
      <x:c r="G179" s="20" t="str">
        <x:v>Piezas de comunicación de impacto que incluyen dato/evidencia validada</x:v>
      </x:c>
      <x:c r="H179" s="20" t="str">
        <x:v># / base</x:v>
      </x:c>
      <x:c r="I179" s="20" t="str">
        <x:v>RATIO_PCT</x:v>
      </x:c>
      <x:c r="J179" s="20" t="str">
        <x:v>100%</x:v>
      </x:c>
      <x:c r="K179" s="20" t="str">
        <x:v>aggregated_measure</x:v>
      </x:c>
      <x:c r="L179" s="20" t="str">
        <x:v>YES</x:v>
      </x:c>
    </x:row>
    <x:row r="180">
      <x:c r="A180" s="20" t="str">
        <x:v>REC-M03_DEN</x:v>
      </x:c>
      <x:c r="B180" s="20" t="str">
        <x:v>REC-M03</x:v>
      </x:c>
      <x:c r="C180" s="20" t="str">
        <x:v>Marketing y Comunicación</x:v>
      </x:c>
      <x:c r="D180" s="20" t="str">
        <x:v>Beneficiarios y grupos de interés</x:v>
      </x:c>
      <x:c r="E180" s="20" t="str">
        <x:v>Contenido de impacto con evidencia verificable</x:v>
      </x:c>
      <x:c r="F180" s="20" t="str">
        <x:v>DEN</x:v>
      </x:c>
      <x:c r="G180" s="20" t="str">
        <x:v>piezas que comunican impacto</x:v>
      </x:c>
      <x:c r="H180" s="20" t="str">
        <x:v># / base</x:v>
      </x:c>
      <x:c r="I180" s="20" t="str">
        <x:v>RATIO_PCT</x:v>
      </x:c>
      <x:c r="J180" s="20" t="str">
        <x:v>100%</x:v>
      </x:c>
      <x:c r="K180" s="20" t="str">
        <x:v>aggregated_measure</x:v>
      </x:c>
      <x:c r="L180" s="20" t="str">
        <x:v>YES</x:v>
      </x:c>
    </x:row>
    <x:row r="181">
      <x:c r="A181" s="20" t="str">
        <x:v>REC-F07_P1</x:v>
      </x:c>
      <x:c r="B181" s="20" t="str">
        <x:v>REC-F07</x:v>
      </x:c>
      <x:c r="C181" s="20" t="str">
        <x:v>Procuración de Fondos</x:v>
      </x:c>
      <x:c r="D181" s="20" t="str">
        <x:v>Sostenibilidad financiera</x:v>
      </x:c>
      <x:c r="E181" s="20" t="str">
        <x:v>Nuevos donantes recurrentes totales</x:v>
      </x:c>
      <x:c r="F181" s="20" t="str">
        <x:v>P1</x:v>
      </x:c>
      <x:c r="G181" s="20" t="str">
        <x:v>Nuevos donantes recurrentes USA</x:v>
      </x:c>
      <x:c r="H181" s="20" t="str">
        <x:v>#</x:v>
      </x:c>
      <x:c r="I181" s="20" t="str">
        <x:v>SUM</x:v>
      </x:c>
      <x:c r="J181" s="20" t="str">
        <x:v>≥48</x:v>
      </x:c>
      <x:c r="K181" s="20" t="str">
        <x:v>donor_count</x:v>
      </x:c>
      <x:c r="L181" s="20" t="str">
        <x:v>YES</x:v>
      </x:c>
    </x:row>
    <x:row r="182">
      <x:c r="A182" s="20" t="str">
        <x:v>REC-F07_P2</x:v>
      </x:c>
      <x:c r="B182" s="20" t="str">
        <x:v>REC-F07</x:v>
      </x:c>
      <x:c r="C182" s="20" t="str">
        <x:v>Procuración de Fondos</x:v>
      </x:c>
      <x:c r="D182" s="20" t="str">
        <x:v>Sostenibilidad financiera</x:v>
      </x:c>
      <x:c r="E182" s="20" t="str">
        <x:v>Nuevos donantes recurrentes totales</x:v>
      </x:c>
      <x:c r="F182" s="20" t="str">
        <x:v>P2</x:v>
      </x:c>
      <x:c r="G182" s="20" t="str">
        <x:v>México</x:v>
      </x:c>
      <x:c r="H182" s="20" t="str">
        <x:v>#</x:v>
      </x:c>
      <x:c r="I182" s="20" t="str">
        <x:v>SUM</x:v>
      </x:c>
      <x:c r="J182" s="20" t="str">
        <x:v>≥48</x:v>
      </x:c>
      <x:c r="K182" s="20" t="str">
        <x:v>aggregated_measure</x:v>
      </x:c>
      <x:c r="L182" s="20" t="str">
        <x:v>YES</x:v>
      </x:c>
    </x:row>
    <x:row r="183">
      <x:c r="A183" s="20" t="str">
        <x:v>REC-F07_P3</x:v>
      </x:c>
      <x:c r="B183" s="20" t="str">
        <x:v>REC-F07</x:v>
      </x:c>
      <x:c r="C183" s="20" t="str">
        <x:v>Procuración de Fondos</x:v>
      </x:c>
      <x:c r="D183" s="20" t="str">
        <x:v>Sostenibilidad financiera</x:v>
      </x:c>
      <x:c r="E183" s="20" t="str">
        <x:v>Nuevos donantes recurrentes totales</x:v>
      </x:c>
      <x:c r="F183" s="20" t="str">
        <x:v>P3</x:v>
      </x:c>
      <x:c r="G183" s="20" t="str">
        <x:v>Perú</x:v>
      </x:c>
      <x:c r="H183" s="20" t="str">
        <x:v>#</x:v>
      </x:c>
      <x:c r="I183" s="20" t="str">
        <x:v>SUM</x:v>
      </x:c>
      <x:c r="J183" s="20" t="str">
        <x:v>≥48</x:v>
      </x:c>
      <x:c r="K183" s="20" t="str">
        <x:v>aggregated_measure</x:v>
      </x:c>
      <x:c r="L183" s="20" t="str">
        <x:v>YES</x:v>
      </x:c>
    </x:row>
    <x:row r="184">
      <x:c r="A184" s="20" t="str">
        <x:v>REC-F07_P4</x:v>
      </x:c>
      <x:c r="B184" s="20" t="str">
        <x:v>REC-F07</x:v>
      </x:c>
      <x:c r="C184" s="20" t="str">
        <x:v>Procuración de Fondos</x:v>
      </x:c>
      <x:c r="D184" s="20" t="str">
        <x:v>Sostenibilidad financiera</x:v>
      </x:c>
      <x:c r="E184" s="20" t="str">
        <x:v>Nuevos donantes recurrentes totales</x:v>
      </x:c>
      <x:c r="F184" s="20" t="str">
        <x:v>P4</x:v>
      </x:c>
      <x:c r="G184" s="20" t="str">
        <x:v>Colombia</x:v>
      </x:c>
      <x:c r="H184" s="20" t="str">
        <x:v>#</x:v>
      </x:c>
      <x:c r="I184" s="20" t="str">
        <x:v>SUM</x:v>
      </x:c>
      <x:c r="J184" s="20" t="str">
        <x:v>≥48</x:v>
      </x:c>
      <x:c r="K184" s="20" t="str">
        <x:v>aggregated_measure</x:v>
      </x:c>
      <x:c r="L184" s="20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5871e6e27ec44a9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4" hidden="0" customWidth="1"/>
    <x:col min="4" max="4" width="12" hidden="0" customWidth="1"/>
    <x:col min="5" max="5" width="12" hidden="0" customWidth="1"/>
    <x:col min="6" max="6" width="52" hidden="0" customWidth="1"/>
    <x:col min="7" max="7" width="18" hidden="0" customWidth="1"/>
    <x:col min="8" max="8" width="16" hidden="0" customWidth="1"/>
    <x:col min="9" max="9" width="20" hidden="0" customWidth="1"/>
    <x:col min="10" max="10" width="14" hidden="0" customWidth="1"/>
  </x:cols>
  <x:sheetData>
    <x:row r="1">
      <x:c r="A1" s="47" t="str">
        <x:v>Value_ID</x:v>
      </x:c>
      <x:c r="B1" s="47" t="str">
        <x:v>Year</x:v>
      </x:c>
      <x:c r="C1" s="47" t="str">
        <x:v>Área / módulo</x:v>
      </x:c>
      <x:c r="D1" s="47" t="str">
        <x:v>KPI_ID</x:v>
      </x:c>
      <x:c r="E1" s="47" t="str">
        <x:v>Input_Role</x:v>
      </x:c>
      <x:c r="F1" s="47" t="str">
        <x:v>Value_Name</x:v>
      </x:c>
      <x:c r="G1" s="47" t="str">
        <x:v>Unit</x:v>
      </x:c>
      <x:c r="H1" s="47" t="str">
        <x:v>Value</x:v>
      </x:c>
      <x:c r="I1" s="47" t="str">
        <x:v>Period_Status</x:v>
      </x:c>
      <x:c r="J1" s="47" t="str">
        <x:v>Is_Synthetic</x:v>
      </x:c>
    </x:row>
    <x:row r="2">
      <x:c r="A2" s="20" t="str">
        <x:v>ADM-001_NUM</x:v>
      </x:c>
      <x:c r="B2" s="20" t="n">
        <x:v>2023</x:v>
      </x:c>
      <x:c r="C2" s="20" t="str">
        <x:v>Administración</x:v>
      </x:c>
      <x:c r="D2" s="20" t="str">
        <x:v>ADM-001</x:v>
      </x:c>
      <x:c r="E2" s="20" t="str">
        <x:v>NUM</x:v>
      </x:c>
      <x:c r="F2" s="20" t="str">
        <x:v>Solicitudes de facturación emitidas dentro de 3 días hábiles</x:v>
      </x:c>
      <x:c r="G2" s="20" t="str">
        <x:v>días</x:v>
      </x:c>
      <x:c r="H2" s="20" t="n">
        <x:v>202</x:v>
      </x:c>
      <x:c r="I2" s="20" t="str">
        <x:v>Historical Dummy</x:v>
      </x:c>
      <x:c r="J2" s="20" t="str">
        <x:v>YES</x:v>
      </x:c>
    </x:row>
    <x:row r="3">
      <x:c r="A3" s="20" t="str">
        <x:v>ADM-001_NUM</x:v>
      </x:c>
      <x:c r="B3" s="20" t="n">
        <x:v>2024</x:v>
      </x:c>
      <x:c r="C3" s="20" t="str">
        <x:v>Administración</x:v>
      </x:c>
      <x:c r="D3" s="20" t="str">
        <x:v>ADM-001</x:v>
      </x:c>
      <x:c r="E3" s="20" t="str">
        <x:v>NUM</x:v>
      </x:c>
      <x:c r="F3" s="20" t="str">
        <x:v>Solicitudes de facturación emitidas dentro de 3 días hábiles</x:v>
      </x:c>
      <x:c r="G3" s="20" t="str">
        <x:v>días</x:v>
      </x:c>
      <x:c r="H3" s="20" t="n">
        <x:v>231</x:v>
      </x:c>
      <x:c r="I3" s="20" t="str">
        <x:v>Historical Dummy</x:v>
      </x:c>
      <x:c r="J3" s="20" t="str">
        <x:v>YES</x:v>
      </x:c>
    </x:row>
    <x:row r="4">
      <x:c r="A4" s="20" t="str">
        <x:v>ADM-001_NUM</x:v>
      </x:c>
      <x:c r="B4" s="20" t="n">
        <x:v>2025</x:v>
      </x:c>
      <x:c r="C4" s="20" t="str">
        <x:v>Administración</x:v>
      </x:c>
      <x:c r="D4" s="20" t="str">
        <x:v>ADM-001</x:v>
      </x:c>
      <x:c r="E4" s="20" t="str">
        <x:v>NUM</x:v>
      </x:c>
      <x:c r="F4" s="20" t="str">
        <x:v>Solicitudes de facturación emitidas dentro de 3 días hábiles</x:v>
      </x:c>
      <x:c r="G4" s="20" t="str">
        <x:v>días</x:v>
      </x:c>
      <x:c r="H4" s="20" t="n">
        <x:v>261</x:v>
      </x:c>
      <x:c r="I4" s="20" t="str">
        <x:v>Historical Dummy</x:v>
      </x:c>
      <x:c r="J4" s="20" t="str">
        <x:v>YES</x:v>
      </x:c>
    </x:row>
    <x:row r="5">
      <x:c r="A5" s="20" t="str">
        <x:v>ADM-001_NUM</x:v>
      </x:c>
      <x:c r="B5" s="20" t="n">
        <x:v>2026</x:v>
      </x:c>
      <x:c r="C5" s="20" t="str">
        <x:v>Administración</x:v>
      </x:c>
      <x:c r="D5" s="20" t="str">
        <x:v>ADM-001</x:v>
      </x:c>
      <x:c r="E5" s="20" t="str">
        <x:v>NUM</x:v>
      </x:c>
      <x:c r="F5" s="20" t="str">
        <x:v>Solicitudes de facturación emitidas dentro de 3 días hábiles</x:v>
      </x:c>
      <x:c r="G5" s="20" t="str">
        <x:v>días</x:v>
      </x:c>
      <x:c r="H5" s="20" t="n">
        <x:v>300</x:v>
      </x:c>
      <x:c r="I5" s="20" t="str">
        <x:v>Plan-Year Dummy</x:v>
      </x:c>
      <x:c r="J5" s="20" t="str">
        <x:v>YES</x:v>
      </x:c>
    </x:row>
    <x:row r="6">
      <x:c r="A6" s="20" t="str">
        <x:v>ADM-001_DEN</x:v>
      </x:c>
      <x:c r="B6" s="20" t="n">
        <x:v>2023</x:v>
      </x:c>
      <x:c r="C6" s="20" t="str">
        <x:v>Administración</x:v>
      </x:c>
      <x:c r="D6" s="20" t="str">
        <x:v>ADM-001</x:v>
      </x:c>
      <x:c r="E6" s="20" t="str">
        <x:v>DEN</x:v>
      </x:c>
      <x:c r="F6" s="20" t="str">
        <x:v>solicitudes autorizadas completas</x:v>
      </x:c>
      <x:c r="G6" s="20" t="str">
        <x:v># / base</x:v>
      </x:c>
      <x:c r="H6" s="20" t="n">
        <x:v>240</x:v>
      </x:c>
      <x:c r="I6" s="20" t="str">
        <x:v>Historical Dummy</x:v>
      </x:c>
      <x:c r="J6" s="20" t="str">
        <x:v>YES</x:v>
      </x:c>
    </x:row>
    <x:row r="7">
      <x:c r="A7" s="20" t="str">
        <x:v>ADM-001_DEN</x:v>
      </x:c>
      <x:c r="B7" s="20" t="n">
        <x:v>2024</x:v>
      </x:c>
      <x:c r="C7" s="20" t="str">
        <x:v>Administración</x:v>
      </x:c>
      <x:c r="D7" s="20" t="str">
        <x:v>ADM-001</x:v>
      </x:c>
      <x:c r="E7" s="20" t="str">
        <x:v>DEN</x:v>
      </x:c>
      <x:c r="F7" s="20" t="str">
        <x:v>solicitudes autorizadas completas</x:v>
      </x:c>
      <x:c r="G7" s="20" t="str">
        <x:v># / base</x:v>
      </x:c>
      <x:c r="H7" s="20" t="n">
        <x:v>259</x:v>
      </x:c>
      <x:c r="I7" s="20" t="str">
        <x:v>Historical Dummy</x:v>
      </x:c>
      <x:c r="J7" s="20" t="str">
        <x:v>YES</x:v>
      </x:c>
    </x:row>
    <x:row r="8">
      <x:c r="A8" s="20" t="str">
        <x:v>ADM-001_DEN</x:v>
      </x:c>
      <x:c r="B8" s="20" t="n">
        <x:v>2025</x:v>
      </x:c>
      <x:c r="C8" s="20" t="str">
        <x:v>Administración</x:v>
      </x:c>
      <x:c r="D8" s="20" t="str">
        <x:v>ADM-001</x:v>
      </x:c>
      <x:c r="E8" s="20" t="str">
        <x:v>DEN</x:v>
      </x:c>
      <x:c r="F8" s="20" t="str">
        <x:v>solicitudes autorizadas completas</x:v>
      </x:c>
      <x:c r="G8" s="20" t="str">
        <x:v># / base</x:v>
      </x:c>
      <x:c r="H8" s="20" t="n">
        <x:v>278</x:v>
      </x:c>
      <x:c r="I8" s="20" t="str">
        <x:v>Historical Dummy</x:v>
      </x:c>
      <x:c r="J8" s="20" t="str">
        <x:v>YES</x:v>
      </x:c>
    </x:row>
    <x:row r="9">
      <x:c r="A9" s="20" t="str">
        <x:v>ADM-001_DEN</x:v>
      </x:c>
      <x:c r="B9" s="20" t="n">
        <x:v>2026</x:v>
      </x:c>
      <x:c r="C9" s="20" t="str">
        <x:v>Administración</x:v>
      </x:c>
      <x:c r="D9" s="20" t="str">
        <x:v>ADM-001</x:v>
      </x:c>
      <x:c r="E9" s="20" t="str">
        <x:v>DEN</x:v>
      </x:c>
      <x:c r="F9" s="20" t="str">
        <x:v>solicitudes autorizadas completas</x:v>
      </x:c>
      <x:c r="G9" s="20" t="str">
        <x:v># / base</x:v>
      </x:c>
      <x:c r="H9" s="20" t="n">
        <x:v>300</x:v>
      </x:c>
      <x:c r="I9" s="20" t="str">
        <x:v>Plan-Year Dummy</x:v>
      </x:c>
      <x:c r="J9" s="20" t="str">
        <x:v>YES</x:v>
      </x:c>
    </x:row>
    <x:row r="10">
      <x:c r="A10" s="20" t="str">
        <x:v>ADM-002_NUM</x:v>
      </x:c>
      <x:c r="B10" s="20" t="n">
        <x:v>2023</x:v>
      </x:c>
      <x:c r="C10" s="20" t="str">
        <x:v>Administración</x:v>
      </x:c>
      <x:c r="D10" s="20" t="str">
        <x:v>ADM-002</x:v>
      </x:c>
      <x:c r="E10" s="20" t="str">
        <x:v>NUM</x:v>
      </x:c>
      <x:c r="F10" s="20" t="str">
        <x:v>Solicitudes de compra procesadas dentro de 3 días hábiles</x:v>
      </x:c>
      <x:c r="G10" s="20" t="str">
        <x:v>días</x:v>
      </x:c>
      <x:c r="H10" s="20" t="n">
        <x:v>202</x:v>
      </x:c>
      <x:c r="I10" s="20" t="str">
        <x:v>Historical Dummy</x:v>
      </x:c>
      <x:c r="J10" s="20" t="str">
        <x:v>YES</x:v>
      </x:c>
    </x:row>
    <x:row r="11">
      <x:c r="A11" s="20" t="str">
        <x:v>ADM-002_NUM</x:v>
      </x:c>
      <x:c r="B11" s="20" t="n">
        <x:v>2024</x:v>
      </x:c>
      <x:c r="C11" s="20" t="str">
        <x:v>Administración</x:v>
      </x:c>
      <x:c r="D11" s="20" t="str">
        <x:v>ADM-002</x:v>
      </x:c>
      <x:c r="E11" s="20" t="str">
        <x:v>NUM</x:v>
      </x:c>
      <x:c r="F11" s="20" t="str">
        <x:v>Solicitudes de compra procesadas dentro de 3 días hábiles</x:v>
      </x:c>
      <x:c r="G11" s="20" t="str">
        <x:v>días</x:v>
      </x:c>
      <x:c r="H11" s="20" t="n">
        <x:v>231</x:v>
      </x:c>
      <x:c r="I11" s="20" t="str">
        <x:v>Historical Dummy</x:v>
      </x:c>
      <x:c r="J11" s="20" t="str">
        <x:v>YES</x:v>
      </x:c>
    </x:row>
    <x:row r="12">
      <x:c r="A12" s="20" t="str">
        <x:v>ADM-002_NUM</x:v>
      </x:c>
      <x:c r="B12" s="20" t="n">
        <x:v>2025</x:v>
      </x:c>
      <x:c r="C12" s="20" t="str">
        <x:v>Administración</x:v>
      </x:c>
      <x:c r="D12" s="20" t="str">
        <x:v>ADM-002</x:v>
      </x:c>
      <x:c r="E12" s="20" t="str">
        <x:v>NUM</x:v>
      </x:c>
      <x:c r="F12" s="20" t="str">
        <x:v>Solicitudes de compra procesadas dentro de 3 días hábiles</x:v>
      </x:c>
      <x:c r="G12" s="20" t="str">
        <x:v>días</x:v>
      </x:c>
      <x:c r="H12" s="20" t="n">
        <x:v>261</x:v>
      </x:c>
      <x:c r="I12" s="20" t="str">
        <x:v>Historical Dummy</x:v>
      </x:c>
      <x:c r="J12" s="20" t="str">
        <x:v>YES</x:v>
      </x:c>
    </x:row>
    <x:row r="13">
      <x:c r="A13" s="20" t="str">
        <x:v>ADM-002_NUM</x:v>
      </x:c>
      <x:c r="B13" s="20" t="n">
        <x:v>2026</x:v>
      </x:c>
      <x:c r="C13" s="20" t="str">
        <x:v>Administración</x:v>
      </x:c>
      <x:c r="D13" s="20" t="str">
        <x:v>ADM-002</x:v>
      </x:c>
      <x:c r="E13" s="20" t="str">
        <x:v>NUM</x:v>
      </x:c>
      <x:c r="F13" s="20" t="str">
        <x:v>Solicitudes de compra procesadas dentro de 3 días hábiles</x:v>
      </x:c>
      <x:c r="G13" s="20" t="str">
        <x:v>días</x:v>
      </x:c>
      <x:c r="H13" s="20" t="n">
        <x:v>300</x:v>
      </x:c>
      <x:c r="I13" s="20" t="str">
        <x:v>Plan-Year Dummy</x:v>
      </x:c>
      <x:c r="J13" s="20" t="str">
        <x:v>YES</x:v>
      </x:c>
    </x:row>
    <x:row r="14">
      <x:c r="A14" s="20" t="str">
        <x:v>ADM-002_DEN</x:v>
      </x:c>
      <x:c r="B14" s="20" t="n">
        <x:v>2023</x:v>
      </x:c>
      <x:c r="C14" s="20" t="str">
        <x:v>Administración</x:v>
      </x:c>
      <x:c r="D14" s="20" t="str">
        <x:v>ADM-002</x:v>
      </x:c>
      <x:c r="E14" s="20" t="str">
        <x:v>DEN</x:v>
      </x:c>
      <x:c r="F14" s="20" t="str">
        <x:v>solicitudes completas y autorizadas</x:v>
      </x:c>
      <x:c r="G14" s="20" t="str">
        <x:v># / base</x:v>
      </x:c>
      <x:c r="H14" s="20" t="n">
        <x:v>240</x:v>
      </x:c>
      <x:c r="I14" s="20" t="str">
        <x:v>Historical Dummy</x:v>
      </x:c>
      <x:c r="J14" s="20" t="str">
        <x:v>YES</x:v>
      </x:c>
    </x:row>
    <x:row r="15">
      <x:c r="A15" s="20" t="str">
        <x:v>ADM-002_DEN</x:v>
      </x:c>
      <x:c r="B15" s="20" t="n">
        <x:v>2024</x:v>
      </x:c>
      <x:c r="C15" s="20" t="str">
        <x:v>Administración</x:v>
      </x:c>
      <x:c r="D15" s="20" t="str">
        <x:v>ADM-002</x:v>
      </x:c>
      <x:c r="E15" s="20" t="str">
        <x:v>DEN</x:v>
      </x:c>
      <x:c r="F15" s="20" t="str">
        <x:v>solicitudes completas y autorizadas</x:v>
      </x:c>
      <x:c r="G15" s="20" t="str">
        <x:v># / base</x:v>
      </x:c>
      <x:c r="H15" s="20" t="n">
        <x:v>259</x:v>
      </x:c>
      <x:c r="I15" s="20" t="str">
        <x:v>Historical Dummy</x:v>
      </x:c>
      <x:c r="J15" s="20" t="str">
        <x:v>YES</x:v>
      </x:c>
    </x:row>
    <x:row r="16">
      <x:c r="A16" s="20" t="str">
        <x:v>ADM-002_DEN</x:v>
      </x:c>
      <x:c r="B16" s="20" t="n">
        <x:v>2025</x:v>
      </x:c>
      <x:c r="C16" s="20" t="str">
        <x:v>Administración</x:v>
      </x:c>
      <x:c r="D16" s="20" t="str">
        <x:v>ADM-002</x:v>
      </x:c>
      <x:c r="E16" s="20" t="str">
        <x:v>DEN</x:v>
      </x:c>
      <x:c r="F16" s="20" t="str">
        <x:v>solicitudes completas y autorizadas</x:v>
      </x:c>
      <x:c r="G16" s="20" t="str">
        <x:v># / base</x:v>
      </x:c>
      <x:c r="H16" s="20" t="n">
        <x:v>278</x:v>
      </x:c>
      <x:c r="I16" s="20" t="str">
        <x:v>Historical Dummy</x:v>
      </x:c>
      <x:c r="J16" s="20" t="str">
        <x:v>YES</x:v>
      </x:c>
    </x:row>
    <x:row r="17">
      <x:c r="A17" s="20" t="str">
        <x:v>ADM-002_DEN</x:v>
      </x:c>
      <x:c r="B17" s="20" t="n">
        <x:v>2026</x:v>
      </x:c>
      <x:c r="C17" s="20" t="str">
        <x:v>Administración</x:v>
      </x:c>
      <x:c r="D17" s="20" t="str">
        <x:v>ADM-002</x:v>
      </x:c>
      <x:c r="E17" s="20" t="str">
        <x:v>DEN</x:v>
      </x:c>
      <x:c r="F17" s="20" t="str">
        <x:v>solicitudes completas y autorizadas</x:v>
      </x:c>
      <x:c r="G17" s="20" t="str">
        <x:v># / base</x:v>
      </x:c>
      <x:c r="H17" s="20" t="n">
        <x:v>300</x:v>
      </x:c>
      <x:c r="I17" s="20" t="str">
        <x:v>Plan-Year Dummy</x:v>
      </x:c>
      <x:c r="J17" s="20" t="str">
        <x:v>YES</x:v>
      </x:c>
    </x:row>
    <x:row r="18">
      <x:c r="A18" s="20" t="str">
        <x:v>ADM-003_NUM</x:v>
      </x:c>
      <x:c r="B18" s="20" t="n">
        <x:v>2023</x:v>
      </x:c>
      <x:c r="C18" s="20" t="str">
        <x:v>Administración</x:v>
      </x:c>
      <x:c r="D18" s="20" t="str">
        <x:v>ADM-003</x:v>
      </x:c>
      <x:c r="E18" s="20" t="str">
        <x:v>NUM</x:v>
      </x:c>
      <x:c r="F18" s="20" t="str">
        <x:v>Pagos realizados en o antes de la fecha comprometida</x:v>
      </x:c>
      <x:c r="G18" s="20" t="str">
        <x:v>días</x:v>
      </x:c>
      <x:c r="H18" s="20" t="n">
        <x:v>10</x:v>
      </x:c>
      <x:c r="I18" s="20" t="str">
        <x:v>Historical Dummy</x:v>
      </x:c>
      <x:c r="J18" s="20" t="str">
        <x:v>YES</x:v>
      </x:c>
    </x:row>
    <x:row r="19">
      <x:c r="A19" s="20" t="str">
        <x:v>ADM-003_NUM</x:v>
      </x:c>
      <x:c r="B19" s="20" t="n">
        <x:v>2024</x:v>
      </x:c>
      <x:c r="C19" s="20" t="str">
        <x:v>Administración</x:v>
      </x:c>
      <x:c r="D19" s="20" t="str">
        <x:v>ADM-003</x:v>
      </x:c>
      <x:c r="E19" s="20" t="str">
        <x:v>NUM</x:v>
      </x:c>
      <x:c r="F19" s="20" t="str">
        <x:v>Pagos realizados en o antes de la fecha comprometida</x:v>
      </x:c>
      <x:c r="G19" s="20" t="str">
        <x:v>días</x:v>
      </x:c>
      <x:c r="H19" s="20" t="n">
        <x:v>12</x:v>
      </x:c>
      <x:c r="I19" s="20" t="str">
        <x:v>Historical Dummy</x:v>
      </x:c>
      <x:c r="J19" s="20" t="str">
        <x:v>YES</x:v>
      </x:c>
    </x:row>
    <x:row r="20">
      <x:c r="A20" s="20" t="str">
        <x:v>ADM-003_NUM</x:v>
      </x:c>
      <x:c r="B20" s="20" t="n">
        <x:v>2025</x:v>
      </x:c>
      <x:c r="C20" s="20" t="str">
        <x:v>Administración</x:v>
      </x:c>
      <x:c r="D20" s="20" t="str">
        <x:v>ADM-003</x:v>
      </x:c>
      <x:c r="E20" s="20" t="str">
        <x:v>NUM</x:v>
      </x:c>
      <x:c r="F20" s="20" t="str">
        <x:v>Pagos realizados en o antes de la fecha comprometida</x:v>
      </x:c>
      <x:c r="G20" s="20" t="str">
        <x:v>días</x:v>
      </x:c>
      <x:c r="H20" s="20" t="n">
        <x:v>13</x:v>
      </x:c>
      <x:c r="I20" s="20" t="str">
        <x:v>Historical Dummy</x:v>
      </x:c>
      <x:c r="J20" s="20" t="str">
        <x:v>YES</x:v>
      </x:c>
    </x:row>
    <x:row r="21">
      <x:c r="A21" s="20" t="str">
        <x:v>ADM-003_NUM</x:v>
      </x:c>
      <x:c r="B21" s="20" t="n">
        <x:v>2026</x:v>
      </x:c>
      <x:c r="C21" s="20" t="str">
        <x:v>Administración</x:v>
      </x:c>
      <x:c r="D21" s="20" t="str">
        <x:v>ADM-003</x:v>
      </x:c>
      <x:c r="E21" s="20" t="str">
        <x:v>NUM</x:v>
      </x:c>
      <x:c r="F21" s="20" t="str">
        <x:v>Pagos realizados en o antes de la fecha comprometida</x:v>
      </x:c>
      <x:c r="G21" s="20" t="str">
        <x:v>días</x:v>
      </x:c>
      <x:c r="H21" s="20" t="n">
        <x:v>15</x:v>
      </x:c>
      <x:c r="I21" s="20" t="str">
        <x:v>Plan-Year Dummy</x:v>
      </x:c>
      <x:c r="J21" s="20" t="str">
        <x:v>YES</x:v>
      </x:c>
    </x:row>
    <x:row r="22">
      <x:c r="A22" s="20" t="str">
        <x:v>ADM-003_DEN</x:v>
      </x:c>
      <x:c r="B22" s="20" t="n">
        <x:v>2023</x:v>
      </x:c>
      <x:c r="C22" s="20" t="str">
        <x:v>Administración</x:v>
      </x:c>
      <x:c r="D22" s="20" t="str">
        <x:v>ADM-003</x:v>
      </x:c>
      <x:c r="E22" s="20" t="str">
        <x:v>DEN</x:v>
      </x:c>
      <x:c r="F22" s="20" t="str">
        <x:v>pagos programados y aprobados</x:v>
      </x:c>
      <x:c r="G22" s="20" t="str">
        <x:v># / base</x:v>
      </x:c>
      <x:c r="H22" s="20" t="n">
        <x:v>12</x:v>
      </x:c>
      <x:c r="I22" s="20" t="str">
        <x:v>Historical Dummy</x:v>
      </x:c>
      <x:c r="J22" s="20" t="str">
        <x:v>YES</x:v>
      </x:c>
    </x:row>
    <x:row r="23">
      <x:c r="A23" s="20" t="str">
        <x:v>ADM-003_DEN</x:v>
      </x:c>
      <x:c r="B23" s="20" t="n">
        <x:v>2024</x:v>
      </x:c>
      <x:c r="C23" s="20" t="str">
        <x:v>Administración</x:v>
      </x:c>
      <x:c r="D23" s="20" t="str">
        <x:v>ADM-003</x:v>
      </x:c>
      <x:c r="E23" s="20" t="str">
        <x:v>DEN</x:v>
      </x:c>
      <x:c r="F23" s="20" t="str">
        <x:v>pagos programados y aprobados</x:v>
      </x:c>
      <x:c r="G23" s="20" t="str">
        <x:v># / base</x:v>
      </x:c>
      <x:c r="H23" s="20" t="n">
        <x:v>13</x:v>
      </x:c>
      <x:c r="I23" s="20" t="str">
        <x:v>Historical Dummy</x:v>
      </x:c>
      <x:c r="J23" s="20" t="str">
        <x:v>YES</x:v>
      </x:c>
    </x:row>
    <x:row r="24">
      <x:c r="A24" s="20" t="str">
        <x:v>ADM-003_DEN</x:v>
      </x:c>
      <x:c r="B24" s="20" t="n">
        <x:v>2025</x:v>
      </x:c>
      <x:c r="C24" s="20" t="str">
        <x:v>Administración</x:v>
      </x:c>
      <x:c r="D24" s="20" t="str">
        <x:v>ADM-003</x:v>
      </x:c>
      <x:c r="E24" s="20" t="str">
        <x:v>DEN</x:v>
      </x:c>
      <x:c r="F24" s="20" t="str">
        <x:v>pagos programados y aprobados</x:v>
      </x:c>
      <x:c r="G24" s="20" t="str">
        <x:v># / base</x:v>
      </x:c>
      <x:c r="H24" s="20" t="n">
        <x:v>14</x:v>
      </x:c>
      <x:c r="I24" s="20" t="str">
        <x:v>Historical Dummy</x:v>
      </x:c>
      <x:c r="J24" s="20" t="str">
        <x:v>YES</x:v>
      </x:c>
    </x:row>
    <x:row r="25">
      <x:c r="A25" s="20" t="str">
        <x:v>ADM-003_DEN</x:v>
      </x:c>
      <x:c r="B25" s="20" t="n">
        <x:v>2026</x:v>
      </x:c>
      <x:c r="C25" s="20" t="str">
        <x:v>Administración</x:v>
      </x:c>
      <x:c r="D25" s="20" t="str">
        <x:v>ADM-003</x:v>
      </x:c>
      <x:c r="E25" s="20" t="str">
        <x:v>DEN</x:v>
      </x:c>
      <x:c r="F25" s="20" t="str">
        <x:v>pagos programados y aprobados</x:v>
      </x:c>
      <x:c r="G25" s="20" t="str">
        <x:v># / base</x:v>
      </x:c>
      <x:c r="H25" s="20" t="n">
        <x:v>15</x:v>
      </x:c>
      <x:c r="I25" s="20" t="str">
        <x:v>Plan-Year Dummy</x:v>
      </x:c>
      <x:c r="J25" s="20" t="str">
        <x:v>YES</x:v>
      </x:c>
    </x:row>
    <x:row r="26">
      <x:c r="A26" s="20" t="str">
        <x:v>ADM-004_NUM</x:v>
      </x:c>
      <x:c r="B26" s="20" t="n">
        <x:v>2023</x:v>
      </x:c>
      <x:c r="C26" s="20" t="str">
        <x:v>Administración</x:v>
      </x:c>
      <x:c r="D26" s="20" t="str">
        <x:v>ADM-004</x:v>
      </x:c>
      <x:c r="E26" s="20" t="str">
        <x:v>NUM</x:v>
      </x:c>
      <x:c r="F26" s="20" t="str">
        <x:v>Presupuestos anuales aprobados dentro de Ago–Oct</x:v>
      </x:c>
      <x:c r="G26" s="20" t="str">
        <x:v>Moneda</x:v>
      </x:c>
      <x:c r="H26" s="20" t="n">
        <x:v>84</x:v>
      </x:c>
      <x:c r="I26" s="20" t="str">
        <x:v>Historical Dummy</x:v>
      </x:c>
      <x:c r="J26" s="20" t="str">
        <x:v>YES</x:v>
      </x:c>
    </x:row>
    <x:row r="27">
      <x:c r="A27" s="20" t="str">
        <x:v>ADM-004_NUM</x:v>
      </x:c>
      <x:c r="B27" s="20" t="n">
        <x:v>2024</x:v>
      </x:c>
      <x:c r="C27" s="20" t="str">
        <x:v>Administración</x:v>
      </x:c>
      <x:c r="D27" s="20" t="str">
        <x:v>ADM-004</x:v>
      </x:c>
      <x:c r="E27" s="20" t="str">
        <x:v>NUM</x:v>
      </x:c>
      <x:c r="F27" s="20" t="str">
        <x:v>Presupuestos anuales aprobados dentro de Ago–Oct</x:v>
      </x:c>
      <x:c r="G27" s="20" t="str">
        <x:v>Moneda</x:v>
      </x:c>
      <x:c r="H27" s="20" t="n">
        <x:v>96</x:v>
      </x:c>
      <x:c r="I27" s="20" t="str">
        <x:v>Historical Dummy</x:v>
      </x:c>
      <x:c r="J27" s="20" t="str">
        <x:v>YES</x:v>
      </x:c>
    </x:row>
    <x:row r="28">
      <x:c r="A28" s="20" t="str">
        <x:v>ADM-004_NUM</x:v>
      </x:c>
      <x:c r="B28" s="20" t="n">
        <x:v>2025</x:v>
      </x:c>
      <x:c r="C28" s="20" t="str">
        <x:v>Administración</x:v>
      </x:c>
      <x:c r="D28" s="20" t="str">
        <x:v>ADM-004</x:v>
      </x:c>
      <x:c r="E28" s="20" t="str">
        <x:v>NUM</x:v>
      </x:c>
      <x:c r="F28" s="20" t="str">
        <x:v>Presupuestos anuales aprobados dentro de Ago–Oct</x:v>
      </x:c>
      <x:c r="G28" s="20" t="str">
        <x:v>Moneda</x:v>
      </x:c>
      <x:c r="H28" s="20" t="n">
        <x:v>109</x:v>
      </x:c>
      <x:c r="I28" s="20" t="str">
        <x:v>Historical Dummy</x:v>
      </x:c>
      <x:c r="J28" s="20" t="str">
        <x:v>YES</x:v>
      </x:c>
    </x:row>
    <x:row r="29">
      <x:c r="A29" s="20" t="str">
        <x:v>ADM-004_NUM</x:v>
      </x:c>
      <x:c r="B29" s="20" t="n">
        <x:v>2026</x:v>
      </x:c>
      <x:c r="C29" s="20" t="str">
        <x:v>Administración</x:v>
      </x:c>
      <x:c r="D29" s="20" t="str">
        <x:v>ADM-004</x:v>
      </x:c>
      <x:c r="E29" s="20" t="str">
        <x:v>NUM</x:v>
      </x:c>
      <x:c r="F29" s="20" t="str">
        <x:v>Presupuestos anuales aprobados dentro de Ago–Oct</x:v>
      </x:c>
      <x:c r="G29" s="20" t="str">
        <x:v>Moneda</x:v>
      </x:c>
      <x:c r="H29" s="20" t="n">
        <x:v>125</x:v>
      </x:c>
      <x:c r="I29" s="20" t="str">
        <x:v>Plan-Year Dummy</x:v>
      </x:c>
      <x:c r="J29" s="20" t="str">
        <x:v>YES</x:v>
      </x:c>
    </x:row>
    <x:row r="30">
      <x:c r="A30" s="20" t="str">
        <x:v>ADM-004_DEN</x:v>
      </x:c>
      <x:c r="B30" s="20" t="n">
        <x:v>2023</x:v>
      </x:c>
      <x:c r="C30" s="20" t="str">
        <x:v>Administración</x:v>
      </x:c>
      <x:c r="D30" s="20" t="str">
        <x:v>ADM-004</x:v>
      </x:c>
      <x:c r="E30" s="20" t="str">
        <x:v>DEN</x:v>
      </x:c>
      <x:c r="F30" s="20" t="str">
        <x:v>presupuestos requeridos</x:v>
      </x:c>
      <x:c r="G30" s="20" t="str">
        <x:v>Moneda</x:v>
      </x:c>
      <x:c r="H30" s="20" t="n">
        <x:v>100</x:v>
      </x:c>
      <x:c r="I30" s="20" t="str">
        <x:v>Historical Dummy</x:v>
      </x:c>
      <x:c r="J30" s="20" t="str">
        <x:v>YES</x:v>
      </x:c>
    </x:row>
    <x:row r="31">
      <x:c r="A31" s="20" t="str">
        <x:v>ADM-004_DEN</x:v>
      </x:c>
      <x:c r="B31" s="20" t="n">
        <x:v>2024</x:v>
      </x:c>
      <x:c r="C31" s="20" t="str">
        <x:v>Administración</x:v>
      </x:c>
      <x:c r="D31" s="20" t="str">
        <x:v>ADM-004</x:v>
      </x:c>
      <x:c r="E31" s="20" t="str">
        <x:v>DEN</x:v>
      </x:c>
      <x:c r="F31" s="20" t="str">
        <x:v>presupuestos requeridos</x:v>
      </x:c>
      <x:c r="G31" s="20" t="str">
        <x:v>Moneda</x:v>
      </x:c>
      <x:c r="H31" s="20" t="n">
        <x:v>108</x:v>
      </x:c>
      <x:c r="I31" s="20" t="str">
        <x:v>Historical Dummy</x:v>
      </x:c>
      <x:c r="J31" s="20" t="str">
        <x:v>YES</x:v>
      </x:c>
    </x:row>
    <x:row r="32">
      <x:c r="A32" s="20" t="str">
        <x:v>ADM-004_DEN</x:v>
      </x:c>
      <x:c r="B32" s="20" t="n">
        <x:v>2025</x:v>
      </x:c>
      <x:c r="C32" s="20" t="str">
        <x:v>Administración</x:v>
      </x:c>
      <x:c r="D32" s="20" t="str">
        <x:v>ADM-004</x:v>
      </x:c>
      <x:c r="E32" s="20" t="str">
        <x:v>DEN</x:v>
      </x:c>
      <x:c r="F32" s="20" t="str">
        <x:v>presupuestos requeridos</x:v>
      </x:c>
      <x:c r="G32" s="20" t="str">
        <x:v>Moneda</x:v>
      </x:c>
      <x:c r="H32" s="20" t="n">
        <x:v>116</x:v>
      </x:c>
      <x:c r="I32" s="20" t="str">
        <x:v>Historical Dummy</x:v>
      </x:c>
      <x:c r="J32" s="20" t="str">
        <x:v>YES</x:v>
      </x:c>
    </x:row>
    <x:row r="33">
      <x:c r="A33" s="20" t="str">
        <x:v>ADM-004_DEN</x:v>
      </x:c>
      <x:c r="B33" s="20" t="n">
        <x:v>2026</x:v>
      </x:c>
      <x:c r="C33" s="20" t="str">
        <x:v>Administración</x:v>
      </x:c>
      <x:c r="D33" s="20" t="str">
        <x:v>ADM-004</x:v>
      </x:c>
      <x:c r="E33" s="20" t="str">
        <x:v>DEN</x:v>
      </x:c>
      <x:c r="F33" s="20" t="str">
        <x:v>presupuestos requeridos</x:v>
      </x:c>
      <x:c r="G33" s="20" t="str">
        <x:v>Moneda</x:v>
      </x:c>
      <x:c r="H33" s="20" t="n">
        <x:v>125</x:v>
      </x:c>
      <x:c r="I33" s="20" t="str">
        <x:v>Plan-Year Dummy</x:v>
      </x:c>
      <x:c r="J33" s="20" t="str">
        <x:v>YES</x:v>
      </x:c>
    </x:row>
    <x:row r="34">
      <x:c r="A34" s="20" t="str">
        <x:v>ADM-006_NUM</x:v>
      </x:c>
      <x:c r="B34" s="20" t="n">
        <x:v>2023</x:v>
      </x:c>
      <x:c r="C34" s="20" t="str">
        <x:v>Administración</x:v>
      </x:c>
      <x:c r="D34" s="20" t="str">
        <x:v>ADM-006</x:v>
      </x:c>
      <x:c r="E34" s="20" t="str">
        <x:v>NUM</x:v>
      </x:c>
      <x:c r="F34" s="20" t="str">
        <x:v>Informes regulatorios presentados dentro del plazo y con expediente completo</x:v>
      </x:c>
      <x:c r="G34" s="20" t="str">
        <x:v># / base</x:v>
      </x:c>
      <x:c r="H34" s="20" t="n">
        <x:v>84</x:v>
      </x:c>
      <x:c r="I34" s="20" t="str">
        <x:v>Historical Dummy</x:v>
      </x:c>
      <x:c r="J34" s="20" t="str">
        <x:v>YES</x:v>
      </x:c>
    </x:row>
    <x:row r="35">
      <x:c r="A35" s="20" t="str">
        <x:v>ADM-006_NUM</x:v>
      </x:c>
      <x:c r="B35" s="20" t="n">
        <x:v>2024</x:v>
      </x:c>
      <x:c r="C35" s="20" t="str">
        <x:v>Administración</x:v>
      </x:c>
      <x:c r="D35" s="20" t="str">
        <x:v>ADM-006</x:v>
      </x:c>
      <x:c r="E35" s="20" t="str">
        <x:v>NUM</x:v>
      </x:c>
      <x:c r="F35" s="20" t="str">
        <x:v>Informes regulatorios presentados dentro del plazo y con expediente completo</x:v>
      </x:c>
      <x:c r="G35" s="20" t="str">
        <x:v># / base</x:v>
      </x:c>
      <x:c r="H35" s="20" t="n">
        <x:v>96</x:v>
      </x:c>
      <x:c r="I35" s="20" t="str">
        <x:v>Historical Dummy</x:v>
      </x:c>
      <x:c r="J35" s="20" t="str">
        <x:v>YES</x:v>
      </x:c>
    </x:row>
    <x:row r="36">
      <x:c r="A36" s="20" t="str">
        <x:v>ADM-006_NUM</x:v>
      </x:c>
      <x:c r="B36" s="20" t="n">
        <x:v>2025</x:v>
      </x:c>
      <x:c r="C36" s="20" t="str">
        <x:v>Administración</x:v>
      </x:c>
      <x:c r="D36" s="20" t="str">
        <x:v>ADM-006</x:v>
      </x:c>
      <x:c r="E36" s="20" t="str">
        <x:v>NUM</x:v>
      </x:c>
      <x:c r="F36" s="20" t="str">
        <x:v>Informes regulatorios presentados dentro del plazo y con expediente completo</x:v>
      </x:c>
      <x:c r="G36" s="20" t="str">
        <x:v># / base</x:v>
      </x:c>
      <x:c r="H36" s="20" t="n">
        <x:v>109</x:v>
      </x:c>
      <x:c r="I36" s="20" t="str">
        <x:v>Historical Dummy</x:v>
      </x:c>
      <x:c r="J36" s="20" t="str">
        <x:v>YES</x:v>
      </x:c>
    </x:row>
    <x:row r="37">
      <x:c r="A37" s="20" t="str">
        <x:v>ADM-006_NUM</x:v>
      </x:c>
      <x:c r="B37" s="20" t="n">
        <x:v>2026</x:v>
      </x:c>
      <x:c r="C37" s="20" t="str">
        <x:v>Administración</x:v>
      </x:c>
      <x:c r="D37" s="20" t="str">
        <x:v>ADM-006</x:v>
      </x:c>
      <x:c r="E37" s="20" t="str">
        <x:v>NUM</x:v>
      </x:c>
      <x:c r="F37" s="20" t="str">
        <x:v>Informes regulatorios presentados dentro del plazo y con expediente completo</x:v>
      </x:c>
      <x:c r="G37" s="20" t="str">
        <x:v># / base</x:v>
      </x:c>
      <x:c r="H37" s="20" t="n">
        <x:v>125</x:v>
      </x:c>
      <x:c r="I37" s="20" t="str">
        <x:v>Plan-Year Dummy</x:v>
      </x:c>
      <x:c r="J37" s="20" t="str">
        <x:v>YES</x:v>
      </x:c>
    </x:row>
    <x:row r="38">
      <x:c r="A38" s="20" t="str">
        <x:v>ADM-006_DEN</x:v>
      </x:c>
      <x:c r="B38" s="20" t="n">
        <x:v>2023</x:v>
      </x:c>
      <x:c r="C38" s="20" t="str">
        <x:v>Administración</x:v>
      </x:c>
      <x:c r="D38" s="20" t="str">
        <x:v>ADM-006</x:v>
      </x:c>
      <x:c r="E38" s="20" t="str">
        <x:v>DEN</x:v>
      </x:c>
      <x:c r="F38" s="20" t="str">
        <x:v>informes regulatorios programados</x:v>
      </x:c>
      <x:c r="G38" s="20" t="str">
        <x:v># / base</x:v>
      </x:c>
      <x:c r="H38" s="20" t="n">
        <x:v>100</x:v>
      </x:c>
      <x:c r="I38" s="20" t="str">
        <x:v>Historical Dummy</x:v>
      </x:c>
      <x:c r="J38" s="20" t="str">
        <x:v>YES</x:v>
      </x:c>
    </x:row>
    <x:row r="39">
      <x:c r="A39" s="20" t="str">
        <x:v>ADM-006_DEN</x:v>
      </x:c>
      <x:c r="B39" s="20" t="n">
        <x:v>2024</x:v>
      </x:c>
      <x:c r="C39" s="20" t="str">
        <x:v>Administración</x:v>
      </x:c>
      <x:c r="D39" s="20" t="str">
        <x:v>ADM-006</x:v>
      </x:c>
      <x:c r="E39" s="20" t="str">
        <x:v>DEN</x:v>
      </x:c>
      <x:c r="F39" s="20" t="str">
        <x:v>informes regulatorios programados</x:v>
      </x:c>
      <x:c r="G39" s="20" t="str">
        <x:v># / base</x:v>
      </x:c>
      <x:c r="H39" s="20" t="n">
        <x:v>108</x:v>
      </x:c>
      <x:c r="I39" s="20" t="str">
        <x:v>Historical Dummy</x:v>
      </x:c>
      <x:c r="J39" s="20" t="str">
        <x:v>YES</x:v>
      </x:c>
    </x:row>
    <x:row r="40">
      <x:c r="A40" s="20" t="str">
        <x:v>ADM-006_DEN</x:v>
      </x:c>
      <x:c r="B40" s="20" t="n">
        <x:v>2025</x:v>
      </x:c>
      <x:c r="C40" s="20" t="str">
        <x:v>Administración</x:v>
      </x:c>
      <x:c r="D40" s="20" t="str">
        <x:v>ADM-006</x:v>
      </x:c>
      <x:c r="E40" s="20" t="str">
        <x:v>DEN</x:v>
      </x:c>
      <x:c r="F40" s="20" t="str">
        <x:v>informes regulatorios programados</x:v>
      </x:c>
      <x:c r="G40" s="20" t="str">
        <x:v># / base</x:v>
      </x:c>
      <x:c r="H40" s="20" t="n">
        <x:v>116</x:v>
      </x:c>
      <x:c r="I40" s="20" t="str">
        <x:v>Historical Dummy</x:v>
      </x:c>
      <x:c r="J40" s="20" t="str">
        <x:v>YES</x:v>
      </x:c>
    </x:row>
    <x:row r="41">
      <x:c r="A41" s="20" t="str">
        <x:v>ADM-006_DEN</x:v>
      </x:c>
      <x:c r="B41" s="20" t="n">
        <x:v>2026</x:v>
      </x:c>
      <x:c r="C41" s="20" t="str">
        <x:v>Administración</x:v>
      </x:c>
      <x:c r="D41" s="20" t="str">
        <x:v>ADM-006</x:v>
      </x:c>
      <x:c r="E41" s="20" t="str">
        <x:v>DEN</x:v>
      </x:c>
      <x:c r="F41" s="20" t="str">
        <x:v>informes regulatorios programados</x:v>
      </x:c>
      <x:c r="G41" s="20" t="str">
        <x:v># / base</x:v>
      </x:c>
      <x:c r="H41" s="20" t="n">
        <x:v>125</x:v>
      </x:c>
      <x:c r="I41" s="20" t="str">
        <x:v>Plan-Year Dummy</x:v>
      </x:c>
      <x:c r="J41" s="20" t="str">
        <x:v>YES</x:v>
      </x:c>
    </x:row>
    <x:row r="42">
      <x:c r="A42" s="20" t="str">
        <x:v>ADM-008_NUM</x:v>
      </x:c>
      <x:c r="B42" s="20" t="n">
        <x:v>2023</x:v>
      </x:c>
      <x:c r="C42" s="20" t="str">
        <x:v>Administración</x:v>
      </x:c>
      <x:c r="D42" s="20" t="str">
        <x:v>ADM-008</x:v>
      </x:c>
      <x:c r="E42" s="20" t="str">
        <x:v>NUM</x:v>
      </x:c>
      <x:c r="F42" s="20" t="str">
        <x:v>Acreditaciones ESR/AIT renovadas antes del vencimiento</x:v>
      </x:c>
      <x:c r="G42" s="20" t="str">
        <x:v># / base</x:v>
      </x:c>
      <x:c r="H42" s="20" t="n">
        <x:v>15</x:v>
      </x:c>
      <x:c r="I42" s="20" t="str">
        <x:v>Historical Dummy</x:v>
      </x:c>
      <x:c r="J42" s="20" t="str">
        <x:v>YES</x:v>
      </x:c>
    </x:row>
    <x:row r="43">
      <x:c r="A43" s="20" t="str">
        <x:v>ADM-008_NUM</x:v>
      </x:c>
      <x:c r="B43" s="20" t="n">
        <x:v>2024</x:v>
      </x:c>
      <x:c r="C43" s="20" t="str">
        <x:v>Administración</x:v>
      </x:c>
      <x:c r="D43" s="20" t="str">
        <x:v>ADM-008</x:v>
      </x:c>
      <x:c r="E43" s="20" t="str">
        <x:v>NUM</x:v>
      </x:c>
      <x:c r="F43" s="20" t="str">
        <x:v>Acreditaciones ESR/AIT renovadas antes del vencimiento</x:v>
      </x:c>
      <x:c r="G43" s="20" t="str">
        <x:v># / base</x:v>
      </x:c>
      <x:c r="H43" s="20" t="n">
        <x:v>17</x:v>
      </x:c>
      <x:c r="I43" s="20" t="str">
        <x:v>Historical Dummy</x:v>
      </x:c>
      <x:c r="J43" s="20" t="str">
        <x:v>YES</x:v>
      </x:c>
    </x:row>
    <x:row r="44">
      <x:c r="A44" s="20" t="str">
        <x:v>ADM-008_NUM</x:v>
      </x:c>
      <x:c r="B44" s="20" t="n">
        <x:v>2025</x:v>
      </x:c>
      <x:c r="C44" s="20" t="str">
        <x:v>Administración</x:v>
      </x:c>
      <x:c r="D44" s="20" t="str">
        <x:v>ADM-008</x:v>
      </x:c>
      <x:c r="E44" s="20" t="str">
        <x:v>NUM</x:v>
      </x:c>
      <x:c r="F44" s="20" t="str">
        <x:v>Acreditaciones ESR/AIT renovadas antes del vencimiento</x:v>
      </x:c>
      <x:c r="G44" s="20" t="str">
        <x:v># / base</x:v>
      </x:c>
      <x:c r="H44" s="20" t="n">
        <x:v>20</x:v>
      </x:c>
      <x:c r="I44" s="20" t="str">
        <x:v>Historical Dummy</x:v>
      </x:c>
      <x:c r="J44" s="20" t="str">
        <x:v>YES</x:v>
      </x:c>
    </x:row>
    <x:row r="45">
      <x:c r="A45" s="20" t="str">
        <x:v>ADM-008_NUM</x:v>
      </x:c>
      <x:c r="B45" s="20" t="n">
        <x:v>2026</x:v>
      </x:c>
      <x:c r="C45" s="20" t="str">
        <x:v>Administración</x:v>
      </x:c>
      <x:c r="D45" s="20" t="str">
        <x:v>ADM-008</x:v>
      </x:c>
      <x:c r="E45" s="20" t="str">
        <x:v>NUM</x:v>
      </x:c>
      <x:c r="F45" s="20" t="str">
        <x:v>Acreditaciones ESR/AIT renovadas antes del vencimiento</x:v>
      </x:c>
      <x:c r="G45" s="20" t="str">
        <x:v># / base</x:v>
      </x:c>
      <x:c r="H45" s="20" t="n">
        <x:v>22</x:v>
      </x:c>
      <x:c r="I45" s="20" t="str">
        <x:v>Plan-Year Dummy</x:v>
      </x:c>
      <x:c r="J45" s="20" t="str">
        <x:v>YES</x:v>
      </x:c>
    </x:row>
    <x:row r="46">
      <x:c r="A46" s="20" t="str">
        <x:v>ADM-008_DEN</x:v>
      </x:c>
      <x:c r="B46" s="20" t="n">
        <x:v>2023</x:v>
      </x:c>
      <x:c r="C46" s="20" t="str">
        <x:v>Administración</x:v>
      </x:c>
      <x:c r="D46" s="20" t="str">
        <x:v>ADM-008</x:v>
      </x:c>
      <x:c r="E46" s="20" t="str">
        <x:v>DEN</x:v>
      </x:c>
      <x:c r="F46" s="20" t="str">
        <x:v>acreditaciones con renovación exigible</x:v>
      </x:c>
      <x:c r="G46" s="20" t="str">
        <x:v># / base</x:v>
      </x:c>
      <x:c r="H46" s="20" t="n">
        <x:v>18</x:v>
      </x:c>
      <x:c r="I46" s="20" t="str">
        <x:v>Historical Dummy</x:v>
      </x:c>
      <x:c r="J46" s="20" t="str">
        <x:v>YES</x:v>
      </x:c>
    </x:row>
    <x:row r="47">
      <x:c r="A47" s="20" t="str">
        <x:v>ADM-008_DEN</x:v>
      </x:c>
      <x:c r="B47" s="20" t="n">
        <x:v>2024</x:v>
      </x:c>
      <x:c r="C47" s="20" t="str">
        <x:v>Administración</x:v>
      </x:c>
      <x:c r="D47" s="20" t="str">
        <x:v>ADM-008</x:v>
      </x:c>
      <x:c r="E47" s="20" t="str">
        <x:v>DEN</x:v>
      </x:c>
      <x:c r="F47" s="20" t="str">
        <x:v>acreditaciones con renovación exigible</x:v>
      </x:c>
      <x:c r="G47" s="20" t="str">
        <x:v># / base</x:v>
      </x:c>
      <x:c r="H47" s="20" t="n">
        <x:v>19</x:v>
      </x:c>
      <x:c r="I47" s="20" t="str">
        <x:v>Historical Dummy</x:v>
      </x:c>
      <x:c r="J47" s="20" t="str">
        <x:v>YES</x:v>
      </x:c>
    </x:row>
    <x:row r="48">
      <x:c r="A48" s="20" t="str">
        <x:v>ADM-008_DEN</x:v>
      </x:c>
      <x:c r="B48" s="20" t="n">
        <x:v>2025</x:v>
      </x:c>
      <x:c r="C48" s="20" t="str">
        <x:v>Administración</x:v>
      </x:c>
      <x:c r="D48" s="20" t="str">
        <x:v>ADM-008</x:v>
      </x:c>
      <x:c r="E48" s="20" t="str">
        <x:v>DEN</x:v>
      </x:c>
      <x:c r="F48" s="20" t="str">
        <x:v>acreditaciones con renovación exigible</x:v>
      </x:c>
      <x:c r="G48" s="20" t="str">
        <x:v># / base</x:v>
      </x:c>
      <x:c r="H48" s="20" t="n">
        <x:v>21</x:v>
      </x:c>
      <x:c r="I48" s="20" t="str">
        <x:v>Historical Dummy</x:v>
      </x:c>
      <x:c r="J48" s="20" t="str">
        <x:v>YES</x:v>
      </x:c>
    </x:row>
    <x:row r="49">
      <x:c r="A49" s="20" t="str">
        <x:v>ADM-008_DEN</x:v>
      </x:c>
      <x:c r="B49" s="20" t="n">
        <x:v>2026</x:v>
      </x:c>
      <x:c r="C49" s="20" t="str">
        <x:v>Administración</x:v>
      </x:c>
      <x:c r="D49" s="20" t="str">
        <x:v>ADM-008</x:v>
      </x:c>
      <x:c r="E49" s="20" t="str">
        <x:v>DEN</x:v>
      </x:c>
      <x:c r="F49" s="20" t="str">
        <x:v>acreditaciones con renovación exigible</x:v>
      </x:c>
      <x:c r="G49" s="20" t="str">
        <x:v># / base</x:v>
      </x:c>
      <x:c r="H49" s="20" t="n">
        <x:v>22</x:v>
      </x:c>
      <x:c r="I49" s="20" t="str">
        <x:v>Plan-Year Dummy</x:v>
      </x:c>
      <x:c r="J49" s="20" t="str">
        <x:v>YES</x:v>
      </x:c>
    </x:row>
    <x:row r="50">
      <x:c r="A50" s="20" t="str">
        <x:v>ADM-010_NUM</x:v>
      </x:c>
      <x:c r="B50" s="20" t="n">
        <x:v>2023</x:v>
      </x:c>
      <x:c r="C50" s="20" t="str">
        <x:v>Administración</x:v>
      </x:c>
      <x:c r="D50" s="20" t="str">
        <x:v>ADM-010</x:v>
      </x:c>
      <x:c r="E50" s="20" t="str">
        <x:v>NUM</x:v>
      </x:c>
      <x:c r="F50" s="20" t="str">
        <x:v>Países objetivo con requisitos, autoridad, evidencia y ruta de acreditación validados</x:v>
      </x:c>
      <x:c r="G50" s="20" t="str">
        <x:v># / base</x:v>
      </x:c>
      <x:c r="H50" s="20" t="n">
        <x:v>3</x:v>
      </x:c>
      <x:c r="I50" s="20" t="str">
        <x:v>Historical Dummy</x:v>
      </x:c>
      <x:c r="J50" s="20" t="str">
        <x:v>YES</x:v>
      </x:c>
    </x:row>
    <x:row r="51">
      <x:c r="A51" s="20" t="str">
        <x:v>ADM-010_NUM</x:v>
      </x:c>
      <x:c r="B51" s="20" t="n">
        <x:v>2024</x:v>
      </x:c>
      <x:c r="C51" s="20" t="str">
        <x:v>Administración</x:v>
      </x:c>
      <x:c r="D51" s="20" t="str">
        <x:v>ADM-010</x:v>
      </x:c>
      <x:c r="E51" s="20" t="str">
        <x:v>NUM</x:v>
      </x:c>
      <x:c r="F51" s="20" t="str">
        <x:v>Países objetivo con requisitos, autoridad, evidencia y ruta de acreditación validados</x:v>
      </x:c>
      <x:c r="G51" s="20" t="str">
        <x:v># / base</x:v>
      </x:c>
      <x:c r="H51" s="20" t="n">
        <x:v>4</x:v>
      </x:c>
      <x:c r="I51" s="20" t="str">
        <x:v>Historical Dummy</x:v>
      </x:c>
      <x:c r="J51" s="20" t="str">
        <x:v>YES</x:v>
      </x:c>
    </x:row>
    <x:row r="52">
      <x:c r="A52" s="20" t="str">
        <x:v>ADM-010_NUM</x:v>
      </x:c>
      <x:c r="B52" s="20" t="n">
        <x:v>2025</x:v>
      </x:c>
      <x:c r="C52" s="20" t="str">
        <x:v>Administración</x:v>
      </x:c>
      <x:c r="D52" s="20" t="str">
        <x:v>ADM-010</x:v>
      </x:c>
      <x:c r="E52" s="20" t="str">
        <x:v>NUM</x:v>
      </x:c>
      <x:c r="F52" s="20" t="str">
        <x:v>Países objetivo con requisitos, autoridad, evidencia y ruta de acreditación validados</x:v>
      </x:c>
      <x:c r="G52" s="20" t="str">
        <x:v># / base</x:v>
      </x:c>
      <x:c r="H52" s="20" t="n">
        <x:v>4</x:v>
      </x:c>
      <x:c r="I52" s="20" t="str">
        <x:v>Historical Dummy</x:v>
      </x:c>
      <x:c r="J52" s="20" t="str">
        <x:v>YES</x:v>
      </x:c>
    </x:row>
    <x:row r="53">
      <x:c r="A53" s="20" t="str">
        <x:v>ADM-010_NUM</x:v>
      </x:c>
      <x:c r="B53" s="20" t="n">
        <x:v>2026</x:v>
      </x:c>
      <x:c r="C53" s="20" t="str">
        <x:v>Administración</x:v>
      </x:c>
      <x:c r="D53" s="20" t="str">
        <x:v>ADM-010</x:v>
      </x:c>
      <x:c r="E53" s="20" t="str">
        <x:v>NUM</x:v>
      </x:c>
      <x:c r="F53" s="20" t="str">
        <x:v>Países objetivo con requisitos, autoridad, evidencia y ruta de acreditación validados</x:v>
      </x:c>
      <x:c r="G53" s="20" t="str">
        <x:v># / base</x:v>
      </x:c>
      <x:c r="H53" s="20" t="n">
        <x:v>4</x:v>
      </x:c>
      <x:c r="I53" s="20" t="str">
        <x:v>Plan-Year Dummy</x:v>
      </x:c>
      <x:c r="J53" s="20" t="str">
        <x:v>YES</x:v>
      </x:c>
    </x:row>
    <x:row r="54">
      <x:c r="A54" s="20" t="str">
        <x:v>ADM-010_DEN</x:v>
      </x:c>
      <x:c r="B54" s="20" t="n">
        <x:v>2023</x:v>
      </x:c>
      <x:c r="C54" s="20" t="str">
        <x:v>Administración</x:v>
      </x:c>
      <x:c r="D54" s="20" t="str">
        <x:v>ADM-010</x:v>
      </x:c>
      <x:c r="E54" s="20" t="str">
        <x:v>DEN</x:v>
      </x:c>
      <x:c r="F54" s="20" t="str">
        <x:v>países objetivo</x:v>
      </x:c>
      <x:c r="G54" s="20" t="str">
        <x:v># / base</x:v>
      </x:c>
      <x:c r="H54" s="20" t="n">
        <x:v>4</x:v>
      </x:c>
      <x:c r="I54" s="20" t="str">
        <x:v>Historical Dummy</x:v>
      </x:c>
      <x:c r="J54" s="20" t="str">
        <x:v>YES</x:v>
      </x:c>
    </x:row>
    <x:row r="55">
      <x:c r="A55" s="20" t="str">
        <x:v>ADM-010_DEN</x:v>
      </x:c>
      <x:c r="B55" s="20" t="n">
        <x:v>2024</x:v>
      </x:c>
      <x:c r="C55" s="20" t="str">
        <x:v>Administración</x:v>
      </x:c>
      <x:c r="D55" s="20" t="str">
        <x:v>ADM-010</x:v>
      </x:c>
      <x:c r="E55" s="20" t="str">
        <x:v>DEN</x:v>
      </x:c>
      <x:c r="F55" s="20" t="str">
        <x:v>países objetivo</x:v>
      </x:c>
      <x:c r="G55" s="20" t="str">
        <x:v># / base</x:v>
      </x:c>
      <x:c r="H55" s="20" t="n">
        <x:v>4</x:v>
      </x:c>
      <x:c r="I55" s="20" t="str">
        <x:v>Historical Dummy</x:v>
      </x:c>
      <x:c r="J55" s="20" t="str">
        <x:v>YES</x:v>
      </x:c>
    </x:row>
    <x:row r="56">
      <x:c r="A56" s="20" t="str">
        <x:v>ADM-010_DEN</x:v>
      </x:c>
      <x:c r="B56" s="20" t="n">
        <x:v>2025</x:v>
      </x:c>
      <x:c r="C56" s="20" t="str">
        <x:v>Administración</x:v>
      </x:c>
      <x:c r="D56" s="20" t="str">
        <x:v>ADM-010</x:v>
      </x:c>
      <x:c r="E56" s="20" t="str">
        <x:v>DEN</x:v>
      </x:c>
      <x:c r="F56" s="20" t="str">
        <x:v>países objetivo</x:v>
      </x:c>
      <x:c r="G56" s="20" t="str">
        <x:v># / base</x:v>
      </x:c>
      <x:c r="H56" s="20" t="n">
        <x:v>4</x:v>
      </x:c>
      <x:c r="I56" s="20" t="str">
        <x:v>Historical Dummy</x:v>
      </x:c>
      <x:c r="J56" s="20" t="str">
        <x:v>YES</x:v>
      </x:c>
    </x:row>
    <x:row r="57">
      <x:c r="A57" s="20" t="str">
        <x:v>ADM-010_DEN</x:v>
      </x:c>
      <x:c r="B57" s="20" t="n">
        <x:v>2026</x:v>
      </x:c>
      <x:c r="C57" s="20" t="str">
        <x:v>Administración</x:v>
      </x:c>
      <x:c r="D57" s="20" t="str">
        <x:v>ADM-010</x:v>
      </x:c>
      <x:c r="E57" s="20" t="str">
        <x:v>DEN</x:v>
      </x:c>
      <x:c r="F57" s="20" t="str">
        <x:v>países objetivo</x:v>
      </x:c>
      <x:c r="G57" s="20" t="str">
        <x:v># / base</x:v>
      </x:c>
      <x:c r="H57" s="20" t="n">
        <x:v>4</x:v>
      </x:c>
      <x:c r="I57" s="20" t="str">
        <x:v>Plan-Year Dummy</x:v>
      </x:c>
      <x:c r="J57" s="20" t="str">
        <x:v>YES</x:v>
      </x:c>
    </x:row>
    <x:row r="58">
      <x:c r="A58" s="20" t="str">
        <x:v>ADM-012_VAL</x:v>
      </x:c>
      <x:c r="B58" s="20" t="n">
        <x:v>2023</x:v>
      </x:c>
      <x:c r="C58" s="20" t="str">
        <x:v>Administración</x:v>
      </x:c>
      <x:c r="D58" s="20" t="str">
        <x:v>ADM-012</x:v>
      </x:c>
      <x:c r="E58" s="20" t="str">
        <x:v>VAL</x:v>
      </x:c>
      <x:c r="F58" s="20" t="str">
        <x:v>Convenios nuevos firmados y habilitados para recibir prestadores</x:v>
      </x:c>
      <x:c r="G58" s="20" t="str">
        <x:v>#</x:v>
      </x:c>
      <x:c r="H58" s="20" t="n">
        <x:v>1</x:v>
      </x:c>
      <x:c r="I58" s="20" t="str">
        <x:v>Historical Dummy</x:v>
      </x:c>
      <x:c r="J58" s="20" t="str">
        <x:v>YES</x:v>
      </x:c>
    </x:row>
    <x:row r="59">
      <x:c r="A59" s="20" t="str">
        <x:v>ADM-012_VAL</x:v>
      </x:c>
      <x:c r="B59" s="20" t="n">
        <x:v>2024</x:v>
      </x:c>
      <x:c r="C59" s="20" t="str">
        <x:v>Administración</x:v>
      </x:c>
      <x:c r="D59" s="20" t="str">
        <x:v>ADM-012</x:v>
      </x:c>
      <x:c r="E59" s="20" t="str">
        <x:v>VAL</x:v>
      </x:c>
      <x:c r="F59" s="20" t="str">
        <x:v>Convenios nuevos firmados y habilitados para recibir prestadores</x:v>
      </x:c>
      <x:c r="G59" s="20" t="str">
        <x:v>#</x:v>
      </x:c>
      <x:c r="H59" s="20" t="n">
        <x:v>1</x:v>
      </x:c>
      <x:c r="I59" s="20" t="str">
        <x:v>Historical Dummy</x:v>
      </x:c>
      <x:c r="J59" s="20" t="str">
        <x:v>YES</x:v>
      </x:c>
    </x:row>
    <x:row r="60">
      <x:c r="A60" s="20" t="str">
        <x:v>ADM-012_VAL</x:v>
      </x:c>
      <x:c r="B60" s="20" t="n">
        <x:v>2025</x:v>
      </x:c>
      <x:c r="C60" s="20" t="str">
        <x:v>Administración</x:v>
      </x:c>
      <x:c r="D60" s="20" t="str">
        <x:v>ADM-012</x:v>
      </x:c>
      <x:c r="E60" s="20" t="str">
        <x:v>VAL</x:v>
      </x:c>
      <x:c r="F60" s="20" t="str">
        <x:v>Convenios nuevos firmados y habilitados para recibir prestadores</x:v>
      </x:c>
      <x:c r="G60" s="20" t="str">
        <x:v>#</x:v>
      </x:c>
      <x:c r="H60" s="20" t="n">
        <x:v>2</x:v>
      </x:c>
      <x:c r="I60" s="20" t="str">
        <x:v>Historical Dummy</x:v>
      </x:c>
      <x:c r="J60" s="20" t="str">
        <x:v>YES</x:v>
      </x:c>
    </x:row>
    <x:row r="61">
      <x:c r="A61" s="20" t="str">
        <x:v>ADM-012_VAL</x:v>
      </x:c>
      <x:c r="B61" s="20" t="n">
        <x:v>2026</x:v>
      </x:c>
      <x:c r="C61" s="20" t="str">
        <x:v>Administración</x:v>
      </x:c>
      <x:c r="D61" s="20" t="str">
        <x:v>ADM-012</x:v>
      </x:c>
      <x:c r="E61" s="20" t="str">
        <x:v>VAL</x:v>
      </x:c>
      <x:c r="F61" s="20" t="str">
        <x:v>Convenios nuevos firmados y habilitados para recibir prestadores</x:v>
      </x:c>
      <x:c r="G61" s="20" t="str">
        <x:v>#</x:v>
      </x:c>
      <x:c r="H61" s="20" t="n">
        <x:v>2</x:v>
      </x:c>
      <x:c r="I61" s="20" t="str">
        <x:v>Plan-Year Dummy</x:v>
      </x:c>
      <x:c r="J61" s="20" t="str">
        <x:v>YES</x:v>
      </x:c>
    </x:row>
    <x:row r="62">
      <x:c r="A62" s="20" t="str">
        <x:v>ADM-013_NUM</x:v>
      </x:c>
      <x:c r="B62" s="20" t="n">
        <x:v>2023</x:v>
      </x:c>
      <x:c r="C62" s="20" t="str">
        <x:v>Administración</x:v>
      </x:c>
      <x:c r="D62" s="20" t="str">
        <x:v>ADM-013</x:v>
      </x:c>
      <x:c r="E62" s="20" t="str">
        <x:v>NUM</x:v>
      </x:c>
      <x:c r="F62" s="20" t="str">
        <x:v>Convenios renovados antes de vencimiento</x:v>
      </x:c>
      <x:c r="G62" s="20" t="str">
        <x:v># / base</x:v>
      </x:c>
      <x:c r="H62" s="20" t="n">
        <x:v>59</x:v>
      </x:c>
      <x:c r="I62" s="20" t="str">
        <x:v>Historical Dummy</x:v>
      </x:c>
      <x:c r="J62" s="20" t="str">
        <x:v>YES</x:v>
      </x:c>
    </x:row>
    <x:row r="63">
      <x:c r="A63" s="20" t="str">
        <x:v>ADM-013_NUM</x:v>
      </x:c>
      <x:c r="B63" s="20" t="n">
        <x:v>2024</x:v>
      </x:c>
      <x:c r="C63" s="20" t="str">
        <x:v>Administración</x:v>
      </x:c>
      <x:c r="D63" s="20" t="str">
        <x:v>ADM-013</x:v>
      </x:c>
      <x:c r="E63" s="20" t="str">
        <x:v>NUM</x:v>
      </x:c>
      <x:c r="F63" s="20" t="str">
        <x:v>Convenios renovados antes de vencimiento</x:v>
      </x:c>
      <x:c r="G63" s="20" t="str">
        <x:v># / base</x:v>
      </x:c>
      <x:c r="H63" s="20" t="n">
        <x:v>68</x:v>
      </x:c>
      <x:c r="I63" s="20" t="str">
        <x:v>Historical Dummy</x:v>
      </x:c>
      <x:c r="J63" s="20" t="str">
        <x:v>YES</x:v>
      </x:c>
    </x:row>
    <x:row r="64">
      <x:c r="A64" s="20" t="str">
        <x:v>ADM-013_NUM</x:v>
      </x:c>
      <x:c r="B64" s="20" t="n">
        <x:v>2025</x:v>
      </x:c>
      <x:c r="C64" s="20" t="str">
        <x:v>Administración</x:v>
      </x:c>
      <x:c r="D64" s="20" t="str">
        <x:v>ADM-013</x:v>
      </x:c>
      <x:c r="E64" s="20" t="str">
        <x:v>NUM</x:v>
      </x:c>
      <x:c r="F64" s="20" t="str">
        <x:v>Convenios renovados antes de vencimiento</x:v>
      </x:c>
      <x:c r="G64" s="20" t="str">
        <x:v># / base</x:v>
      </x:c>
      <x:c r="H64" s="20" t="n">
        <x:v>76</x:v>
      </x:c>
      <x:c r="I64" s="20" t="str">
        <x:v>Historical Dummy</x:v>
      </x:c>
      <x:c r="J64" s="20" t="str">
        <x:v>YES</x:v>
      </x:c>
    </x:row>
    <x:row r="65">
      <x:c r="A65" s="20" t="str">
        <x:v>ADM-013_NUM</x:v>
      </x:c>
      <x:c r="B65" s="20" t="n">
        <x:v>2026</x:v>
      </x:c>
      <x:c r="C65" s="20" t="str">
        <x:v>Administración</x:v>
      </x:c>
      <x:c r="D65" s="20" t="str">
        <x:v>ADM-013</x:v>
      </x:c>
      <x:c r="E65" s="20" t="str">
        <x:v>NUM</x:v>
      </x:c>
      <x:c r="F65" s="20" t="str">
        <x:v>Convenios renovados antes de vencimiento</x:v>
      </x:c>
      <x:c r="G65" s="20" t="str">
        <x:v># / base</x:v>
      </x:c>
      <x:c r="H65" s="20" t="n">
        <x:v>88</x:v>
      </x:c>
      <x:c r="I65" s="20" t="str">
        <x:v>Plan-Year Dummy</x:v>
      </x:c>
      <x:c r="J65" s="20" t="str">
        <x:v>YES</x:v>
      </x:c>
    </x:row>
    <x:row r="66">
      <x:c r="A66" s="20" t="str">
        <x:v>ADM-013_DEN</x:v>
      </x:c>
      <x:c r="B66" s="20" t="n">
        <x:v>2023</x:v>
      </x:c>
      <x:c r="C66" s="20" t="str">
        <x:v>Administración</x:v>
      </x:c>
      <x:c r="D66" s="20" t="str">
        <x:v>ADM-013</x:v>
      </x:c>
      <x:c r="E66" s="20" t="str">
        <x:v>DEN</x:v>
      </x:c>
      <x:c r="F66" s="20" t="str">
        <x:v>convenios que vencen en 2026</x:v>
      </x:c>
      <x:c r="G66" s="20" t="str">
        <x:v># / base</x:v>
      </x:c>
      <x:c r="H66" s="20" t="n">
        <x:v>70</x:v>
      </x:c>
      <x:c r="I66" s="20" t="str">
        <x:v>Historical Dummy</x:v>
      </x:c>
      <x:c r="J66" s="20" t="str">
        <x:v>YES</x:v>
      </x:c>
    </x:row>
    <x:row r="67">
      <x:c r="A67" s="20" t="str">
        <x:v>ADM-013_DEN</x:v>
      </x:c>
      <x:c r="B67" s="20" t="n">
        <x:v>2024</x:v>
      </x:c>
      <x:c r="C67" s="20" t="str">
        <x:v>Administración</x:v>
      </x:c>
      <x:c r="D67" s="20" t="str">
        <x:v>ADM-013</x:v>
      </x:c>
      <x:c r="E67" s="20" t="str">
        <x:v>DEN</x:v>
      </x:c>
      <x:c r="F67" s="20" t="str">
        <x:v>convenios que vencen en 2026</x:v>
      </x:c>
      <x:c r="G67" s="20" t="str">
        <x:v># / base</x:v>
      </x:c>
      <x:c r="H67" s="20" t="n">
        <x:v>76</x:v>
      </x:c>
      <x:c r="I67" s="20" t="str">
        <x:v>Historical Dummy</x:v>
      </x:c>
      <x:c r="J67" s="20" t="str">
        <x:v>YES</x:v>
      </x:c>
    </x:row>
    <x:row r="68">
      <x:c r="A68" s="20" t="str">
        <x:v>ADM-013_DEN</x:v>
      </x:c>
      <x:c r="B68" s="20" t="n">
        <x:v>2025</x:v>
      </x:c>
      <x:c r="C68" s="20" t="str">
        <x:v>Administración</x:v>
      </x:c>
      <x:c r="D68" s="20" t="str">
        <x:v>ADM-013</x:v>
      </x:c>
      <x:c r="E68" s="20" t="str">
        <x:v>DEN</x:v>
      </x:c>
      <x:c r="F68" s="20" t="str">
        <x:v>convenios que vencen en 2026</x:v>
      </x:c>
      <x:c r="G68" s="20" t="str">
        <x:v># / base</x:v>
      </x:c>
      <x:c r="H68" s="20" t="n">
        <x:v>81</x:v>
      </x:c>
      <x:c r="I68" s="20" t="str">
        <x:v>Historical Dummy</x:v>
      </x:c>
      <x:c r="J68" s="20" t="str">
        <x:v>YES</x:v>
      </x:c>
    </x:row>
    <x:row r="69">
      <x:c r="A69" s="20" t="str">
        <x:v>ADM-013_DEN</x:v>
      </x:c>
      <x:c r="B69" s="20" t="n">
        <x:v>2026</x:v>
      </x:c>
      <x:c r="C69" s="20" t="str">
        <x:v>Administración</x:v>
      </x:c>
      <x:c r="D69" s="20" t="str">
        <x:v>ADM-013</x:v>
      </x:c>
      <x:c r="E69" s="20" t="str">
        <x:v>DEN</x:v>
      </x:c>
      <x:c r="F69" s="20" t="str">
        <x:v>convenios que vencen en 2026</x:v>
      </x:c>
      <x:c r="G69" s="20" t="str">
        <x:v># / base</x:v>
      </x:c>
      <x:c r="H69" s="20" t="n">
        <x:v>88</x:v>
      </x:c>
      <x:c r="I69" s="20" t="str">
        <x:v>Plan-Year Dummy</x:v>
      </x:c>
      <x:c r="J69" s="20" t="str">
        <x:v>YES</x:v>
      </x:c>
    </x:row>
    <x:row r="70">
      <x:c r="A70" s="20" t="str">
        <x:v>ADM-014_VAL</x:v>
      </x:c>
      <x:c r="B70" s="20" t="n">
        <x:v>2023</x:v>
      </x:c>
      <x:c r="C70" s="20" t="str">
        <x:v>Administración</x:v>
      </x:c>
      <x:c r="D70" s="20" t="str">
        <x:v>ADM-014</x:v>
      </x:c>
      <x:c r="E70" s="20" t="str">
        <x:v>VAL</x:v>
      </x:c>
      <x:c r="F70" s="20" t="str">
        <x:v>Número de prestadores que formalizan ingreso durante 2026</x:v>
      </x:c>
      <x:c r="G70" s="20" t="str">
        <x:v>#</x:v>
      </x:c>
      <x:c r="H70" s="20" t="n">
        <x:v>4</x:v>
      </x:c>
      <x:c r="I70" s="20" t="str">
        <x:v>Historical Dummy</x:v>
      </x:c>
      <x:c r="J70" s="20" t="str">
        <x:v>YES</x:v>
      </x:c>
    </x:row>
    <x:row r="71">
      <x:c r="A71" s="20" t="str">
        <x:v>ADM-014_VAL</x:v>
      </x:c>
      <x:c r="B71" s="20" t="n">
        <x:v>2024</x:v>
      </x:c>
      <x:c r="C71" s="20" t="str">
        <x:v>Administración</x:v>
      </x:c>
      <x:c r="D71" s="20" t="str">
        <x:v>ADM-014</x:v>
      </x:c>
      <x:c r="E71" s="20" t="str">
        <x:v>VAL</x:v>
      </x:c>
      <x:c r="F71" s="20" t="str">
        <x:v>Número de prestadores que formalizan ingreso durante 2026</x:v>
      </x:c>
      <x:c r="G71" s="20" t="str">
        <x:v>#</x:v>
      </x:c>
      <x:c r="H71" s="20" t="n">
        <x:v>5</x:v>
      </x:c>
      <x:c r="I71" s="20" t="str">
        <x:v>Historical Dummy</x:v>
      </x:c>
      <x:c r="J71" s="20" t="str">
        <x:v>YES</x:v>
      </x:c>
    </x:row>
    <x:row r="72">
      <x:c r="A72" s="20" t="str">
        <x:v>ADM-014_VAL</x:v>
      </x:c>
      <x:c r="B72" s="20" t="n">
        <x:v>2025</x:v>
      </x:c>
      <x:c r="C72" s="20" t="str">
        <x:v>Administración</x:v>
      </x:c>
      <x:c r="D72" s="20" t="str">
        <x:v>ADM-014</x:v>
      </x:c>
      <x:c r="E72" s="20" t="str">
        <x:v>VAL</x:v>
      </x:c>
      <x:c r="F72" s="20" t="str">
        <x:v>Número de prestadores que formalizan ingreso durante 2026</x:v>
      </x:c>
      <x:c r="G72" s="20" t="str">
        <x:v>#</x:v>
      </x:c>
      <x:c r="H72" s="20" t="n">
        <x:v>6</x:v>
      </x:c>
      <x:c r="I72" s="20" t="str">
        <x:v>Historical Dummy</x:v>
      </x:c>
      <x:c r="J72" s="20" t="str">
        <x:v>YES</x:v>
      </x:c>
    </x:row>
    <x:row r="73">
      <x:c r="A73" s="20" t="str">
        <x:v>ADM-014_VAL</x:v>
      </x:c>
      <x:c r="B73" s="20" t="n">
        <x:v>2026</x:v>
      </x:c>
      <x:c r="C73" s="20" t="str">
        <x:v>Administración</x:v>
      </x:c>
      <x:c r="D73" s="20" t="str">
        <x:v>ADM-014</x:v>
      </x:c>
      <x:c r="E73" s="20" t="str">
        <x:v>VAL</x:v>
      </x:c>
      <x:c r="F73" s="20" t="str">
        <x:v>Número de prestadores que formalizan ingreso durante 2026</x:v>
      </x:c>
      <x:c r="G73" s="20" t="str">
        <x:v>#</x:v>
      </x:c>
      <x:c r="H73" s="20" t="n">
        <x:v>7</x:v>
      </x:c>
      <x:c r="I73" s="20" t="str">
        <x:v>Plan-Year Dummy</x:v>
      </x:c>
      <x:c r="J73" s="20" t="str">
        <x:v>YES</x:v>
      </x:c>
    </x:row>
    <x:row r="74">
      <x:c r="A74" s="20" t="str">
        <x:v>ADM-015_NUM</x:v>
      </x:c>
      <x:c r="B74" s="20" t="n">
        <x:v>2023</x:v>
      </x:c>
      <x:c r="C74" s="20" t="str">
        <x:v>Administración</x:v>
      </x:c>
      <x:c r="D74" s="20" t="str">
        <x:v>ADM-015</x:v>
      </x:c>
      <x:c r="E74" s="20" t="str">
        <x:v>NUM</x:v>
      </x:c>
      <x:c r="F74" s="20" t="str">
        <x:v>Reportes financieros entregados dentro de la ventana comprometida</x:v>
      </x:c>
      <x:c r="G74" s="20" t="str">
        <x:v># / base</x:v>
      </x:c>
      <x:c r="H74" s="20" t="n">
        <x:v>84</x:v>
      </x:c>
      <x:c r="I74" s="20" t="str">
        <x:v>Historical Dummy</x:v>
      </x:c>
      <x:c r="J74" s="20" t="str">
        <x:v>YES</x:v>
      </x:c>
    </x:row>
    <x:row r="75">
      <x:c r="A75" s="20" t="str">
        <x:v>ADM-015_NUM</x:v>
      </x:c>
      <x:c r="B75" s="20" t="n">
        <x:v>2024</x:v>
      </x:c>
      <x:c r="C75" s="20" t="str">
        <x:v>Administración</x:v>
      </x:c>
      <x:c r="D75" s="20" t="str">
        <x:v>ADM-015</x:v>
      </x:c>
      <x:c r="E75" s="20" t="str">
        <x:v>NUM</x:v>
      </x:c>
      <x:c r="F75" s="20" t="str">
        <x:v>Reportes financieros entregados dentro de la ventana comprometida</x:v>
      </x:c>
      <x:c r="G75" s="20" t="str">
        <x:v># / base</x:v>
      </x:c>
      <x:c r="H75" s="20" t="n">
        <x:v>96</x:v>
      </x:c>
      <x:c r="I75" s="20" t="str">
        <x:v>Historical Dummy</x:v>
      </x:c>
      <x:c r="J75" s="20" t="str">
        <x:v>YES</x:v>
      </x:c>
    </x:row>
    <x:row r="76">
      <x:c r="A76" s="20" t="str">
        <x:v>ADM-015_NUM</x:v>
      </x:c>
      <x:c r="B76" s="20" t="n">
        <x:v>2025</x:v>
      </x:c>
      <x:c r="C76" s="20" t="str">
        <x:v>Administración</x:v>
      </x:c>
      <x:c r="D76" s="20" t="str">
        <x:v>ADM-015</x:v>
      </x:c>
      <x:c r="E76" s="20" t="str">
        <x:v>NUM</x:v>
      </x:c>
      <x:c r="F76" s="20" t="str">
        <x:v>Reportes financieros entregados dentro de la ventana comprometida</x:v>
      </x:c>
      <x:c r="G76" s="20" t="str">
        <x:v># / base</x:v>
      </x:c>
      <x:c r="H76" s="20" t="n">
        <x:v>109</x:v>
      </x:c>
      <x:c r="I76" s="20" t="str">
        <x:v>Historical Dummy</x:v>
      </x:c>
      <x:c r="J76" s="20" t="str">
        <x:v>YES</x:v>
      </x:c>
    </x:row>
    <x:row r="77">
      <x:c r="A77" s="20" t="str">
        <x:v>ADM-015_NUM</x:v>
      </x:c>
      <x:c r="B77" s="20" t="n">
        <x:v>2026</x:v>
      </x:c>
      <x:c r="C77" s="20" t="str">
        <x:v>Administración</x:v>
      </x:c>
      <x:c r="D77" s="20" t="str">
        <x:v>ADM-015</x:v>
      </x:c>
      <x:c r="E77" s="20" t="str">
        <x:v>NUM</x:v>
      </x:c>
      <x:c r="F77" s="20" t="str">
        <x:v>Reportes financieros entregados dentro de la ventana comprometida</x:v>
      </x:c>
      <x:c r="G77" s="20" t="str">
        <x:v># / base</x:v>
      </x:c>
      <x:c r="H77" s="20" t="n">
        <x:v>125</x:v>
      </x:c>
      <x:c r="I77" s="20" t="str">
        <x:v>Plan-Year Dummy</x:v>
      </x:c>
      <x:c r="J77" s="20" t="str">
        <x:v>YES</x:v>
      </x:c>
    </x:row>
    <x:row r="78">
      <x:c r="A78" s="20" t="str">
        <x:v>ADM-015_DEN</x:v>
      </x:c>
      <x:c r="B78" s="20" t="n">
        <x:v>2023</x:v>
      </x:c>
      <x:c r="C78" s="20" t="str">
        <x:v>Administración</x:v>
      </x:c>
      <x:c r="D78" s="20" t="str">
        <x:v>ADM-015</x:v>
      </x:c>
      <x:c r="E78" s="20" t="str">
        <x:v>DEN</x:v>
      </x:c>
      <x:c r="F78" s="20" t="str">
        <x:v>reportes programados en el periodo</x:v>
      </x:c>
      <x:c r="G78" s="20" t="str">
        <x:v># / base</x:v>
      </x:c>
      <x:c r="H78" s="20" t="n">
        <x:v>100</x:v>
      </x:c>
      <x:c r="I78" s="20" t="str">
        <x:v>Historical Dummy</x:v>
      </x:c>
      <x:c r="J78" s="20" t="str">
        <x:v>YES</x:v>
      </x:c>
    </x:row>
    <x:row r="79">
      <x:c r="A79" s="20" t="str">
        <x:v>ADM-015_DEN</x:v>
      </x:c>
      <x:c r="B79" s="20" t="n">
        <x:v>2024</x:v>
      </x:c>
      <x:c r="C79" s="20" t="str">
        <x:v>Administración</x:v>
      </x:c>
      <x:c r="D79" s="20" t="str">
        <x:v>ADM-015</x:v>
      </x:c>
      <x:c r="E79" s="20" t="str">
        <x:v>DEN</x:v>
      </x:c>
      <x:c r="F79" s="20" t="str">
        <x:v>reportes programados en el periodo</x:v>
      </x:c>
      <x:c r="G79" s="20" t="str">
        <x:v># / base</x:v>
      </x:c>
      <x:c r="H79" s="20" t="n">
        <x:v>108</x:v>
      </x:c>
      <x:c r="I79" s="20" t="str">
        <x:v>Historical Dummy</x:v>
      </x:c>
      <x:c r="J79" s="20" t="str">
        <x:v>YES</x:v>
      </x:c>
    </x:row>
    <x:row r="80">
      <x:c r="A80" s="20" t="str">
        <x:v>ADM-015_DEN</x:v>
      </x:c>
      <x:c r="B80" s="20" t="n">
        <x:v>2025</x:v>
      </x:c>
      <x:c r="C80" s="20" t="str">
        <x:v>Administración</x:v>
      </x:c>
      <x:c r="D80" s="20" t="str">
        <x:v>ADM-015</x:v>
      </x:c>
      <x:c r="E80" s="20" t="str">
        <x:v>DEN</x:v>
      </x:c>
      <x:c r="F80" s="20" t="str">
        <x:v>reportes programados en el periodo</x:v>
      </x:c>
      <x:c r="G80" s="20" t="str">
        <x:v># / base</x:v>
      </x:c>
      <x:c r="H80" s="20" t="n">
        <x:v>116</x:v>
      </x:c>
      <x:c r="I80" s="20" t="str">
        <x:v>Historical Dummy</x:v>
      </x:c>
      <x:c r="J80" s="20" t="str">
        <x:v>YES</x:v>
      </x:c>
    </x:row>
    <x:row r="81">
      <x:c r="A81" s="20" t="str">
        <x:v>ADM-015_DEN</x:v>
      </x:c>
      <x:c r="B81" s="20" t="n">
        <x:v>2026</x:v>
      </x:c>
      <x:c r="C81" s="20" t="str">
        <x:v>Administración</x:v>
      </x:c>
      <x:c r="D81" s="20" t="str">
        <x:v>ADM-015</x:v>
      </x:c>
      <x:c r="E81" s="20" t="str">
        <x:v>DEN</x:v>
      </x:c>
      <x:c r="F81" s="20" t="str">
        <x:v>reportes programados en el periodo</x:v>
      </x:c>
      <x:c r="G81" s="20" t="str">
        <x:v># / base</x:v>
      </x:c>
      <x:c r="H81" s="20" t="n">
        <x:v>125</x:v>
      </x:c>
      <x:c r="I81" s="20" t="str">
        <x:v>Plan-Year Dummy</x:v>
      </x:c>
      <x:c r="J81" s="20" t="str">
        <x:v>YES</x:v>
      </x:c>
    </x:row>
    <x:row r="82">
      <x:c r="A82" s="20" t="str">
        <x:v>ADM-016_NUM</x:v>
      </x:c>
      <x:c r="B82" s="20" t="n">
        <x:v>2023</x:v>
      </x:c>
      <x:c r="C82" s="20" t="str">
        <x:v>Administración</x:v>
      </x:c>
      <x:c r="D82" s="20" t="str">
        <x:v>ADM-016</x:v>
      </x:c>
      <x:c r="E82" s="20" t="str">
        <x:v>NUM</x:v>
      </x:c>
      <x:c r="F82" s="20" t="str">
        <x:v>Viajes gestionados dentro de 7 días desde solicitud completa</x:v>
      </x:c>
      <x:c r="G82" s="20" t="str">
        <x:v>días</x:v>
      </x:c>
      <x:c r="H82" s="20" t="n">
        <x:v>84</x:v>
      </x:c>
      <x:c r="I82" s="20" t="str">
        <x:v>Historical Dummy</x:v>
      </x:c>
      <x:c r="J82" s="20" t="str">
        <x:v>YES</x:v>
      </x:c>
    </x:row>
    <x:row r="83">
      <x:c r="A83" s="20" t="str">
        <x:v>ADM-016_NUM</x:v>
      </x:c>
      <x:c r="B83" s="20" t="n">
        <x:v>2024</x:v>
      </x:c>
      <x:c r="C83" s="20" t="str">
        <x:v>Administración</x:v>
      </x:c>
      <x:c r="D83" s="20" t="str">
        <x:v>ADM-016</x:v>
      </x:c>
      <x:c r="E83" s="20" t="str">
        <x:v>NUM</x:v>
      </x:c>
      <x:c r="F83" s="20" t="str">
        <x:v>Viajes gestionados dentro de 7 días desde solicitud completa</x:v>
      </x:c>
      <x:c r="G83" s="20" t="str">
        <x:v>días</x:v>
      </x:c>
      <x:c r="H83" s="20" t="n">
        <x:v>96</x:v>
      </x:c>
      <x:c r="I83" s="20" t="str">
        <x:v>Historical Dummy</x:v>
      </x:c>
      <x:c r="J83" s="20" t="str">
        <x:v>YES</x:v>
      </x:c>
    </x:row>
    <x:row r="84">
      <x:c r="A84" s="20" t="str">
        <x:v>ADM-016_NUM</x:v>
      </x:c>
      <x:c r="B84" s="20" t="n">
        <x:v>2025</x:v>
      </x:c>
      <x:c r="C84" s="20" t="str">
        <x:v>Administración</x:v>
      </x:c>
      <x:c r="D84" s="20" t="str">
        <x:v>ADM-016</x:v>
      </x:c>
      <x:c r="E84" s="20" t="str">
        <x:v>NUM</x:v>
      </x:c>
      <x:c r="F84" s="20" t="str">
        <x:v>Viajes gestionados dentro de 7 días desde solicitud completa</x:v>
      </x:c>
      <x:c r="G84" s="20" t="str">
        <x:v>días</x:v>
      </x:c>
      <x:c r="H84" s="20" t="n">
        <x:v>109</x:v>
      </x:c>
      <x:c r="I84" s="20" t="str">
        <x:v>Historical Dummy</x:v>
      </x:c>
      <x:c r="J84" s="20" t="str">
        <x:v>YES</x:v>
      </x:c>
    </x:row>
    <x:row r="85">
      <x:c r="A85" s="20" t="str">
        <x:v>ADM-016_NUM</x:v>
      </x:c>
      <x:c r="B85" s="20" t="n">
        <x:v>2026</x:v>
      </x:c>
      <x:c r="C85" s="20" t="str">
        <x:v>Administración</x:v>
      </x:c>
      <x:c r="D85" s="20" t="str">
        <x:v>ADM-016</x:v>
      </x:c>
      <x:c r="E85" s="20" t="str">
        <x:v>NUM</x:v>
      </x:c>
      <x:c r="F85" s="20" t="str">
        <x:v>Viajes gestionados dentro de 7 días desde solicitud completa</x:v>
      </x:c>
      <x:c r="G85" s="20" t="str">
        <x:v>días</x:v>
      </x:c>
      <x:c r="H85" s="20" t="n">
        <x:v>125</x:v>
      </x:c>
      <x:c r="I85" s="20" t="str">
        <x:v>Plan-Year Dummy</x:v>
      </x:c>
      <x:c r="J85" s="20" t="str">
        <x:v>YES</x:v>
      </x:c>
    </x:row>
    <x:row r="86">
      <x:c r="A86" s="20" t="str">
        <x:v>ADM-016_DEN</x:v>
      </x:c>
      <x:c r="B86" s="20" t="n">
        <x:v>2023</x:v>
      </x:c>
      <x:c r="C86" s="20" t="str">
        <x:v>Administración</x:v>
      </x:c>
      <x:c r="D86" s="20" t="str">
        <x:v>ADM-016</x:v>
      </x:c>
      <x:c r="E86" s="20" t="str">
        <x:v>DEN</x:v>
      </x:c>
      <x:c r="F86" s="20" t="str">
        <x:v>viajes solicitados</x:v>
      </x:c>
      <x:c r="G86" s="20" t="str">
        <x:v># / base</x:v>
      </x:c>
      <x:c r="H86" s="20" t="n">
        <x:v>100</x:v>
      </x:c>
      <x:c r="I86" s="20" t="str">
        <x:v>Historical Dummy</x:v>
      </x:c>
      <x:c r="J86" s="20" t="str">
        <x:v>YES</x:v>
      </x:c>
    </x:row>
    <x:row r="87">
      <x:c r="A87" s="20" t="str">
        <x:v>ADM-016_DEN</x:v>
      </x:c>
      <x:c r="B87" s="20" t="n">
        <x:v>2024</x:v>
      </x:c>
      <x:c r="C87" s="20" t="str">
        <x:v>Administración</x:v>
      </x:c>
      <x:c r="D87" s="20" t="str">
        <x:v>ADM-016</x:v>
      </x:c>
      <x:c r="E87" s="20" t="str">
        <x:v>DEN</x:v>
      </x:c>
      <x:c r="F87" s="20" t="str">
        <x:v>viajes solicitados</x:v>
      </x:c>
      <x:c r="G87" s="20" t="str">
        <x:v># / base</x:v>
      </x:c>
      <x:c r="H87" s="20" t="n">
        <x:v>108</x:v>
      </x:c>
      <x:c r="I87" s="20" t="str">
        <x:v>Historical Dummy</x:v>
      </x:c>
      <x:c r="J87" s="20" t="str">
        <x:v>YES</x:v>
      </x:c>
    </x:row>
    <x:row r="88">
      <x:c r="A88" s="20" t="str">
        <x:v>ADM-016_DEN</x:v>
      </x:c>
      <x:c r="B88" s="20" t="n">
        <x:v>2025</x:v>
      </x:c>
      <x:c r="C88" s="20" t="str">
        <x:v>Administración</x:v>
      </x:c>
      <x:c r="D88" s="20" t="str">
        <x:v>ADM-016</x:v>
      </x:c>
      <x:c r="E88" s="20" t="str">
        <x:v>DEN</x:v>
      </x:c>
      <x:c r="F88" s="20" t="str">
        <x:v>viajes solicitados</x:v>
      </x:c>
      <x:c r="G88" s="20" t="str">
        <x:v># / base</x:v>
      </x:c>
      <x:c r="H88" s="20" t="n">
        <x:v>116</x:v>
      </x:c>
      <x:c r="I88" s="20" t="str">
        <x:v>Historical Dummy</x:v>
      </x:c>
      <x:c r="J88" s="20" t="str">
        <x:v>YES</x:v>
      </x:c>
    </x:row>
    <x:row r="89">
      <x:c r="A89" s="20" t="str">
        <x:v>ADM-016_DEN</x:v>
      </x:c>
      <x:c r="B89" s="20" t="n">
        <x:v>2026</x:v>
      </x:c>
      <x:c r="C89" s="20" t="str">
        <x:v>Administración</x:v>
      </x:c>
      <x:c r="D89" s="20" t="str">
        <x:v>ADM-016</x:v>
      </x:c>
      <x:c r="E89" s="20" t="str">
        <x:v>DEN</x:v>
      </x:c>
      <x:c r="F89" s="20" t="str">
        <x:v>viajes solicitados</x:v>
      </x:c>
      <x:c r="G89" s="20" t="str">
        <x:v># / base</x:v>
      </x:c>
      <x:c r="H89" s="20" t="n">
        <x:v>125</x:v>
      </x:c>
      <x:c r="I89" s="20" t="str">
        <x:v>Plan-Year Dummy</x:v>
      </x:c>
      <x:c r="J89" s="20" t="str">
        <x:v>YES</x:v>
      </x:c>
    </x:row>
    <x:row r="90">
      <x:c r="A90" s="20" t="str">
        <x:v>ADM-017_NUM</x:v>
      </x:c>
      <x:c r="B90" s="20" t="n">
        <x:v>2023</x:v>
      </x:c>
      <x:c r="C90" s="20" t="str">
        <x:v>Administración</x:v>
      </x:c>
      <x:c r="D90" s="20" t="str">
        <x:v>ADM-017</x:v>
      </x:c>
      <x:c r="E90" s="20" t="str">
        <x:v>NUM</x:v>
      </x:c>
      <x:c r="F90" s="20" t="str">
        <x:v>Viajes comprobados dentro de 30 días posteriores al regreso</x:v>
      </x:c>
      <x:c r="G90" s="20" t="str">
        <x:v>días</x:v>
      </x:c>
      <x:c r="H90" s="20" t="n">
        <x:v>84</x:v>
      </x:c>
      <x:c r="I90" s="20" t="str">
        <x:v>Historical Dummy</x:v>
      </x:c>
      <x:c r="J90" s="20" t="str">
        <x:v>YES</x:v>
      </x:c>
    </x:row>
    <x:row r="91">
      <x:c r="A91" s="20" t="str">
        <x:v>ADM-017_NUM</x:v>
      </x:c>
      <x:c r="B91" s="20" t="n">
        <x:v>2024</x:v>
      </x:c>
      <x:c r="C91" s="20" t="str">
        <x:v>Administración</x:v>
      </x:c>
      <x:c r="D91" s="20" t="str">
        <x:v>ADM-017</x:v>
      </x:c>
      <x:c r="E91" s="20" t="str">
        <x:v>NUM</x:v>
      </x:c>
      <x:c r="F91" s="20" t="str">
        <x:v>Viajes comprobados dentro de 30 días posteriores al regreso</x:v>
      </x:c>
      <x:c r="G91" s="20" t="str">
        <x:v>días</x:v>
      </x:c>
      <x:c r="H91" s="20" t="n">
        <x:v>96</x:v>
      </x:c>
      <x:c r="I91" s="20" t="str">
        <x:v>Historical Dummy</x:v>
      </x:c>
      <x:c r="J91" s="20" t="str">
        <x:v>YES</x:v>
      </x:c>
    </x:row>
    <x:row r="92">
      <x:c r="A92" s="20" t="str">
        <x:v>ADM-017_NUM</x:v>
      </x:c>
      <x:c r="B92" s="20" t="n">
        <x:v>2025</x:v>
      </x:c>
      <x:c r="C92" s="20" t="str">
        <x:v>Administración</x:v>
      </x:c>
      <x:c r="D92" s="20" t="str">
        <x:v>ADM-017</x:v>
      </x:c>
      <x:c r="E92" s="20" t="str">
        <x:v>NUM</x:v>
      </x:c>
      <x:c r="F92" s="20" t="str">
        <x:v>Viajes comprobados dentro de 30 días posteriores al regreso</x:v>
      </x:c>
      <x:c r="G92" s="20" t="str">
        <x:v>días</x:v>
      </x:c>
      <x:c r="H92" s="20" t="n">
        <x:v>109</x:v>
      </x:c>
      <x:c r="I92" s="20" t="str">
        <x:v>Historical Dummy</x:v>
      </x:c>
      <x:c r="J92" s="20" t="str">
        <x:v>YES</x:v>
      </x:c>
    </x:row>
    <x:row r="93">
      <x:c r="A93" s="20" t="str">
        <x:v>ADM-017_NUM</x:v>
      </x:c>
      <x:c r="B93" s="20" t="n">
        <x:v>2026</x:v>
      </x:c>
      <x:c r="C93" s="20" t="str">
        <x:v>Administración</x:v>
      </x:c>
      <x:c r="D93" s="20" t="str">
        <x:v>ADM-017</x:v>
      </x:c>
      <x:c r="E93" s="20" t="str">
        <x:v>NUM</x:v>
      </x:c>
      <x:c r="F93" s="20" t="str">
        <x:v>Viajes comprobados dentro de 30 días posteriores al regreso</x:v>
      </x:c>
      <x:c r="G93" s="20" t="str">
        <x:v>días</x:v>
      </x:c>
      <x:c r="H93" s="20" t="n">
        <x:v>125</x:v>
      </x:c>
      <x:c r="I93" s="20" t="str">
        <x:v>Plan-Year Dummy</x:v>
      </x:c>
      <x:c r="J93" s="20" t="str">
        <x:v>YES</x:v>
      </x:c>
    </x:row>
    <x:row r="94">
      <x:c r="A94" s="20" t="str">
        <x:v>ADM-017_DEN</x:v>
      </x:c>
      <x:c r="B94" s="20" t="n">
        <x:v>2023</x:v>
      </x:c>
      <x:c r="C94" s="20" t="str">
        <x:v>Administración</x:v>
      </x:c>
      <x:c r="D94" s="20" t="str">
        <x:v>ADM-017</x:v>
      </x:c>
      <x:c r="E94" s="20" t="str">
        <x:v>DEN</x:v>
      </x:c>
      <x:c r="F94" s="20" t="str">
        <x:v>viajes concluidos que requieren comprobación</x:v>
      </x:c>
      <x:c r="G94" s="20" t="str">
        <x:v># / base</x:v>
      </x:c>
      <x:c r="H94" s="20" t="n">
        <x:v>100</x:v>
      </x:c>
      <x:c r="I94" s="20" t="str">
        <x:v>Historical Dummy</x:v>
      </x:c>
      <x:c r="J94" s="20" t="str">
        <x:v>YES</x:v>
      </x:c>
    </x:row>
    <x:row r="95">
      <x:c r="A95" s="20" t="str">
        <x:v>ADM-017_DEN</x:v>
      </x:c>
      <x:c r="B95" s="20" t="n">
        <x:v>2024</x:v>
      </x:c>
      <x:c r="C95" s="20" t="str">
        <x:v>Administración</x:v>
      </x:c>
      <x:c r="D95" s="20" t="str">
        <x:v>ADM-017</x:v>
      </x:c>
      <x:c r="E95" s="20" t="str">
        <x:v>DEN</x:v>
      </x:c>
      <x:c r="F95" s="20" t="str">
        <x:v>viajes concluidos que requieren comprobación</x:v>
      </x:c>
      <x:c r="G95" s="20" t="str">
        <x:v># / base</x:v>
      </x:c>
      <x:c r="H95" s="20" t="n">
        <x:v>108</x:v>
      </x:c>
      <x:c r="I95" s="20" t="str">
        <x:v>Historical Dummy</x:v>
      </x:c>
      <x:c r="J95" s="20" t="str">
        <x:v>YES</x:v>
      </x:c>
    </x:row>
    <x:row r="96">
      <x:c r="A96" s="20" t="str">
        <x:v>ADM-017_DEN</x:v>
      </x:c>
      <x:c r="B96" s="20" t="n">
        <x:v>2025</x:v>
      </x:c>
      <x:c r="C96" s="20" t="str">
        <x:v>Administración</x:v>
      </x:c>
      <x:c r="D96" s="20" t="str">
        <x:v>ADM-017</x:v>
      </x:c>
      <x:c r="E96" s="20" t="str">
        <x:v>DEN</x:v>
      </x:c>
      <x:c r="F96" s="20" t="str">
        <x:v>viajes concluidos que requieren comprobación</x:v>
      </x:c>
      <x:c r="G96" s="20" t="str">
        <x:v># / base</x:v>
      </x:c>
      <x:c r="H96" s="20" t="n">
        <x:v>116</x:v>
      </x:c>
      <x:c r="I96" s="20" t="str">
        <x:v>Historical Dummy</x:v>
      </x:c>
      <x:c r="J96" s="20" t="str">
        <x:v>YES</x:v>
      </x:c>
    </x:row>
    <x:row r="97">
      <x:c r="A97" s="20" t="str">
        <x:v>ADM-017_DEN</x:v>
      </x:c>
      <x:c r="B97" s="20" t="n">
        <x:v>2026</x:v>
      </x:c>
      <x:c r="C97" s="20" t="str">
        <x:v>Administración</x:v>
      </x:c>
      <x:c r="D97" s="20" t="str">
        <x:v>ADM-017</x:v>
      </x:c>
      <x:c r="E97" s="20" t="str">
        <x:v>DEN</x:v>
      </x:c>
      <x:c r="F97" s="20" t="str">
        <x:v>viajes concluidos que requieren comprobación</x:v>
      </x:c>
      <x:c r="G97" s="20" t="str">
        <x:v># / base</x:v>
      </x:c>
      <x:c r="H97" s="20" t="n">
        <x:v>125</x:v>
      </x:c>
      <x:c r="I97" s="20" t="str">
        <x:v>Plan-Year Dummy</x:v>
      </x:c>
      <x:c r="J97" s="20" t="str">
        <x:v>YES</x:v>
      </x:c>
    </x:row>
    <x:row r="98">
      <x:c r="A98" s="20" t="str">
        <x:v>OPS-001_VAL</x:v>
      </x:c>
      <x:c r="B98" s="20" t="n">
        <x:v>2023</x:v>
      </x:c>
      <x:c r="C98" s="20" t="str">
        <x:v>Operaciones</x:v>
      </x:c>
      <x:c r="D98" s="20" t="str">
        <x:v>OPS-001</x:v>
      </x:c>
      <x:c r="E98" s="20" t="str">
        <x:v>VAL</x:v>
      </x:c>
      <x:c r="F98" s="20" t="str">
        <x:v>Número de países con al menos un programa activo y esquema operativo documentado</x:v>
      </x:c>
      <x:c r="G98" s="20" t="str">
        <x:v>#</x:v>
      </x:c>
      <x:c r="H98" s="20" t="n">
        <x:v>2</x:v>
      </x:c>
      <x:c r="I98" s="20" t="str">
        <x:v>Historical Dummy</x:v>
      </x:c>
      <x:c r="J98" s="20" t="str">
        <x:v>YES</x:v>
      </x:c>
    </x:row>
    <x:row r="99">
      <x:c r="A99" s="20" t="str">
        <x:v>OPS-001_VAL</x:v>
      </x:c>
      <x:c r="B99" s="20" t="n">
        <x:v>2024</x:v>
      </x:c>
      <x:c r="C99" s="20" t="str">
        <x:v>Operaciones</x:v>
      </x:c>
      <x:c r="D99" s="20" t="str">
        <x:v>OPS-001</x:v>
      </x:c>
      <x:c r="E99" s="20" t="str">
        <x:v>VAL</x:v>
      </x:c>
      <x:c r="F99" s="20" t="str">
        <x:v>Número de países con al menos un programa activo y esquema operativo documentado</x:v>
      </x:c>
      <x:c r="G99" s="20" t="str">
        <x:v>#</x:v>
      </x:c>
      <x:c r="H99" s="20" t="n">
        <x:v>3</x:v>
      </x:c>
      <x:c r="I99" s="20" t="str">
        <x:v>Historical Dummy</x:v>
      </x:c>
      <x:c r="J99" s="20" t="str">
        <x:v>YES</x:v>
      </x:c>
    </x:row>
    <x:row r="100">
      <x:c r="A100" s="20" t="str">
        <x:v>OPS-001_VAL</x:v>
      </x:c>
      <x:c r="B100" s="20" t="n">
        <x:v>2025</x:v>
      </x:c>
      <x:c r="C100" s="20" t="str">
        <x:v>Operaciones</x:v>
      </x:c>
      <x:c r="D100" s="20" t="str">
        <x:v>OPS-001</x:v>
      </x:c>
      <x:c r="E100" s="20" t="str">
        <x:v>VAL</x:v>
      </x:c>
      <x:c r="F100" s="20" t="str">
        <x:v>Número de países con al menos un programa activo y esquema operativo documentado</x:v>
      </x:c>
      <x:c r="G100" s="20" t="str">
        <x:v>#</x:v>
      </x:c>
      <x:c r="H100" s="20" t="n">
        <x:v>3</x:v>
      </x:c>
      <x:c r="I100" s="20" t="str">
        <x:v>Historical Dummy</x:v>
      </x:c>
      <x:c r="J100" s="20" t="str">
        <x:v>YES</x:v>
      </x:c>
    </x:row>
    <x:row r="101">
      <x:c r="A101" s="20" t="str">
        <x:v>OPS-001_VAL</x:v>
      </x:c>
      <x:c r="B101" s="20" t="n">
        <x:v>2026</x:v>
      </x:c>
      <x:c r="C101" s="20" t="str">
        <x:v>Operaciones</x:v>
      </x:c>
      <x:c r="D101" s="20" t="str">
        <x:v>OPS-001</x:v>
      </x:c>
      <x:c r="E101" s="20" t="str">
        <x:v>VAL</x:v>
      </x:c>
      <x:c r="F101" s="20" t="str">
        <x:v>Número de países con al menos un programa activo y esquema operativo documentado</x:v>
      </x:c>
      <x:c r="G101" s="20" t="str">
        <x:v>#</x:v>
      </x:c>
      <x:c r="H101" s="20" t="n">
        <x:v>4</x:v>
      </x:c>
      <x:c r="I101" s="20" t="str">
        <x:v>Plan-Year Dummy</x:v>
      </x:c>
      <x:c r="J101" s="20" t="str">
        <x:v>YES</x:v>
      </x:c>
    </x:row>
    <x:row r="102">
      <x:c r="A102" s="20" t="str">
        <x:v>OPS-002_NUM</x:v>
      </x:c>
      <x:c r="B102" s="20" t="n">
        <x:v>2023</x:v>
      </x:c>
      <x:c r="C102" s="20" t="str">
        <x:v>Operaciones</x:v>
      </x:c>
      <x:c r="D102" s="20" t="str">
        <x:v>OPS-002</x:v>
      </x:c>
      <x:c r="E102" s="20" t="str">
        <x:v>NUM</x:v>
      </x:c>
      <x:c r="F102" s="20" t="str">
        <x:v>Beneficiarios que cumplen criterio de asistencia regular</x:v>
      </x:c>
      <x:c r="G102" s="20" t="str">
        <x:v># / base</x:v>
      </x:c>
      <x:c r="H102" s="20" t="n">
        <x:v>594</x:v>
      </x:c>
      <x:c r="I102" s="20" t="str">
        <x:v>Historical Dummy</x:v>
      </x:c>
      <x:c r="J102" s="20" t="str">
        <x:v>YES</x:v>
      </x:c>
    </x:row>
    <x:row r="103">
      <x:c r="A103" s="20" t="str">
        <x:v>OPS-002_NUM</x:v>
      </x:c>
      <x:c r="B103" s="20" t="n">
        <x:v>2024</x:v>
      </x:c>
      <x:c r="C103" s="20" t="str">
        <x:v>Operaciones</x:v>
      </x:c>
      <x:c r="D103" s="20" t="str">
        <x:v>OPS-002</x:v>
      </x:c>
      <x:c r="E103" s="20" t="str">
        <x:v>NUM</x:v>
      </x:c>
      <x:c r="F103" s="20" t="str">
        <x:v>Beneficiarios que cumplen criterio de asistencia regular</x:v>
      </x:c>
      <x:c r="G103" s="20" t="str">
        <x:v># / base</x:v>
      </x:c>
      <x:c r="H103" s="20" t="n">
        <x:v>690</x:v>
      </x:c>
      <x:c r="I103" s="20" t="str">
        <x:v>Historical Dummy</x:v>
      </x:c>
      <x:c r="J103" s="20" t="str">
        <x:v>YES</x:v>
      </x:c>
    </x:row>
    <x:row r="104">
      <x:c r="A104" s="20" t="str">
        <x:v>OPS-002_NUM</x:v>
      </x:c>
      <x:c r="B104" s="20" t="n">
        <x:v>2025</x:v>
      </x:c>
      <x:c r="C104" s="20" t="str">
        <x:v>Operaciones</x:v>
      </x:c>
      <x:c r="D104" s="20" t="str">
        <x:v>OPS-002</x:v>
      </x:c>
      <x:c r="E104" s="20" t="str">
        <x:v>NUM</x:v>
      </x:c>
      <x:c r="F104" s="20" t="str">
        <x:v>Beneficiarios que cumplen criterio de asistencia regular</x:v>
      </x:c>
      <x:c r="G104" s="20" t="str">
        <x:v># / base</x:v>
      </x:c>
      <x:c r="H104" s="20" t="n">
        <x:v>793</x:v>
      </x:c>
      <x:c r="I104" s="20" t="str">
        <x:v>Historical Dummy</x:v>
      </x:c>
      <x:c r="J104" s="20" t="str">
        <x:v>YES</x:v>
      </x:c>
    </x:row>
    <x:row r="105">
      <x:c r="A105" s="20" t="str">
        <x:v>OPS-002_NUM</x:v>
      </x:c>
      <x:c r="B105" s="20" t="n">
        <x:v>2026</x:v>
      </x:c>
      <x:c r="C105" s="20" t="str">
        <x:v>Operaciones</x:v>
      </x:c>
      <x:c r="D105" s="20" t="str">
        <x:v>OPS-002</x:v>
      </x:c>
      <x:c r="E105" s="20" t="str">
        <x:v>NUM</x:v>
      </x:c>
      <x:c r="F105" s="20" t="str">
        <x:v>Beneficiarios que cumplen criterio de asistencia regular</x:v>
      </x:c>
      <x:c r="G105" s="20" t="str">
        <x:v># / base</x:v>
      </x:c>
      <x:c r="H105" s="20" t="n">
        <x:v>922</x:v>
      </x:c>
      <x:c r="I105" s="20" t="str">
        <x:v>Plan-Year Dummy</x:v>
      </x:c>
      <x:c r="J105" s="20" t="str">
        <x:v>YES</x:v>
      </x:c>
    </x:row>
    <x:row r="106">
      <x:c r="A106" s="20" t="str">
        <x:v>OPS-002_DEN</x:v>
      </x:c>
      <x:c r="B106" s="20" t="n">
        <x:v>2023</x:v>
      </x:c>
      <x:c r="C106" s="20" t="str">
        <x:v>Operaciones</x:v>
      </x:c>
      <x:c r="D106" s="20" t="str">
        <x:v>OPS-002</x:v>
      </x:c>
      <x:c r="E106" s="20" t="str">
        <x:v>DEN</x:v>
      </x:c>
      <x:c r="F106" s="20" t="str">
        <x:v>beneficiarios inscritos activos</x:v>
      </x:c>
      <x:c r="G106" s="20" t="str">
        <x:v># / base</x:v>
      </x:c>
      <x:c r="H106" s="20" t="n">
        <x:v>900</x:v>
      </x:c>
      <x:c r="I106" s="20" t="str">
        <x:v>Historical Dummy</x:v>
      </x:c>
      <x:c r="J106" s="20" t="str">
        <x:v>YES</x:v>
      </x:c>
    </x:row>
    <x:row r="107">
      <x:c r="A107" s="20" t="str">
        <x:v>OPS-002_DEN</x:v>
      </x:c>
      <x:c r="B107" s="20" t="n">
        <x:v>2024</x:v>
      </x:c>
      <x:c r="C107" s="20" t="str">
        <x:v>Operaciones</x:v>
      </x:c>
      <x:c r="D107" s="20" t="str">
        <x:v>OPS-002</x:v>
      </x:c>
      <x:c r="E107" s="20" t="str">
        <x:v>DEN</x:v>
      </x:c>
      <x:c r="F107" s="20" t="str">
        <x:v>beneficiarios inscritos activos</x:v>
      </x:c>
      <x:c r="G107" s="20" t="str">
        <x:v># / base</x:v>
      </x:c>
      <x:c r="H107" s="20" t="n">
        <x:v>972</x:v>
      </x:c>
      <x:c r="I107" s="20" t="str">
        <x:v>Historical Dummy</x:v>
      </x:c>
      <x:c r="J107" s="20" t="str">
        <x:v>YES</x:v>
      </x:c>
    </x:row>
    <x:row r="108">
      <x:c r="A108" s="20" t="str">
        <x:v>OPS-002_DEN</x:v>
      </x:c>
      <x:c r="B108" s="20" t="n">
        <x:v>2025</x:v>
      </x:c>
      <x:c r="C108" s="20" t="str">
        <x:v>Operaciones</x:v>
      </x:c>
      <x:c r="D108" s="20" t="str">
        <x:v>OPS-002</x:v>
      </x:c>
      <x:c r="E108" s="20" t="str">
        <x:v>DEN</x:v>
      </x:c>
      <x:c r="F108" s="20" t="str">
        <x:v>beneficiarios inscritos activos</x:v>
      </x:c>
      <x:c r="G108" s="20" t="str">
        <x:v># / base</x:v>
      </x:c>
      <x:c r="H108" s="20" t="n">
        <x:v>1044</x:v>
      </x:c>
      <x:c r="I108" s="20" t="str">
        <x:v>Historical Dummy</x:v>
      </x:c>
      <x:c r="J108" s="20" t="str">
        <x:v>YES</x:v>
      </x:c>
    </x:row>
    <x:row r="109">
      <x:c r="A109" s="20" t="str">
        <x:v>OPS-002_DEN</x:v>
      </x:c>
      <x:c r="B109" s="20" t="n">
        <x:v>2026</x:v>
      </x:c>
      <x:c r="C109" s="20" t="str">
        <x:v>Operaciones</x:v>
      </x:c>
      <x:c r="D109" s="20" t="str">
        <x:v>OPS-002</x:v>
      </x:c>
      <x:c r="E109" s="20" t="str">
        <x:v>DEN</x:v>
      </x:c>
      <x:c r="F109" s="20" t="str">
        <x:v>beneficiarios inscritos activos</x:v>
      </x:c>
      <x:c r="G109" s="20" t="str">
        <x:v># / base</x:v>
      </x:c>
      <x:c r="H109" s="20" t="n">
        <x:v>1125</x:v>
      </x:c>
      <x:c r="I109" s="20" t="str">
        <x:v>Plan-Year Dummy</x:v>
      </x:c>
      <x:c r="J109" s="20" t="str">
        <x:v>YES</x:v>
      </x:c>
    </x:row>
    <x:row r="110">
      <x:c r="A110" s="20" t="str">
        <x:v>OPS-003_VAL</x:v>
      </x:c>
      <x:c r="B110" s="20" t="n">
        <x:v>2023</x:v>
      </x:c>
      <x:c r="C110" s="20" t="str">
        <x:v>Operaciones</x:v>
      </x:c>
      <x:c r="D110" s="20" t="str">
        <x:v>OPS-003</x:v>
      </x:c>
      <x:c r="E110" s="20" t="str">
        <x:v>VAL</x:v>
      </x:c>
      <x:c r="F110" s="20" t="str">
        <x:v>Cambio porcentual promedio pre–post en instrumento psicosocial validado</x:v>
      </x:c>
      <x:c r="G110" s="20" t="str">
        <x:v>%</x:v>
      </x:c>
      <x:c r="H110" s="20" t="n">
        <x:v>19.5</x:v>
      </x:c>
      <x:c r="I110" s="20" t="str">
        <x:v>Historical Dummy</x:v>
      </x:c>
      <x:c r="J110" s="20" t="str">
        <x:v>YES</x:v>
      </x:c>
    </x:row>
    <x:row r="111">
      <x:c r="A111" s="20" t="str">
        <x:v>OPS-003_VAL</x:v>
      </x:c>
      <x:c r="B111" s="20" t="n">
        <x:v>2024</x:v>
      </x:c>
      <x:c r="C111" s="20" t="str">
        <x:v>Operaciones</x:v>
      </x:c>
      <x:c r="D111" s="20" t="str">
        <x:v>OPS-003</x:v>
      </x:c>
      <x:c r="E111" s="20" t="str">
        <x:v>VAL</x:v>
      </x:c>
      <x:c r="F111" s="20" t="str">
        <x:v>Cambio porcentual promedio pre–post en instrumento psicosocial validado</x:v>
      </x:c>
      <x:c r="G111" s="20" t="str">
        <x:v>%</x:v>
      </x:c>
      <x:c r="H111" s="20" t="n">
        <x:v>23.4</x:v>
      </x:c>
      <x:c r="I111" s="20" t="str">
        <x:v>Historical Dummy</x:v>
      </x:c>
      <x:c r="J111" s="20" t="str">
        <x:v>YES</x:v>
      </x:c>
    </x:row>
    <x:row r="112">
      <x:c r="A112" s="20" t="str">
        <x:v>OPS-003_VAL</x:v>
      </x:c>
      <x:c r="B112" s="20" t="n">
        <x:v>2025</x:v>
      </x:c>
      <x:c r="C112" s="20" t="str">
        <x:v>Operaciones</x:v>
      </x:c>
      <x:c r="D112" s="20" t="str">
        <x:v>OPS-003</x:v>
      </x:c>
      <x:c r="E112" s="20" t="str">
        <x:v>VAL</x:v>
      </x:c>
      <x:c r="F112" s="20" t="str">
        <x:v>Cambio porcentual promedio pre–post en instrumento psicosocial validado</x:v>
      </x:c>
      <x:c r="G112" s="20" t="str">
        <x:v>%</x:v>
      </x:c>
      <x:c r="H112" s="20" t="n">
        <x:v>27</x:v>
      </x:c>
      <x:c r="I112" s="20" t="str">
        <x:v>Historical Dummy</x:v>
      </x:c>
      <x:c r="J112" s="20" t="str">
        <x:v>YES</x:v>
      </x:c>
    </x:row>
    <x:row r="113">
      <x:c r="A113" s="20" t="str">
        <x:v>OPS-003_VAL</x:v>
      </x:c>
      <x:c r="B113" s="20" t="n">
        <x:v>2026</x:v>
      </x:c>
      <x:c r="C113" s="20" t="str">
        <x:v>Operaciones</x:v>
      </x:c>
      <x:c r="D113" s="20" t="str">
        <x:v>OPS-003</x:v>
      </x:c>
      <x:c r="E113" s="20" t="str">
        <x:v>VAL</x:v>
      </x:c>
      <x:c r="F113" s="20" t="str">
        <x:v>Cambio porcentual promedio pre–post en instrumento psicosocial validado</x:v>
      </x:c>
      <x:c r="G113" s="20" t="str">
        <x:v>%</x:v>
      </x:c>
      <x:c r="H113" s="20" t="n">
        <x:v>30.6</x:v>
      </x:c>
      <x:c r="I113" s="20" t="str">
        <x:v>Plan-Year Dummy</x:v>
      </x:c>
      <x:c r="J113" s="20" t="str">
        <x:v>YES</x:v>
      </x:c>
    </x:row>
    <x:row r="114">
      <x:c r="A114" s="20" t="str">
        <x:v>OPS-004_VAL</x:v>
      </x:c>
      <x:c r="B114" s="20" t="n">
        <x:v>2023</x:v>
      </x:c>
      <x:c r="C114" s="20" t="str">
        <x:v>Operaciones</x:v>
      </x:c>
      <x:c r="D114" s="20" t="str">
        <x:v>OPS-004</x:v>
      </x:c>
      <x:c r="E114" s="20" t="str">
        <x:v>VAL</x:v>
      </x:c>
      <x:c r="F114" s="20" t="str">
        <x:v>Cambio porcentual promedio pre–post en evaluación deportiva estandarizada</x:v>
      </x:c>
      <x:c r="G114" s="20" t="str">
        <x:v>%</x:v>
      </x:c>
      <x:c r="H114" s="20" t="n">
        <x:v>19.5</x:v>
      </x:c>
      <x:c r="I114" s="20" t="str">
        <x:v>Historical Dummy</x:v>
      </x:c>
      <x:c r="J114" s="20" t="str">
        <x:v>YES</x:v>
      </x:c>
    </x:row>
    <x:row r="115">
      <x:c r="A115" s="20" t="str">
        <x:v>OPS-004_VAL</x:v>
      </x:c>
      <x:c r="B115" s="20" t="n">
        <x:v>2024</x:v>
      </x:c>
      <x:c r="C115" s="20" t="str">
        <x:v>Operaciones</x:v>
      </x:c>
      <x:c r="D115" s="20" t="str">
        <x:v>OPS-004</x:v>
      </x:c>
      <x:c r="E115" s="20" t="str">
        <x:v>VAL</x:v>
      </x:c>
      <x:c r="F115" s="20" t="str">
        <x:v>Cambio porcentual promedio pre–post en evaluación deportiva estandarizada</x:v>
      </x:c>
      <x:c r="G115" s="20" t="str">
        <x:v>%</x:v>
      </x:c>
      <x:c r="H115" s="20" t="n">
        <x:v>23.4</x:v>
      </x:c>
      <x:c r="I115" s="20" t="str">
        <x:v>Historical Dummy</x:v>
      </x:c>
      <x:c r="J115" s="20" t="str">
        <x:v>YES</x:v>
      </x:c>
    </x:row>
    <x:row r="116">
      <x:c r="A116" s="20" t="str">
        <x:v>OPS-004_VAL</x:v>
      </x:c>
      <x:c r="B116" s="20" t="n">
        <x:v>2025</x:v>
      </x:c>
      <x:c r="C116" s="20" t="str">
        <x:v>Operaciones</x:v>
      </x:c>
      <x:c r="D116" s="20" t="str">
        <x:v>OPS-004</x:v>
      </x:c>
      <x:c r="E116" s="20" t="str">
        <x:v>VAL</x:v>
      </x:c>
      <x:c r="F116" s="20" t="str">
        <x:v>Cambio porcentual promedio pre–post en evaluación deportiva estandarizada</x:v>
      </x:c>
      <x:c r="G116" s="20" t="str">
        <x:v>%</x:v>
      </x:c>
      <x:c r="H116" s="20" t="n">
        <x:v>27</x:v>
      </x:c>
      <x:c r="I116" s="20" t="str">
        <x:v>Historical Dummy</x:v>
      </x:c>
      <x:c r="J116" s="20" t="str">
        <x:v>YES</x:v>
      </x:c>
    </x:row>
    <x:row r="117">
      <x:c r="A117" s="20" t="str">
        <x:v>OPS-004_VAL</x:v>
      </x:c>
      <x:c r="B117" s="20" t="n">
        <x:v>2026</x:v>
      </x:c>
      <x:c r="C117" s="20" t="str">
        <x:v>Operaciones</x:v>
      </x:c>
      <x:c r="D117" s="20" t="str">
        <x:v>OPS-004</x:v>
      </x:c>
      <x:c r="E117" s="20" t="str">
        <x:v>VAL</x:v>
      </x:c>
      <x:c r="F117" s="20" t="str">
        <x:v>Cambio porcentual promedio pre–post en evaluación deportiva estandarizada</x:v>
      </x:c>
      <x:c r="G117" s="20" t="str">
        <x:v>%</x:v>
      </x:c>
      <x:c r="H117" s="20" t="n">
        <x:v>30.6</x:v>
      </x:c>
      <x:c r="I117" s="20" t="str">
        <x:v>Plan-Year Dummy</x:v>
      </x:c>
      <x:c r="J117" s="20" t="str">
        <x:v>YES</x:v>
      </x:c>
    </x:row>
    <x:row r="118">
      <x:c r="A118" s="20" t="str">
        <x:v>OPS-005_A</x:v>
      </x:c>
      <x:c r="B118" s="20" t="n">
        <x:v>2023</x:v>
      </x:c>
      <x:c r="C118" s="20" t="str">
        <x:v>Operaciones</x:v>
      </x:c>
      <x:c r="D118" s="20" t="str">
        <x:v>OPS-005</x:v>
      </x:c>
      <x:c r="E118" s="20" t="str">
        <x:v>A</x:v>
      </x:c>
      <x:c r="F118" s="20" t="str">
        <x:v>Minutos promedio post</x:v>
      </x:c>
      <x:c r="G118" s="20" t="str">
        <x:v>minutos</x:v>
      </x:c>
      <x:c r="H118" s="20" t="n">
        <x:v>119.5</x:v>
      </x:c>
      <x:c r="I118" s="20" t="str">
        <x:v>Historical Dummy</x:v>
      </x:c>
      <x:c r="J118" s="20" t="str">
        <x:v>YES</x:v>
      </x:c>
    </x:row>
    <x:row r="119">
      <x:c r="A119" s="20" t="str">
        <x:v>OPS-005_A</x:v>
      </x:c>
      <x:c r="B119" s="20" t="n">
        <x:v>2024</x:v>
      </x:c>
      <x:c r="C119" s="20" t="str">
        <x:v>Operaciones</x:v>
      </x:c>
      <x:c r="D119" s="20" t="str">
        <x:v>OPS-005</x:v>
      </x:c>
      <x:c r="E119" s="20" t="str">
        <x:v>A</x:v>
      </x:c>
      <x:c r="F119" s="20" t="str">
        <x:v>Minutos promedio post</x:v>
      </x:c>
      <x:c r="G119" s="20" t="str">
        <x:v>minutos</x:v>
      </x:c>
      <x:c r="H119" s="20" t="n">
        <x:v>127.1</x:v>
      </x:c>
      <x:c r="I119" s="20" t="str">
        <x:v>Historical Dummy</x:v>
      </x:c>
      <x:c r="J119" s="20" t="str">
        <x:v>YES</x:v>
      </x:c>
    </x:row>
    <x:row r="120">
      <x:c r="A120" s="20" t="str">
        <x:v>OPS-005_A</x:v>
      </x:c>
      <x:c r="B120" s="20" t="n">
        <x:v>2025</x:v>
      </x:c>
      <x:c r="C120" s="20" t="str">
        <x:v>Operaciones</x:v>
      </x:c>
      <x:c r="D120" s="20" t="str">
        <x:v>OPS-005</x:v>
      </x:c>
      <x:c r="E120" s="20" t="str">
        <x:v>A</x:v>
      </x:c>
      <x:c r="F120" s="20" t="str">
        <x:v>Minutos promedio post</x:v>
      </x:c>
      <x:c r="G120" s="20" t="str">
        <x:v>minutos</x:v>
      </x:c>
      <x:c r="H120" s="20" t="n">
        <x:v>134.62</x:v>
      </x:c>
      <x:c r="I120" s="20" t="str">
        <x:v>Historical Dummy</x:v>
      </x:c>
      <x:c r="J120" s="20" t="str">
        <x:v>YES</x:v>
      </x:c>
    </x:row>
    <x:row r="121">
      <x:c r="A121" s="20" t="str">
        <x:v>OPS-005_A</x:v>
      </x:c>
      <x:c r="B121" s="20" t="n">
        <x:v>2026</x:v>
      </x:c>
      <x:c r="C121" s="20" t="str">
        <x:v>Operaciones</x:v>
      </x:c>
      <x:c r="D121" s="20" t="str">
        <x:v>OPS-005</x:v>
      </x:c>
      <x:c r="E121" s="20" t="str">
        <x:v>A</x:v>
      </x:c>
      <x:c r="F121" s="20" t="str">
        <x:v>Minutos promedio post</x:v>
      </x:c>
      <x:c r="G121" s="20" t="str">
        <x:v>minutos</x:v>
      </x:c>
      <x:c r="H121" s="20" t="n">
        <x:v>142.35</x:v>
      </x:c>
      <x:c r="I121" s="20" t="str">
        <x:v>Plan-Year Dummy</x:v>
      </x:c>
      <x:c r="J121" s="20" t="str">
        <x:v>YES</x:v>
      </x:c>
    </x:row>
    <x:row r="122">
      <x:c r="A122" s="20" t="str">
        <x:v>OPS-005_B</x:v>
      </x:c>
      <x:c r="B122" s="20" t="n">
        <x:v>2023</x:v>
      </x:c>
      <x:c r="C122" s="20" t="str">
        <x:v>Operaciones</x:v>
      </x:c>
      <x:c r="D122" s="20" t="str">
        <x:v>OPS-005</x:v>
      </x:c>
      <x:c r="E122" s="20" t="str">
        <x:v>B</x:v>
      </x:c>
      <x:c r="F122" s="20" t="str">
        <x:v>minutos promedio baseline</x:v>
      </x:c>
      <x:c r="G122" s="20" t="str">
        <x:v>minutos</x:v>
      </x:c>
      <x:c r="H122" s="20" t="n">
        <x:v>100</x:v>
      </x:c>
      <x:c r="I122" s="20" t="str">
        <x:v>Historical Dummy</x:v>
      </x:c>
      <x:c r="J122" s="20" t="str">
        <x:v>YES</x:v>
      </x:c>
    </x:row>
    <x:row r="123">
      <x:c r="A123" s="20" t="str">
        <x:v>OPS-005_B</x:v>
      </x:c>
      <x:c r="B123" s="20" t="n">
        <x:v>2024</x:v>
      </x:c>
      <x:c r="C123" s="20" t="str">
        <x:v>Operaciones</x:v>
      </x:c>
      <x:c r="D123" s="20" t="str">
        <x:v>OPS-005</x:v>
      </x:c>
      <x:c r="E123" s="20" t="str">
        <x:v>B</x:v>
      </x:c>
      <x:c r="F123" s="20" t="str">
        <x:v>minutos promedio baseline</x:v>
      </x:c>
      <x:c r="G123" s="20" t="str">
        <x:v>minutos</x:v>
      </x:c>
      <x:c r="H123" s="20" t="n">
        <x:v>103</x:v>
      </x:c>
      <x:c r="I123" s="20" t="str">
        <x:v>Historical Dummy</x:v>
      </x:c>
      <x:c r="J123" s="20" t="str">
        <x:v>YES</x:v>
      </x:c>
    </x:row>
    <x:row r="124">
      <x:c r="A124" s="20" t="str">
        <x:v>OPS-005_B</x:v>
      </x:c>
      <x:c r="B124" s="20" t="n">
        <x:v>2025</x:v>
      </x:c>
      <x:c r="C124" s="20" t="str">
        <x:v>Operaciones</x:v>
      </x:c>
      <x:c r="D124" s="20" t="str">
        <x:v>OPS-005</x:v>
      </x:c>
      <x:c r="E124" s="20" t="str">
        <x:v>B</x:v>
      </x:c>
      <x:c r="F124" s="20" t="str">
        <x:v>minutos promedio baseline</x:v>
      </x:c>
      <x:c r="G124" s="20" t="str">
        <x:v>minutos</x:v>
      </x:c>
      <x:c r="H124" s="20" t="n">
        <x:v>106</x:v>
      </x:c>
      <x:c r="I124" s="20" t="str">
        <x:v>Historical Dummy</x:v>
      </x:c>
      <x:c r="J124" s="20" t="str">
        <x:v>YES</x:v>
      </x:c>
    </x:row>
    <x:row r="125">
      <x:c r="A125" s="20" t="str">
        <x:v>OPS-005_B</x:v>
      </x:c>
      <x:c r="B125" s="20" t="n">
        <x:v>2026</x:v>
      </x:c>
      <x:c r="C125" s="20" t="str">
        <x:v>Operaciones</x:v>
      </x:c>
      <x:c r="D125" s="20" t="str">
        <x:v>OPS-005</x:v>
      </x:c>
      <x:c r="E125" s="20" t="str">
        <x:v>B</x:v>
      </x:c>
      <x:c r="F125" s="20" t="str">
        <x:v>minutos promedio baseline</x:v>
      </x:c>
      <x:c r="G125" s="20" t="str">
        <x:v>minutos</x:v>
      </x:c>
      <x:c r="H125" s="20" t="n">
        <x:v>109</x:v>
      </x:c>
      <x:c r="I125" s="20" t="str">
        <x:v>Plan-Year Dummy</x:v>
      </x:c>
      <x:c r="J125" s="20" t="str">
        <x:v>YES</x:v>
      </x:c>
    </x:row>
    <x:row r="126">
      <x:c r="A126" s="20" t="str">
        <x:v>OPS-006_NUM</x:v>
      </x:c>
      <x:c r="B126" s="20" t="n">
        <x:v>2023</x:v>
      </x:c>
      <x:c r="C126" s="20" t="str">
        <x:v>Operaciones</x:v>
      </x:c>
      <x:c r="D126" s="20" t="str">
        <x:v>OPS-006</x:v>
      </x:c>
      <x:c r="E126" s="20" t="str">
        <x:v>NUM</x:v>
      </x:c>
      <x:c r="F126" s="20" t="str">
        <x:v>Beneficiarios que alcanzan el umbral de competencia inicial</x:v>
      </x:c>
      <x:c r="G126" s="20" t="str">
        <x:v># / base</x:v>
      </x:c>
      <x:c r="H126" s="20" t="n">
        <x:v>504</x:v>
      </x:c>
      <x:c r="I126" s="20" t="str">
        <x:v>Historical Dummy</x:v>
      </x:c>
      <x:c r="J126" s="20" t="str">
        <x:v>YES</x:v>
      </x:c>
    </x:row>
    <x:row r="127">
      <x:c r="A127" s="20" t="str">
        <x:v>OPS-006_NUM</x:v>
      </x:c>
      <x:c r="B127" s="20" t="n">
        <x:v>2024</x:v>
      </x:c>
      <x:c r="C127" s="20" t="str">
        <x:v>Operaciones</x:v>
      </x:c>
      <x:c r="D127" s="20" t="str">
        <x:v>OPS-006</x:v>
      </x:c>
      <x:c r="E127" s="20" t="str">
        <x:v>NUM</x:v>
      </x:c>
      <x:c r="F127" s="20" t="str">
        <x:v>Beneficiarios que alcanzan el umbral de competencia inicial</x:v>
      </x:c>
      <x:c r="G127" s="20" t="str">
        <x:v># / base</x:v>
      </x:c>
      <x:c r="H127" s="20" t="n">
        <x:v>593</x:v>
      </x:c>
      <x:c r="I127" s="20" t="str">
        <x:v>Historical Dummy</x:v>
      </x:c>
      <x:c r="J127" s="20" t="str">
        <x:v>YES</x:v>
      </x:c>
    </x:row>
    <x:row r="128">
      <x:c r="A128" s="20" t="str">
        <x:v>OPS-006_NUM</x:v>
      </x:c>
      <x:c r="B128" s="20" t="n">
        <x:v>2025</x:v>
      </x:c>
      <x:c r="C128" s="20" t="str">
        <x:v>Operaciones</x:v>
      </x:c>
      <x:c r="D128" s="20" t="str">
        <x:v>OPS-006</x:v>
      </x:c>
      <x:c r="E128" s="20" t="str">
        <x:v>NUM</x:v>
      </x:c>
      <x:c r="F128" s="20" t="str">
        <x:v>Beneficiarios que alcanzan el umbral de competencia inicial</x:v>
      </x:c>
      <x:c r="G128" s="20" t="str">
        <x:v># / base</x:v>
      </x:c>
      <x:c r="H128" s="20" t="n">
        <x:v>689</x:v>
      </x:c>
      <x:c r="I128" s="20" t="str">
        <x:v>Historical Dummy</x:v>
      </x:c>
      <x:c r="J128" s="20" t="str">
        <x:v>YES</x:v>
      </x:c>
    </x:row>
    <x:row r="129">
      <x:c r="A129" s="20" t="str">
        <x:v>OPS-006_NUM</x:v>
      </x:c>
      <x:c r="B129" s="20" t="n">
        <x:v>2026</x:v>
      </x:c>
      <x:c r="C129" s="20" t="str">
        <x:v>Operaciones</x:v>
      </x:c>
      <x:c r="D129" s="20" t="str">
        <x:v>OPS-006</x:v>
      </x:c>
      <x:c r="E129" s="20" t="str">
        <x:v>NUM</x:v>
      </x:c>
      <x:c r="F129" s="20" t="str">
        <x:v>Beneficiarios que alcanzan el umbral de competencia inicial</x:v>
      </x:c>
      <x:c r="G129" s="20" t="str">
        <x:v># / base</x:v>
      </x:c>
      <x:c r="H129" s="20" t="n">
        <x:v>810</x:v>
      </x:c>
      <x:c r="I129" s="20" t="str">
        <x:v>Plan-Year Dummy</x:v>
      </x:c>
      <x:c r="J129" s="20" t="str">
        <x:v>YES</x:v>
      </x:c>
    </x:row>
    <x:row r="130">
      <x:c r="A130" s="20" t="str">
        <x:v>OPS-006_DEN</x:v>
      </x:c>
      <x:c r="B130" s="20" t="n">
        <x:v>2023</x:v>
      </x:c>
      <x:c r="C130" s="20" t="str">
        <x:v>Operaciones</x:v>
      </x:c>
      <x:c r="D130" s="20" t="str">
        <x:v>OPS-006</x:v>
      </x:c>
      <x:c r="E130" s="20" t="str">
        <x:v>DEN</x:v>
      </x:c>
      <x:c r="F130" s="20" t="str">
        <x:v>beneficiarios evaluados</x:v>
      </x:c>
      <x:c r="G130" s="20" t="str">
        <x:v># / base</x:v>
      </x:c>
      <x:c r="H130" s="20" t="n">
        <x:v>900</x:v>
      </x:c>
      <x:c r="I130" s="20" t="str">
        <x:v>Historical Dummy</x:v>
      </x:c>
      <x:c r="J130" s="20" t="str">
        <x:v>YES</x:v>
      </x:c>
    </x:row>
    <x:row r="131">
      <x:c r="A131" s="20" t="str">
        <x:v>OPS-006_DEN</x:v>
      </x:c>
      <x:c r="B131" s="20" t="n">
        <x:v>2024</x:v>
      </x:c>
      <x:c r="C131" s="20" t="str">
        <x:v>Operaciones</x:v>
      </x:c>
      <x:c r="D131" s="20" t="str">
        <x:v>OPS-006</x:v>
      </x:c>
      <x:c r="E131" s="20" t="str">
        <x:v>DEN</x:v>
      </x:c>
      <x:c r="F131" s="20" t="str">
        <x:v>beneficiarios evaluados</x:v>
      </x:c>
      <x:c r="G131" s="20" t="str">
        <x:v># / base</x:v>
      </x:c>
      <x:c r="H131" s="20" t="n">
        <x:v>972</x:v>
      </x:c>
      <x:c r="I131" s="20" t="str">
        <x:v>Historical Dummy</x:v>
      </x:c>
      <x:c r="J131" s="20" t="str">
        <x:v>YES</x:v>
      </x:c>
    </x:row>
    <x:row r="132">
      <x:c r="A132" s="20" t="str">
        <x:v>OPS-006_DEN</x:v>
      </x:c>
      <x:c r="B132" s="20" t="n">
        <x:v>2025</x:v>
      </x:c>
      <x:c r="C132" s="20" t="str">
        <x:v>Operaciones</x:v>
      </x:c>
      <x:c r="D132" s="20" t="str">
        <x:v>OPS-006</x:v>
      </x:c>
      <x:c r="E132" s="20" t="str">
        <x:v>DEN</x:v>
      </x:c>
      <x:c r="F132" s="20" t="str">
        <x:v>beneficiarios evaluados</x:v>
      </x:c>
      <x:c r="G132" s="20" t="str">
        <x:v># / base</x:v>
      </x:c>
      <x:c r="H132" s="20" t="n">
        <x:v>1044</x:v>
      </x:c>
      <x:c r="I132" s="20" t="str">
        <x:v>Historical Dummy</x:v>
      </x:c>
      <x:c r="J132" s="20" t="str">
        <x:v>YES</x:v>
      </x:c>
    </x:row>
    <x:row r="133">
      <x:c r="A133" s="20" t="str">
        <x:v>OPS-006_DEN</x:v>
      </x:c>
      <x:c r="B133" s="20" t="n">
        <x:v>2026</x:v>
      </x:c>
      <x:c r="C133" s="20" t="str">
        <x:v>Operaciones</x:v>
      </x:c>
      <x:c r="D133" s="20" t="str">
        <x:v>OPS-006</x:v>
      </x:c>
      <x:c r="E133" s="20" t="str">
        <x:v>DEN</x:v>
      </x:c>
      <x:c r="F133" s="20" t="str">
        <x:v>beneficiarios evaluados</x:v>
      </x:c>
      <x:c r="G133" s="20" t="str">
        <x:v># / base</x:v>
      </x:c>
      <x:c r="H133" s="20" t="n">
        <x:v>1125</x:v>
      </x:c>
      <x:c r="I133" s="20" t="str">
        <x:v>Plan-Year Dummy</x:v>
      </x:c>
      <x:c r="J133" s="20" t="str">
        <x:v>YES</x:v>
      </x:c>
    </x:row>
    <x:row r="134">
      <x:c r="A134" s="20" t="str">
        <x:v>OPS-008_NUM</x:v>
      </x:c>
      <x:c r="B134" s="20" t="n">
        <x:v>2023</x:v>
      </x:c>
      <x:c r="C134" s="20" t="str">
        <x:v>Operaciones</x:v>
      </x:c>
      <x:c r="D134" s="20" t="str">
        <x:v>OPS-008</x:v>
      </x:c>
      <x:c r="E134" s="20" t="str">
        <x:v>NUM</x:v>
      </x:c>
      <x:c r="F134" s="20" t="str">
        <x:v>NNA incorporados al piloto</x:v>
      </x:c>
      <x:c r="G134" s="20" t="str">
        <x:v># / base</x:v>
      </x:c>
      <x:c r="H134" s="20" t="n">
        <x:v>84</x:v>
      </x:c>
      <x:c r="I134" s="20" t="str">
        <x:v>Historical Dummy</x:v>
      </x:c>
      <x:c r="J134" s="20" t="str">
        <x:v>YES</x:v>
      </x:c>
    </x:row>
    <x:row r="135">
      <x:c r="A135" s="20" t="str">
        <x:v>OPS-008_NUM</x:v>
      </x:c>
      <x:c r="B135" s="20" t="n">
        <x:v>2024</x:v>
      </x:c>
      <x:c r="C135" s="20" t="str">
        <x:v>Operaciones</x:v>
      </x:c>
      <x:c r="D135" s="20" t="str">
        <x:v>OPS-008</x:v>
      </x:c>
      <x:c r="E135" s="20" t="str">
        <x:v>NUM</x:v>
      </x:c>
      <x:c r="F135" s="20" t="str">
        <x:v>NNA incorporados al piloto</x:v>
      </x:c>
      <x:c r="G135" s="20" t="str">
        <x:v># / base</x:v>
      </x:c>
      <x:c r="H135" s="20" t="n">
        <x:v>96</x:v>
      </x:c>
      <x:c r="I135" s="20" t="str">
        <x:v>Historical Dummy</x:v>
      </x:c>
      <x:c r="J135" s="20" t="str">
        <x:v>YES</x:v>
      </x:c>
    </x:row>
    <x:row r="136">
      <x:c r="A136" s="20" t="str">
        <x:v>OPS-008_NUM</x:v>
      </x:c>
      <x:c r="B136" s="20" t="n">
        <x:v>2025</x:v>
      </x:c>
      <x:c r="C136" s="20" t="str">
        <x:v>Operaciones</x:v>
      </x:c>
      <x:c r="D136" s="20" t="str">
        <x:v>OPS-008</x:v>
      </x:c>
      <x:c r="E136" s="20" t="str">
        <x:v>NUM</x:v>
      </x:c>
      <x:c r="F136" s="20" t="str">
        <x:v>NNA incorporados al piloto</x:v>
      </x:c>
      <x:c r="G136" s="20" t="str">
        <x:v># / base</x:v>
      </x:c>
      <x:c r="H136" s="20" t="n">
        <x:v>109</x:v>
      </x:c>
      <x:c r="I136" s="20" t="str">
        <x:v>Historical Dummy</x:v>
      </x:c>
      <x:c r="J136" s="20" t="str">
        <x:v>YES</x:v>
      </x:c>
    </x:row>
    <x:row r="137">
      <x:c r="A137" s="20" t="str">
        <x:v>OPS-008_NUM</x:v>
      </x:c>
      <x:c r="B137" s="20" t="n">
        <x:v>2026</x:v>
      </x:c>
      <x:c r="C137" s="20" t="str">
        <x:v>Operaciones</x:v>
      </x:c>
      <x:c r="D137" s="20" t="str">
        <x:v>OPS-008</x:v>
      </x:c>
      <x:c r="E137" s="20" t="str">
        <x:v>NUM</x:v>
      </x:c>
      <x:c r="F137" s="20" t="str">
        <x:v>NNA incorporados al piloto</x:v>
      </x:c>
      <x:c r="G137" s="20" t="str">
        <x:v># / base</x:v>
      </x:c>
      <x:c r="H137" s="20" t="n">
        <x:v>125</x:v>
      </x:c>
      <x:c r="I137" s="20" t="str">
        <x:v>Plan-Year Dummy</x:v>
      </x:c>
      <x:c r="J137" s="20" t="str">
        <x:v>YES</x:v>
      </x:c>
    </x:row>
    <x:row r="138">
      <x:c r="A138" s="20" t="str">
        <x:v>OPS-008_DEN</x:v>
      </x:c>
      <x:c r="B138" s="20" t="n">
        <x:v>2023</x:v>
      </x:c>
      <x:c r="C138" s="20" t="str">
        <x:v>Operaciones</x:v>
      </x:c>
      <x:c r="D138" s="20" t="str">
        <x:v>OPS-008</x:v>
      </x:c>
      <x:c r="E138" s="20" t="str">
        <x:v>DEN</x:v>
      </x:c>
      <x:c r="F138" s="20" t="str">
        <x:v>meta de participantes</x:v>
      </x:c>
      <x:c r="G138" s="20" t="str">
        <x:v># / base</x:v>
      </x:c>
      <x:c r="H138" s="20" t="n">
        <x:v>100</x:v>
      </x:c>
      <x:c r="I138" s="20" t="str">
        <x:v>Historical Dummy</x:v>
      </x:c>
      <x:c r="J138" s="20" t="str">
        <x:v>YES</x:v>
      </x:c>
    </x:row>
    <x:row r="139">
      <x:c r="A139" s="20" t="str">
        <x:v>OPS-008_DEN</x:v>
      </x:c>
      <x:c r="B139" s="20" t="n">
        <x:v>2024</x:v>
      </x:c>
      <x:c r="C139" s="20" t="str">
        <x:v>Operaciones</x:v>
      </x:c>
      <x:c r="D139" s="20" t="str">
        <x:v>OPS-008</x:v>
      </x:c>
      <x:c r="E139" s="20" t="str">
        <x:v>DEN</x:v>
      </x:c>
      <x:c r="F139" s="20" t="str">
        <x:v>meta de participantes</x:v>
      </x:c>
      <x:c r="G139" s="20" t="str">
        <x:v># / base</x:v>
      </x:c>
      <x:c r="H139" s="20" t="n">
        <x:v>108</x:v>
      </x:c>
      <x:c r="I139" s="20" t="str">
        <x:v>Historical Dummy</x:v>
      </x:c>
      <x:c r="J139" s="20" t="str">
        <x:v>YES</x:v>
      </x:c>
    </x:row>
    <x:row r="140">
      <x:c r="A140" s="20" t="str">
        <x:v>OPS-008_DEN</x:v>
      </x:c>
      <x:c r="B140" s="20" t="n">
        <x:v>2025</x:v>
      </x:c>
      <x:c r="C140" s="20" t="str">
        <x:v>Operaciones</x:v>
      </x:c>
      <x:c r="D140" s="20" t="str">
        <x:v>OPS-008</x:v>
      </x:c>
      <x:c r="E140" s="20" t="str">
        <x:v>DEN</x:v>
      </x:c>
      <x:c r="F140" s="20" t="str">
        <x:v>meta de participantes</x:v>
      </x:c>
      <x:c r="G140" s="20" t="str">
        <x:v># / base</x:v>
      </x:c>
      <x:c r="H140" s="20" t="n">
        <x:v>116</x:v>
      </x:c>
      <x:c r="I140" s="20" t="str">
        <x:v>Historical Dummy</x:v>
      </x:c>
      <x:c r="J140" s="20" t="str">
        <x:v>YES</x:v>
      </x:c>
    </x:row>
    <x:row r="141">
      <x:c r="A141" s="20" t="str">
        <x:v>OPS-008_DEN</x:v>
      </x:c>
      <x:c r="B141" s="20" t="n">
        <x:v>2026</x:v>
      </x:c>
      <x:c r="C141" s="20" t="str">
        <x:v>Operaciones</x:v>
      </x:c>
      <x:c r="D141" s="20" t="str">
        <x:v>OPS-008</x:v>
      </x:c>
      <x:c r="E141" s="20" t="str">
        <x:v>DEN</x:v>
      </x:c>
      <x:c r="F141" s="20" t="str">
        <x:v>meta de participantes</x:v>
      </x:c>
      <x:c r="G141" s="20" t="str">
        <x:v># / base</x:v>
      </x:c>
      <x:c r="H141" s="20" t="n">
        <x:v>125</x:v>
      </x:c>
      <x:c r="I141" s="20" t="str">
        <x:v>Plan-Year Dummy</x:v>
      </x:c>
      <x:c r="J141" s="20" t="str">
        <x:v>YES</x:v>
      </x:c>
    </x:row>
    <x:row r="142">
      <x:c r="A142" s="20" t="str">
        <x:v>OPS-009_NUM</x:v>
      </x:c>
      <x:c r="B142" s="20" t="n">
        <x:v>2023</x:v>
      </x:c>
      <x:c r="C142" s="20" t="str">
        <x:v>Operaciones</x:v>
      </x:c>
      <x:c r="D142" s="20" t="str">
        <x:v>OPS-009</x:v>
      </x:c>
      <x:c r="E142" s="20" t="str">
        <x:v>NUM</x:v>
      </x:c>
      <x:c r="F142" s="20" t="str">
        <x:v>Participantes con mediciones periódicas completas</x:v>
      </x:c>
      <x:c r="G142" s="20" t="str">
        <x:v># / base</x:v>
      </x:c>
      <x:c r="H142" s="20" t="n">
        <x:v>79</x:v>
      </x:c>
      <x:c r="I142" s="20" t="str">
        <x:v>Historical Dummy</x:v>
      </x:c>
      <x:c r="J142" s="20" t="str">
        <x:v>YES</x:v>
      </x:c>
    </x:row>
    <x:row r="143">
      <x:c r="A143" s="20" t="str">
        <x:v>OPS-009_NUM</x:v>
      </x:c>
      <x:c r="B143" s="20" t="n">
        <x:v>2024</x:v>
      </x:c>
      <x:c r="C143" s="20" t="str">
        <x:v>Operaciones</x:v>
      </x:c>
      <x:c r="D143" s="20" t="str">
        <x:v>OPS-009</x:v>
      </x:c>
      <x:c r="E143" s="20" t="str">
        <x:v>NUM</x:v>
      </x:c>
      <x:c r="F143" s="20" t="str">
        <x:v>Participantes con mediciones periódicas completas</x:v>
      </x:c>
      <x:c r="G143" s="20" t="str">
        <x:v># / base</x:v>
      </x:c>
      <x:c r="H143" s="20" t="n">
        <x:v>91</x:v>
      </x:c>
      <x:c r="I143" s="20" t="str">
        <x:v>Historical Dummy</x:v>
      </x:c>
      <x:c r="J143" s="20" t="str">
        <x:v>YES</x:v>
      </x:c>
    </x:row>
    <x:row r="144">
      <x:c r="A144" s="20" t="str">
        <x:v>OPS-009_NUM</x:v>
      </x:c>
      <x:c r="B144" s="20" t="n">
        <x:v>2025</x:v>
      </x:c>
      <x:c r="C144" s="20" t="str">
        <x:v>Operaciones</x:v>
      </x:c>
      <x:c r="D144" s="20" t="str">
        <x:v>OPS-009</x:v>
      </x:c>
      <x:c r="E144" s="20" t="str">
        <x:v>NUM</x:v>
      </x:c>
      <x:c r="F144" s="20" t="str">
        <x:v>Participantes con mediciones periódicas completas</x:v>
      </x:c>
      <x:c r="G144" s="20" t="str">
        <x:v># / base</x:v>
      </x:c>
      <x:c r="H144" s="20" t="n">
        <x:v>103</x:v>
      </x:c>
      <x:c r="I144" s="20" t="str">
        <x:v>Historical Dummy</x:v>
      </x:c>
      <x:c r="J144" s="20" t="str">
        <x:v>YES</x:v>
      </x:c>
    </x:row>
    <x:row r="145">
      <x:c r="A145" s="20" t="str">
        <x:v>OPS-009_NUM</x:v>
      </x:c>
      <x:c r="B145" s="20" t="n">
        <x:v>2026</x:v>
      </x:c>
      <x:c r="C145" s="20" t="str">
        <x:v>Operaciones</x:v>
      </x:c>
      <x:c r="D145" s="20" t="str">
        <x:v>OPS-009</x:v>
      </x:c>
      <x:c r="E145" s="20" t="str">
        <x:v>NUM</x:v>
      </x:c>
      <x:c r="F145" s="20" t="str">
        <x:v>Participantes con mediciones periódicas completas</x:v>
      </x:c>
      <x:c r="G145" s="20" t="str">
        <x:v># / base</x:v>
      </x:c>
      <x:c r="H145" s="20" t="n">
        <x:v>120</x:v>
      </x:c>
      <x:c r="I145" s="20" t="str">
        <x:v>Plan-Year Dummy</x:v>
      </x:c>
      <x:c r="J145" s="20" t="str">
        <x:v>YES</x:v>
      </x:c>
    </x:row>
    <x:row r="146">
      <x:c r="A146" s="20" t="str">
        <x:v>OPS-009_DEN</x:v>
      </x:c>
      <x:c r="B146" s="20" t="n">
        <x:v>2023</x:v>
      </x:c>
      <x:c r="C146" s="20" t="str">
        <x:v>Operaciones</x:v>
      </x:c>
      <x:c r="D146" s="20" t="str">
        <x:v>OPS-009</x:v>
      </x:c>
      <x:c r="E146" s="20" t="str">
        <x:v>DEN</x:v>
      </x:c>
      <x:c r="F146" s="20" t="str">
        <x:v>participantes activos elegibles</x:v>
      </x:c>
      <x:c r="G146" s="20" t="str">
        <x:v># / base</x:v>
      </x:c>
      <x:c r="H146" s="20" t="n">
        <x:v>100</x:v>
      </x:c>
      <x:c r="I146" s="20" t="str">
        <x:v>Historical Dummy</x:v>
      </x:c>
      <x:c r="J146" s="20" t="str">
        <x:v>YES</x:v>
      </x:c>
    </x:row>
    <x:row r="147">
      <x:c r="A147" s="20" t="str">
        <x:v>OPS-009_DEN</x:v>
      </x:c>
      <x:c r="B147" s="20" t="n">
        <x:v>2024</x:v>
      </x:c>
      <x:c r="C147" s="20" t="str">
        <x:v>Operaciones</x:v>
      </x:c>
      <x:c r="D147" s="20" t="str">
        <x:v>OPS-009</x:v>
      </x:c>
      <x:c r="E147" s="20" t="str">
        <x:v>DEN</x:v>
      </x:c>
      <x:c r="F147" s="20" t="str">
        <x:v>participantes activos elegibles</x:v>
      </x:c>
      <x:c r="G147" s="20" t="str">
        <x:v># / base</x:v>
      </x:c>
      <x:c r="H147" s="20" t="n">
        <x:v>108</x:v>
      </x:c>
      <x:c r="I147" s="20" t="str">
        <x:v>Historical Dummy</x:v>
      </x:c>
      <x:c r="J147" s="20" t="str">
        <x:v>YES</x:v>
      </x:c>
    </x:row>
    <x:row r="148">
      <x:c r="A148" s="20" t="str">
        <x:v>OPS-009_DEN</x:v>
      </x:c>
      <x:c r="B148" s="20" t="n">
        <x:v>2025</x:v>
      </x:c>
      <x:c r="C148" s="20" t="str">
        <x:v>Operaciones</x:v>
      </x:c>
      <x:c r="D148" s="20" t="str">
        <x:v>OPS-009</x:v>
      </x:c>
      <x:c r="E148" s="20" t="str">
        <x:v>DEN</x:v>
      </x:c>
      <x:c r="F148" s="20" t="str">
        <x:v>participantes activos elegibles</x:v>
      </x:c>
      <x:c r="G148" s="20" t="str">
        <x:v># / base</x:v>
      </x:c>
      <x:c r="H148" s="20" t="n">
        <x:v>116</x:v>
      </x:c>
      <x:c r="I148" s="20" t="str">
        <x:v>Historical Dummy</x:v>
      </x:c>
      <x:c r="J148" s="20" t="str">
        <x:v>YES</x:v>
      </x:c>
    </x:row>
    <x:row r="149">
      <x:c r="A149" s="20" t="str">
        <x:v>OPS-009_DEN</x:v>
      </x:c>
      <x:c r="B149" s="20" t="n">
        <x:v>2026</x:v>
      </x:c>
      <x:c r="C149" s="20" t="str">
        <x:v>Operaciones</x:v>
      </x:c>
      <x:c r="D149" s="20" t="str">
        <x:v>OPS-009</x:v>
      </x:c>
      <x:c r="E149" s="20" t="str">
        <x:v>DEN</x:v>
      </x:c>
      <x:c r="F149" s="20" t="str">
        <x:v>participantes activos elegibles</x:v>
      </x:c>
      <x:c r="G149" s="20" t="str">
        <x:v># / base</x:v>
      </x:c>
      <x:c r="H149" s="20" t="n">
        <x:v>125</x:v>
      </x:c>
      <x:c r="I149" s="20" t="str">
        <x:v>Plan-Year Dummy</x:v>
      </x:c>
      <x:c r="J149" s="20" t="str">
        <x:v>YES</x:v>
      </x:c>
    </x:row>
    <x:row r="150">
      <x:c r="A150" s="20" t="str">
        <x:v>OPS-010_A</x:v>
      </x:c>
      <x:c r="B150" s="20" t="n">
        <x:v>2023</x:v>
      </x:c>
      <x:c r="C150" s="20" t="str">
        <x:v>Operaciones</x:v>
      </x:c>
      <x:c r="D150" s="20" t="str">
        <x:v>OPS-010</x:v>
      </x:c>
      <x:c r="E150" s="20" t="str">
        <x:v>A</x:v>
      </x:c>
      <x:c r="F150" s="20" t="str">
        <x:v>Actividad física post</x:v>
      </x:c>
      <x:c r="G150" s="20" t="str">
        <x:v># / base</x:v>
      </x:c>
      <x:c r="H150" s="20" t="n">
        <x:v>146</x:v>
      </x:c>
      <x:c r="I150" s="20" t="str">
        <x:v>Historical Dummy</x:v>
      </x:c>
      <x:c r="J150" s="20" t="str">
        <x:v>YES</x:v>
      </x:c>
    </x:row>
    <x:row r="151">
      <x:c r="A151" s="20" t="str">
        <x:v>OPS-010_A</x:v>
      </x:c>
      <x:c r="B151" s="20" t="n">
        <x:v>2024</x:v>
      </x:c>
      <x:c r="C151" s="20" t="str">
        <x:v>Operaciones</x:v>
      </x:c>
      <x:c r="D151" s="20" t="str">
        <x:v>OPS-010</x:v>
      </x:c>
      <x:c r="E151" s="20" t="str">
        <x:v>A</x:v>
      </x:c>
      <x:c r="F151" s="20" t="str">
        <x:v>Actividad física post</x:v>
      </x:c>
      <x:c r="G151" s="20" t="str">
        <x:v># / base</x:v>
      </x:c>
      <x:c r="H151" s="20" t="n">
        <x:v>155.53</x:v>
      </x:c>
      <x:c r="I151" s="20" t="str">
        <x:v>Historical Dummy</x:v>
      </x:c>
      <x:c r="J151" s="20" t="str">
        <x:v>YES</x:v>
      </x:c>
    </x:row>
    <x:row r="152">
      <x:c r="A152" s="20" t="str">
        <x:v>OPS-010_A</x:v>
      </x:c>
      <x:c r="B152" s="20" t="n">
        <x:v>2025</x:v>
      </x:c>
      <x:c r="C152" s="20" t="str">
        <x:v>Operaciones</x:v>
      </x:c>
      <x:c r="D152" s="20" t="str">
        <x:v>OPS-010</x:v>
      </x:c>
      <x:c r="E152" s="20" t="str">
        <x:v>A</x:v>
      </x:c>
      <x:c r="F152" s="20" t="str">
        <x:v>Actividad física post</x:v>
      </x:c>
      <x:c r="G152" s="20" t="str">
        <x:v># / base</x:v>
      </x:c>
      <x:c r="H152" s="20" t="n">
        <x:v>165.36</x:v>
      </x:c>
      <x:c r="I152" s="20" t="str">
        <x:v>Historical Dummy</x:v>
      </x:c>
      <x:c r="J152" s="20" t="str">
        <x:v>YES</x:v>
      </x:c>
    </x:row>
    <x:row r="153">
      <x:c r="A153" s="20" t="str">
        <x:v>OPS-010_A</x:v>
      </x:c>
      <x:c r="B153" s="20" t="n">
        <x:v>2026</x:v>
      </x:c>
      <x:c r="C153" s="20" t="str">
        <x:v>Operaciones</x:v>
      </x:c>
      <x:c r="D153" s="20" t="str">
        <x:v>OPS-010</x:v>
      </x:c>
      <x:c r="E153" s="20" t="str">
        <x:v>A</x:v>
      </x:c>
      <x:c r="F153" s="20" t="str">
        <x:v>Actividad física post</x:v>
      </x:c>
      <x:c r="G153" s="20" t="str">
        <x:v># / base</x:v>
      </x:c>
      <x:c r="H153" s="20" t="n">
        <x:v>176.58</x:v>
      </x:c>
      <x:c r="I153" s="20" t="str">
        <x:v>Plan-Year Dummy</x:v>
      </x:c>
      <x:c r="J153" s="20" t="str">
        <x:v>YES</x:v>
      </x:c>
    </x:row>
    <x:row r="154">
      <x:c r="A154" s="20" t="str">
        <x:v>OPS-010_B</x:v>
      </x:c>
      <x:c r="B154" s="20" t="n">
        <x:v>2023</x:v>
      </x:c>
      <x:c r="C154" s="20" t="str">
        <x:v>Operaciones</x:v>
      </x:c>
      <x:c r="D154" s="20" t="str">
        <x:v>OPS-010</x:v>
      </x:c>
      <x:c r="E154" s="20" t="str">
        <x:v>B</x:v>
      </x:c>
      <x:c r="F154" s="20" t="str">
        <x:v>baseline</x:v>
      </x:c>
      <x:c r="G154" s="20" t="str">
        <x:v># / base</x:v>
      </x:c>
      <x:c r="H154" s="20" t="n">
        <x:v>100</x:v>
      </x:c>
      <x:c r="I154" s="20" t="str">
        <x:v>Historical Dummy</x:v>
      </x:c>
      <x:c r="J154" s="20" t="str">
        <x:v>YES</x:v>
      </x:c>
    </x:row>
    <x:row r="155">
      <x:c r="A155" s="20" t="str">
        <x:v>OPS-010_B</x:v>
      </x:c>
      <x:c r="B155" s="20" t="n">
        <x:v>2024</x:v>
      </x:c>
      <x:c r="C155" s="20" t="str">
        <x:v>Operaciones</x:v>
      </x:c>
      <x:c r="D155" s="20" t="str">
        <x:v>OPS-010</x:v>
      </x:c>
      <x:c r="E155" s="20" t="str">
        <x:v>B</x:v>
      </x:c>
      <x:c r="F155" s="20" t="str">
        <x:v>baseline</x:v>
      </x:c>
      <x:c r="G155" s="20" t="str">
        <x:v># / base</x:v>
      </x:c>
      <x:c r="H155" s="20" t="n">
        <x:v>103</x:v>
      </x:c>
      <x:c r="I155" s="20" t="str">
        <x:v>Historical Dummy</x:v>
      </x:c>
      <x:c r="J155" s="20" t="str">
        <x:v>YES</x:v>
      </x:c>
    </x:row>
    <x:row r="156">
      <x:c r="A156" s="20" t="str">
        <x:v>OPS-010_B</x:v>
      </x:c>
      <x:c r="B156" s="20" t="n">
        <x:v>2025</x:v>
      </x:c>
      <x:c r="C156" s="20" t="str">
        <x:v>Operaciones</x:v>
      </x:c>
      <x:c r="D156" s="20" t="str">
        <x:v>OPS-010</x:v>
      </x:c>
      <x:c r="E156" s="20" t="str">
        <x:v>B</x:v>
      </x:c>
      <x:c r="F156" s="20" t="str">
        <x:v>baseline</x:v>
      </x:c>
      <x:c r="G156" s="20" t="str">
        <x:v># / base</x:v>
      </x:c>
      <x:c r="H156" s="20" t="n">
        <x:v>106</x:v>
      </x:c>
      <x:c r="I156" s="20" t="str">
        <x:v>Historical Dummy</x:v>
      </x:c>
      <x:c r="J156" s="20" t="str">
        <x:v>YES</x:v>
      </x:c>
    </x:row>
    <x:row r="157">
      <x:c r="A157" s="20" t="str">
        <x:v>OPS-010_B</x:v>
      </x:c>
      <x:c r="B157" s="20" t="n">
        <x:v>2026</x:v>
      </x:c>
      <x:c r="C157" s="20" t="str">
        <x:v>Operaciones</x:v>
      </x:c>
      <x:c r="D157" s="20" t="str">
        <x:v>OPS-010</x:v>
      </x:c>
      <x:c r="E157" s="20" t="str">
        <x:v>B</x:v>
      </x:c>
      <x:c r="F157" s="20" t="str">
        <x:v>baseline</x:v>
      </x:c>
      <x:c r="G157" s="20" t="str">
        <x:v># / base</x:v>
      </x:c>
      <x:c r="H157" s="20" t="n">
        <x:v>109</x:v>
      </x:c>
      <x:c r="I157" s="20" t="str">
        <x:v>Plan-Year Dummy</x:v>
      </x:c>
      <x:c r="J157" s="20" t="str">
        <x:v>YES</x:v>
      </x:c>
    </x:row>
    <x:row r="158">
      <x:c r="A158" s="20" t="str">
        <x:v>OPS-012_NUM</x:v>
      </x:c>
      <x:c r="B158" s="20" t="n">
        <x:v>2023</x:v>
      </x:c>
      <x:c r="C158" s="20" t="str">
        <x:v>Operaciones</x:v>
      </x:c>
      <x:c r="D158" s="20" t="str">
        <x:v>OPS-012</x:v>
      </x:c>
      <x:c r="E158" s="20" t="str">
        <x:v>NUM</x:v>
      </x:c>
      <x:c r="F158" s="20" t="str">
        <x:v>Países objetivo con plan operativo aprobado y listo para ejecución</x:v>
      </x:c>
      <x:c r="G158" s="20" t="str">
        <x:v># / base</x:v>
      </x:c>
      <x:c r="H158" s="20" t="n">
        <x:v>3</x:v>
      </x:c>
      <x:c r="I158" s="20" t="str">
        <x:v>Historical Dummy</x:v>
      </x:c>
      <x:c r="J158" s="20" t="str">
        <x:v>YES</x:v>
      </x:c>
    </x:row>
    <x:row r="159">
      <x:c r="A159" s="20" t="str">
        <x:v>OPS-012_NUM</x:v>
      </x:c>
      <x:c r="B159" s="20" t="n">
        <x:v>2024</x:v>
      </x:c>
      <x:c r="C159" s="20" t="str">
        <x:v>Operaciones</x:v>
      </x:c>
      <x:c r="D159" s="20" t="str">
        <x:v>OPS-012</x:v>
      </x:c>
      <x:c r="E159" s="20" t="str">
        <x:v>NUM</x:v>
      </x:c>
      <x:c r="F159" s="20" t="str">
        <x:v>Países objetivo con plan operativo aprobado y listo para ejecución</x:v>
      </x:c>
      <x:c r="G159" s="20" t="str">
        <x:v># / base</x:v>
      </x:c>
      <x:c r="H159" s="20" t="n">
        <x:v>4</x:v>
      </x:c>
      <x:c r="I159" s="20" t="str">
        <x:v>Historical Dummy</x:v>
      </x:c>
      <x:c r="J159" s="20" t="str">
        <x:v>YES</x:v>
      </x:c>
    </x:row>
    <x:row r="160">
      <x:c r="A160" s="20" t="str">
        <x:v>OPS-012_NUM</x:v>
      </x:c>
      <x:c r="B160" s="20" t="n">
        <x:v>2025</x:v>
      </x:c>
      <x:c r="C160" s="20" t="str">
        <x:v>Operaciones</x:v>
      </x:c>
      <x:c r="D160" s="20" t="str">
        <x:v>OPS-012</x:v>
      </x:c>
      <x:c r="E160" s="20" t="str">
        <x:v>NUM</x:v>
      </x:c>
      <x:c r="F160" s="20" t="str">
        <x:v>Países objetivo con plan operativo aprobado y listo para ejecución</x:v>
      </x:c>
      <x:c r="G160" s="20" t="str">
        <x:v># / base</x:v>
      </x:c>
      <x:c r="H160" s="20" t="n">
        <x:v>4</x:v>
      </x:c>
      <x:c r="I160" s="20" t="str">
        <x:v>Historical Dummy</x:v>
      </x:c>
      <x:c r="J160" s="20" t="str">
        <x:v>YES</x:v>
      </x:c>
    </x:row>
    <x:row r="161">
      <x:c r="A161" s="20" t="str">
        <x:v>OPS-012_NUM</x:v>
      </x:c>
      <x:c r="B161" s="20" t="n">
        <x:v>2026</x:v>
      </x:c>
      <x:c r="C161" s="20" t="str">
        <x:v>Operaciones</x:v>
      </x:c>
      <x:c r="D161" s="20" t="str">
        <x:v>OPS-012</x:v>
      </x:c>
      <x:c r="E161" s="20" t="str">
        <x:v>NUM</x:v>
      </x:c>
      <x:c r="F161" s="20" t="str">
        <x:v>Países objetivo con plan operativo aprobado y listo para ejecución</x:v>
      </x:c>
      <x:c r="G161" s="20" t="str">
        <x:v># / base</x:v>
      </x:c>
      <x:c r="H161" s="20" t="n">
        <x:v>4</x:v>
      </x:c>
      <x:c r="I161" s="20" t="str">
        <x:v>Plan-Year Dummy</x:v>
      </x:c>
      <x:c r="J161" s="20" t="str">
        <x:v>YES</x:v>
      </x:c>
    </x:row>
    <x:row r="162">
      <x:c r="A162" s="20" t="str">
        <x:v>OPS-012_DEN</x:v>
      </x:c>
      <x:c r="B162" s="20" t="n">
        <x:v>2023</x:v>
      </x:c>
      <x:c r="C162" s="20" t="str">
        <x:v>Operaciones</x:v>
      </x:c>
      <x:c r="D162" s="20" t="str">
        <x:v>OPS-012</x:v>
      </x:c>
      <x:c r="E162" s="20" t="str">
        <x:v>DEN</x:v>
      </x:c>
      <x:c r="F162" s="20" t="str">
        <x:v>países objetivo</x:v>
      </x:c>
      <x:c r="G162" s="20" t="str">
        <x:v># / base</x:v>
      </x:c>
      <x:c r="H162" s="20" t="n">
        <x:v>4</x:v>
      </x:c>
      <x:c r="I162" s="20" t="str">
        <x:v>Historical Dummy</x:v>
      </x:c>
      <x:c r="J162" s="20" t="str">
        <x:v>YES</x:v>
      </x:c>
    </x:row>
    <x:row r="163">
      <x:c r="A163" s="20" t="str">
        <x:v>OPS-012_DEN</x:v>
      </x:c>
      <x:c r="B163" s="20" t="n">
        <x:v>2024</x:v>
      </x:c>
      <x:c r="C163" s="20" t="str">
        <x:v>Operaciones</x:v>
      </x:c>
      <x:c r="D163" s="20" t="str">
        <x:v>OPS-012</x:v>
      </x:c>
      <x:c r="E163" s="20" t="str">
        <x:v>DEN</x:v>
      </x:c>
      <x:c r="F163" s="20" t="str">
        <x:v>países objetivo</x:v>
      </x:c>
      <x:c r="G163" s="20" t="str">
        <x:v># / base</x:v>
      </x:c>
      <x:c r="H163" s="20" t="n">
        <x:v>4</x:v>
      </x:c>
      <x:c r="I163" s="20" t="str">
        <x:v>Historical Dummy</x:v>
      </x:c>
      <x:c r="J163" s="20" t="str">
        <x:v>YES</x:v>
      </x:c>
    </x:row>
    <x:row r="164">
      <x:c r="A164" s="20" t="str">
        <x:v>OPS-012_DEN</x:v>
      </x:c>
      <x:c r="B164" s="20" t="n">
        <x:v>2025</x:v>
      </x:c>
      <x:c r="C164" s="20" t="str">
        <x:v>Operaciones</x:v>
      </x:c>
      <x:c r="D164" s="20" t="str">
        <x:v>OPS-012</x:v>
      </x:c>
      <x:c r="E164" s="20" t="str">
        <x:v>DEN</x:v>
      </x:c>
      <x:c r="F164" s="20" t="str">
        <x:v>países objetivo</x:v>
      </x:c>
      <x:c r="G164" s="20" t="str">
        <x:v># / base</x:v>
      </x:c>
      <x:c r="H164" s="20" t="n">
        <x:v>4</x:v>
      </x:c>
      <x:c r="I164" s="20" t="str">
        <x:v>Historical Dummy</x:v>
      </x:c>
      <x:c r="J164" s="20" t="str">
        <x:v>YES</x:v>
      </x:c>
    </x:row>
    <x:row r="165">
      <x:c r="A165" s="20" t="str">
        <x:v>OPS-012_DEN</x:v>
      </x:c>
      <x:c r="B165" s="20" t="n">
        <x:v>2026</x:v>
      </x:c>
      <x:c r="C165" s="20" t="str">
        <x:v>Operaciones</x:v>
      </x:c>
      <x:c r="D165" s="20" t="str">
        <x:v>OPS-012</x:v>
      </x:c>
      <x:c r="E165" s="20" t="str">
        <x:v>DEN</x:v>
      </x:c>
      <x:c r="F165" s="20" t="str">
        <x:v>países objetivo</x:v>
      </x:c>
      <x:c r="G165" s="20" t="str">
        <x:v># / base</x:v>
      </x:c>
      <x:c r="H165" s="20" t="n">
        <x:v>4</x:v>
      </x:c>
      <x:c r="I165" s="20" t="str">
        <x:v>Plan-Year Dummy</x:v>
      </x:c>
      <x:c r="J165" s="20" t="str">
        <x:v>YES</x:v>
      </x:c>
    </x:row>
    <x:row r="166">
      <x:c r="A166" s="20" t="str">
        <x:v>OPS-013_NUM</x:v>
      </x:c>
      <x:c r="B166" s="20" t="n">
        <x:v>2023</x:v>
      </x:c>
      <x:c r="C166" s="20" t="str">
        <x:v>Operaciones</x:v>
      </x:c>
      <x:c r="D166" s="20" t="str">
        <x:v>OPS-013</x:v>
      </x:c>
      <x:c r="E166" s="20" t="str">
        <x:v>NUM</x:v>
      </x:c>
      <x:c r="F166" s="20" t="str">
        <x:v>Participantes atendidos</x:v>
      </x:c>
      <x:c r="G166" s="20" t="str">
        <x:v># / base</x:v>
      </x:c>
      <x:c r="H166" s="20" t="n">
        <x:v>84</x:v>
      </x:c>
      <x:c r="I166" s="20" t="str">
        <x:v>Historical Dummy</x:v>
      </x:c>
      <x:c r="J166" s="20" t="str">
        <x:v>YES</x:v>
      </x:c>
    </x:row>
    <x:row r="167">
      <x:c r="A167" s="20" t="str">
        <x:v>OPS-013_NUM</x:v>
      </x:c>
      <x:c r="B167" s="20" t="n">
        <x:v>2024</x:v>
      </x:c>
      <x:c r="C167" s="20" t="str">
        <x:v>Operaciones</x:v>
      </x:c>
      <x:c r="D167" s="20" t="str">
        <x:v>OPS-013</x:v>
      </x:c>
      <x:c r="E167" s="20" t="str">
        <x:v>NUM</x:v>
      </x:c>
      <x:c r="F167" s="20" t="str">
        <x:v>Participantes atendidos</x:v>
      </x:c>
      <x:c r="G167" s="20" t="str">
        <x:v># / base</x:v>
      </x:c>
      <x:c r="H167" s="20" t="n">
        <x:v>96</x:v>
      </x:c>
      <x:c r="I167" s="20" t="str">
        <x:v>Historical Dummy</x:v>
      </x:c>
      <x:c r="J167" s="20" t="str">
        <x:v>YES</x:v>
      </x:c>
    </x:row>
    <x:row r="168">
      <x:c r="A168" s="20" t="str">
        <x:v>OPS-013_NUM</x:v>
      </x:c>
      <x:c r="B168" s="20" t="n">
        <x:v>2025</x:v>
      </x:c>
      <x:c r="C168" s="20" t="str">
        <x:v>Operaciones</x:v>
      </x:c>
      <x:c r="D168" s="20" t="str">
        <x:v>OPS-013</x:v>
      </x:c>
      <x:c r="E168" s="20" t="str">
        <x:v>NUM</x:v>
      </x:c>
      <x:c r="F168" s="20" t="str">
        <x:v>Participantes atendidos</x:v>
      </x:c>
      <x:c r="G168" s="20" t="str">
        <x:v># / base</x:v>
      </x:c>
      <x:c r="H168" s="20" t="n">
        <x:v>109</x:v>
      </x:c>
      <x:c r="I168" s="20" t="str">
        <x:v>Historical Dummy</x:v>
      </x:c>
      <x:c r="J168" s="20" t="str">
        <x:v>YES</x:v>
      </x:c>
    </x:row>
    <x:row r="169">
      <x:c r="A169" s="20" t="str">
        <x:v>OPS-013_NUM</x:v>
      </x:c>
      <x:c r="B169" s="20" t="n">
        <x:v>2026</x:v>
      </x:c>
      <x:c r="C169" s="20" t="str">
        <x:v>Operaciones</x:v>
      </x:c>
      <x:c r="D169" s="20" t="str">
        <x:v>OPS-013</x:v>
      </x:c>
      <x:c r="E169" s="20" t="str">
        <x:v>NUM</x:v>
      </x:c>
      <x:c r="F169" s="20" t="str">
        <x:v>Participantes atendidos</x:v>
      </x:c>
      <x:c r="G169" s="20" t="str">
        <x:v># / base</x:v>
      </x:c>
      <x:c r="H169" s="20" t="n">
        <x:v>125</x:v>
      </x:c>
      <x:c r="I169" s="20" t="str">
        <x:v>Plan-Year Dummy</x:v>
      </x:c>
      <x:c r="J169" s="20" t="str">
        <x:v>YES</x:v>
      </x:c>
    </x:row>
    <x:row r="170">
      <x:c r="A170" s="20" t="str">
        <x:v>OPS-013_DEN</x:v>
      </x:c>
      <x:c r="B170" s="20" t="n">
        <x:v>2023</x:v>
      </x:c>
      <x:c r="C170" s="20" t="str">
        <x:v>Operaciones</x:v>
      </x:c>
      <x:c r="D170" s="20" t="str">
        <x:v>OPS-013</x:v>
      </x:c>
      <x:c r="E170" s="20" t="str">
        <x:v>DEN</x:v>
      </x:c>
      <x:c r="F170" s="20" t="str">
        <x:v>meta anual de participantes</x:v>
      </x:c>
      <x:c r="G170" s="20" t="str">
        <x:v># / base</x:v>
      </x:c>
      <x:c r="H170" s="20" t="n">
        <x:v>100</x:v>
      </x:c>
      <x:c r="I170" s="20" t="str">
        <x:v>Historical Dummy</x:v>
      </x:c>
      <x:c r="J170" s="20" t="str">
        <x:v>YES</x:v>
      </x:c>
    </x:row>
    <x:row r="171">
      <x:c r="A171" s="20" t="str">
        <x:v>OPS-013_DEN</x:v>
      </x:c>
      <x:c r="B171" s="20" t="n">
        <x:v>2024</x:v>
      </x:c>
      <x:c r="C171" s="20" t="str">
        <x:v>Operaciones</x:v>
      </x:c>
      <x:c r="D171" s="20" t="str">
        <x:v>OPS-013</x:v>
      </x:c>
      <x:c r="E171" s="20" t="str">
        <x:v>DEN</x:v>
      </x:c>
      <x:c r="F171" s="20" t="str">
        <x:v>meta anual de participantes</x:v>
      </x:c>
      <x:c r="G171" s="20" t="str">
        <x:v># / base</x:v>
      </x:c>
      <x:c r="H171" s="20" t="n">
        <x:v>108</x:v>
      </x:c>
      <x:c r="I171" s="20" t="str">
        <x:v>Historical Dummy</x:v>
      </x:c>
      <x:c r="J171" s="20" t="str">
        <x:v>YES</x:v>
      </x:c>
    </x:row>
    <x:row r="172">
      <x:c r="A172" s="20" t="str">
        <x:v>OPS-013_DEN</x:v>
      </x:c>
      <x:c r="B172" s="20" t="n">
        <x:v>2025</x:v>
      </x:c>
      <x:c r="C172" s="20" t="str">
        <x:v>Operaciones</x:v>
      </x:c>
      <x:c r="D172" s="20" t="str">
        <x:v>OPS-013</x:v>
      </x:c>
      <x:c r="E172" s="20" t="str">
        <x:v>DEN</x:v>
      </x:c>
      <x:c r="F172" s="20" t="str">
        <x:v>meta anual de participantes</x:v>
      </x:c>
      <x:c r="G172" s="20" t="str">
        <x:v># / base</x:v>
      </x:c>
      <x:c r="H172" s="20" t="n">
        <x:v>116</x:v>
      </x:c>
      <x:c r="I172" s="20" t="str">
        <x:v>Historical Dummy</x:v>
      </x:c>
      <x:c r="J172" s="20" t="str">
        <x:v>YES</x:v>
      </x:c>
    </x:row>
    <x:row r="173">
      <x:c r="A173" s="20" t="str">
        <x:v>OPS-013_DEN</x:v>
      </x:c>
      <x:c r="B173" s="20" t="n">
        <x:v>2026</x:v>
      </x:c>
      <x:c r="C173" s="20" t="str">
        <x:v>Operaciones</x:v>
      </x:c>
      <x:c r="D173" s="20" t="str">
        <x:v>OPS-013</x:v>
      </x:c>
      <x:c r="E173" s="20" t="str">
        <x:v>DEN</x:v>
      </x:c>
      <x:c r="F173" s="20" t="str">
        <x:v>meta anual de participantes</x:v>
      </x:c>
      <x:c r="G173" s="20" t="str">
        <x:v># / base</x:v>
      </x:c>
      <x:c r="H173" s="20" t="n">
        <x:v>125</x:v>
      </x:c>
      <x:c r="I173" s="20" t="str">
        <x:v>Plan-Year Dummy</x:v>
      </x:c>
      <x:c r="J173" s="20" t="str">
        <x:v>YES</x:v>
      </x:c>
    </x:row>
    <x:row r="174">
      <x:c r="A174" s="20" t="str">
        <x:v>OPS-014_NUM</x:v>
      </x:c>
      <x:c r="B174" s="20" t="n">
        <x:v>2023</x:v>
      </x:c>
      <x:c r="C174" s="20" t="str">
        <x:v>Operaciones</x:v>
      </x:c>
      <x:c r="D174" s="20" t="str">
        <x:v>OPS-014</x:v>
      </x:c>
      <x:c r="E174" s="20" t="str">
        <x:v>NUM</x:v>
      </x:c>
      <x:c r="F174" s="20" t="str">
        <x:v>Participantes atendidos</x:v>
      </x:c>
      <x:c r="G174" s="20" t="str">
        <x:v># / base</x:v>
      </x:c>
      <x:c r="H174" s="20" t="n">
        <x:v>84</x:v>
      </x:c>
      <x:c r="I174" s="20" t="str">
        <x:v>Historical Dummy</x:v>
      </x:c>
      <x:c r="J174" s="20" t="str">
        <x:v>YES</x:v>
      </x:c>
    </x:row>
    <x:row r="175">
      <x:c r="A175" s="20" t="str">
        <x:v>OPS-014_NUM</x:v>
      </x:c>
      <x:c r="B175" s="20" t="n">
        <x:v>2024</x:v>
      </x:c>
      <x:c r="C175" s="20" t="str">
        <x:v>Operaciones</x:v>
      </x:c>
      <x:c r="D175" s="20" t="str">
        <x:v>OPS-014</x:v>
      </x:c>
      <x:c r="E175" s="20" t="str">
        <x:v>NUM</x:v>
      </x:c>
      <x:c r="F175" s="20" t="str">
        <x:v>Participantes atendidos</x:v>
      </x:c>
      <x:c r="G175" s="20" t="str">
        <x:v># / base</x:v>
      </x:c>
      <x:c r="H175" s="20" t="n">
        <x:v>96</x:v>
      </x:c>
      <x:c r="I175" s="20" t="str">
        <x:v>Historical Dummy</x:v>
      </x:c>
      <x:c r="J175" s="20" t="str">
        <x:v>YES</x:v>
      </x:c>
    </x:row>
    <x:row r="176">
      <x:c r="A176" s="20" t="str">
        <x:v>OPS-014_NUM</x:v>
      </x:c>
      <x:c r="B176" s="20" t="n">
        <x:v>2025</x:v>
      </x:c>
      <x:c r="C176" s="20" t="str">
        <x:v>Operaciones</x:v>
      </x:c>
      <x:c r="D176" s="20" t="str">
        <x:v>OPS-014</x:v>
      </x:c>
      <x:c r="E176" s="20" t="str">
        <x:v>NUM</x:v>
      </x:c>
      <x:c r="F176" s="20" t="str">
        <x:v>Participantes atendidos</x:v>
      </x:c>
      <x:c r="G176" s="20" t="str">
        <x:v># / base</x:v>
      </x:c>
      <x:c r="H176" s="20" t="n">
        <x:v>109</x:v>
      </x:c>
      <x:c r="I176" s="20" t="str">
        <x:v>Historical Dummy</x:v>
      </x:c>
      <x:c r="J176" s="20" t="str">
        <x:v>YES</x:v>
      </x:c>
    </x:row>
    <x:row r="177">
      <x:c r="A177" s="20" t="str">
        <x:v>OPS-014_NUM</x:v>
      </x:c>
      <x:c r="B177" s="20" t="n">
        <x:v>2026</x:v>
      </x:c>
      <x:c r="C177" s="20" t="str">
        <x:v>Operaciones</x:v>
      </x:c>
      <x:c r="D177" s="20" t="str">
        <x:v>OPS-014</x:v>
      </x:c>
      <x:c r="E177" s="20" t="str">
        <x:v>NUM</x:v>
      </x:c>
      <x:c r="F177" s="20" t="str">
        <x:v>Participantes atendidos</x:v>
      </x:c>
      <x:c r="G177" s="20" t="str">
        <x:v># / base</x:v>
      </x:c>
      <x:c r="H177" s="20" t="n">
        <x:v>125</x:v>
      </x:c>
      <x:c r="I177" s="20" t="str">
        <x:v>Plan-Year Dummy</x:v>
      </x:c>
      <x:c r="J177" s="20" t="str">
        <x:v>YES</x:v>
      </x:c>
    </x:row>
    <x:row r="178">
      <x:c r="A178" s="20" t="str">
        <x:v>OPS-014_DEN</x:v>
      </x:c>
      <x:c r="B178" s="20" t="n">
        <x:v>2023</x:v>
      </x:c>
      <x:c r="C178" s="20" t="str">
        <x:v>Operaciones</x:v>
      </x:c>
      <x:c r="D178" s="20" t="str">
        <x:v>OPS-014</x:v>
      </x:c>
      <x:c r="E178" s="20" t="str">
        <x:v>DEN</x:v>
      </x:c>
      <x:c r="F178" s="20" t="str">
        <x:v>meta anual de participantes</x:v>
      </x:c>
      <x:c r="G178" s="20" t="str">
        <x:v># / base</x:v>
      </x:c>
      <x:c r="H178" s="20" t="n">
        <x:v>100</x:v>
      </x:c>
      <x:c r="I178" s="20" t="str">
        <x:v>Historical Dummy</x:v>
      </x:c>
      <x:c r="J178" s="20" t="str">
        <x:v>YES</x:v>
      </x:c>
    </x:row>
    <x:row r="179">
      <x:c r="A179" s="20" t="str">
        <x:v>OPS-014_DEN</x:v>
      </x:c>
      <x:c r="B179" s="20" t="n">
        <x:v>2024</x:v>
      </x:c>
      <x:c r="C179" s="20" t="str">
        <x:v>Operaciones</x:v>
      </x:c>
      <x:c r="D179" s="20" t="str">
        <x:v>OPS-014</x:v>
      </x:c>
      <x:c r="E179" s="20" t="str">
        <x:v>DEN</x:v>
      </x:c>
      <x:c r="F179" s="20" t="str">
        <x:v>meta anual de participantes</x:v>
      </x:c>
      <x:c r="G179" s="20" t="str">
        <x:v># / base</x:v>
      </x:c>
      <x:c r="H179" s="20" t="n">
        <x:v>108</x:v>
      </x:c>
      <x:c r="I179" s="20" t="str">
        <x:v>Historical Dummy</x:v>
      </x:c>
      <x:c r="J179" s="20" t="str">
        <x:v>YES</x:v>
      </x:c>
    </x:row>
    <x:row r="180">
      <x:c r="A180" s="20" t="str">
        <x:v>OPS-014_DEN</x:v>
      </x:c>
      <x:c r="B180" s="20" t="n">
        <x:v>2025</x:v>
      </x:c>
      <x:c r="C180" s="20" t="str">
        <x:v>Operaciones</x:v>
      </x:c>
      <x:c r="D180" s="20" t="str">
        <x:v>OPS-014</x:v>
      </x:c>
      <x:c r="E180" s="20" t="str">
        <x:v>DEN</x:v>
      </x:c>
      <x:c r="F180" s="20" t="str">
        <x:v>meta anual de participantes</x:v>
      </x:c>
      <x:c r="G180" s="20" t="str">
        <x:v># / base</x:v>
      </x:c>
      <x:c r="H180" s="20" t="n">
        <x:v>116</x:v>
      </x:c>
      <x:c r="I180" s="20" t="str">
        <x:v>Historical Dummy</x:v>
      </x:c>
      <x:c r="J180" s="20" t="str">
        <x:v>YES</x:v>
      </x:c>
    </x:row>
    <x:row r="181">
      <x:c r="A181" s="20" t="str">
        <x:v>OPS-014_DEN</x:v>
      </x:c>
      <x:c r="B181" s="20" t="n">
        <x:v>2026</x:v>
      </x:c>
      <x:c r="C181" s="20" t="str">
        <x:v>Operaciones</x:v>
      </x:c>
      <x:c r="D181" s="20" t="str">
        <x:v>OPS-014</x:v>
      </x:c>
      <x:c r="E181" s="20" t="str">
        <x:v>DEN</x:v>
      </x:c>
      <x:c r="F181" s="20" t="str">
        <x:v>meta anual de participantes</x:v>
      </x:c>
      <x:c r="G181" s="20" t="str">
        <x:v># / base</x:v>
      </x:c>
      <x:c r="H181" s="20" t="n">
        <x:v>125</x:v>
      </x:c>
      <x:c r="I181" s="20" t="str">
        <x:v>Plan-Year Dummy</x:v>
      </x:c>
      <x:c r="J181" s="20" t="str">
        <x:v>YES</x:v>
      </x:c>
    </x:row>
    <x:row r="182">
      <x:c r="A182" s="20" t="str">
        <x:v>OPS-015_VAL</x:v>
      </x:c>
      <x:c r="B182" s="20" t="n">
        <x:v>2023</x:v>
      </x:c>
      <x:c r="C182" s="20" t="str">
        <x:v>Operaciones</x:v>
      </x:c>
      <x:c r="D182" s="20" t="str">
        <x:v>OPS-015</x:v>
      </x:c>
      <x:c r="E182" s="20" t="str">
        <x:v>VAL</x:v>
      </x:c>
      <x:c r="F182" s="20" t="str">
        <x:v>Número de experiencias individuales completadas conforme a protocolo</x:v>
      </x:c>
      <x:c r="G182" s="20" t="str">
        <x:v>#</x:v>
      </x:c>
      <x:c r="H182" s="20" t="n">
        <x:v>8</x:v>
      </x:c>
      <x:c r="I182" s="20" t="str">
        <x:v>Historical Dummy</x:v>
      </x:c>
      <x:c r="J182" s="20" t="str">
        <x:v>YES</x:v>
      </x:c>
    </x:row>
    <x:row r="183">
      <x:c r="A183" s="20" t="str">
        <x:v>OPS-015_VAL</x:v>
      </x:c>
      <x:c r="B183" s="20" t="n">
        <x:v>2024</x:v>
      </x:c>
      <x:c r="C183" s="20" t="str">
        <x:v>Operaciones</x:v>
      </x:c>
      <x:c r="D183" s="20" t="str">
        <x:v>OPS-015</x:v>
      </x:c>
      <x:c r="E183" s="20" t="str">
        <x:v>VAL</x:v>
      </x:c>
      <x:c r="F183" s="20" t="str">
        <x:v>Número de experiencias individuales completadas conforme a protocolo</x:v>
      </x:c>
      <x:c r="G183" s="20" t="str">
        <x:v>#</x:v>
      </x:c>
      <x:c r="H183" s="20" t="n">
        <x:v>9</x:v>
      </x:c>
      <x:c r="I183" s="20" t="str">
        <x:v>Historical Dummy</x:v>
      </x:c>
      <x:c r="J183" s="20" t="str">
        <x:v>YES</x:v>
      </x:c>
    </x:row>
    <x:row r="184">
      <x:c r="A184" s="20" t="str">
        <x:v>OPS-015_VAL</x:v>
      </x:c>
      <x:c r="B184" s="20" t="n">
        <x:v>2025</x:v>
      </x:c>
      <x:c r="C184" s="20" t="str">
        <x:v>Operaciones</x:v>
      </x:c>
      <x:c r="D184" s="20" t="str">
        <x:v>OPS-015</x:v>
      </x:c>
      <x:c r="E184" s="20" t="str">
        <x:v>VAL</x:v>
      </x:c>
      <x:c r="F184" s="20" t="str">
        <x:v>Número de experiencias individuales completadas conforme a protocolo</x:v>
      </x:c>
      <x:c r="G184" s="20" t="str">
        <x:v>#</x:v>
      </x:c>
      <x:c r="H184" s="20" t="n">
        <x:v>11</x:v>
      </x:c>
      <x:c r="I184" s="20" t="str">
        <x:v>Historical Dummy</x:v>
      </x:c>
      <x:c r="J184" s="20" t="str">
        <x:v>YES</x:v>
      </x:c>
    </x:row>
    <x:row r="185">
      <x:c r="A185" s="20" t="str">
        <x:v>OPS-015_VAL</x:v>
      </x:c>
      <x:c r="B185" s="20" t="n">
        <x:v>2026</x:v>
      </x:c>
      <x:c r="C185" s="20" t="str">
        <x:v>Operaciones</x:v>
      </x:c>
      <x:c r="D185" s="20" t="str">
        <x:v>OPS-015</x:v>
      </x:c>
      <x:c r="E185" s="20" t="str">
        <x:v>VAL</x:v>
      </x:c>
      <x:c r="F185" s="20" t="str">
        <x:v>Número de experiencias individuales completadas conforme a protocolo</x:v>
      </x:c>
      <x:c r="G185" s="20" t="str">
        <x:v>#</x:v>
      </x:c>
      <x:c r="H185" s="20" t="n">
        <x:v>12</x:v>
      </x:c>
      <x:c r="I185" s="20" t="str">
        <x:v>Plan-Year Dummy</x:v>
      </x:c>
      <x:c r="J185" s="20" t="str">
        <x:v>YES</x:v>
      </x:c>
    </x:row>
    <x:row r="186">
      <x:c r="A186" s="20" t="str">
        <x:v>OPS-016_VAL</x:v>
      </x:c>
      <x:c r="B186" s="20" t="n">
        <x:v>2023</x:v>
      </x:c>
      <x:c r="C186" s="20" t="str">
        <x:v>Operaciones</x:v>
      </x:c>
      <x:c r="D186" s="20" t="str">
        <x:v>OPS-016</x:v>
      </x:c>
      <x:c r="E186" s="20" t="str">
        <x:v>VAL</x:v>
      </x:c>
      <x:c r="F186" s="20" t="str">
        <x:v>Número de proyectos OSC aprobados, formalizados y financiados conforme a reglas</x:v>
      </x:c>
      <x:c r="G186" s="20" t="str">
        <x:v>#</x:v>
      </x:c>
      <x:c r="H186" s="20" t="n">
        <x:v>2</x:v>
      </x:c>
      <x:c r="I186" s="20" t="str">
        <x:v>Historical Dummy</x:v>
      </x:c>
      <x:c r="J186" s="20" t="str">
        <x:v>YES</x:v>
      </x:c>
    </x:row>
    <x:row r="187">
      <x:c r="A187" s="20" t="str">
        <x:v>OPS-016_VAL</x:v>
      </x:c>
      <x:c r="B187" s="20" t="n">
        <x:v>2024</x:v>
      </x:c>
      <x:c r="C187" s="20" t="str">
        <x:v>Operaciones</x:v>
      </x:c>
      <x:c r="D187" s="20" t="str">
        <x:v>OPS-016</x:v>
      </x:c>
      <x:c r="E187" s="20" t="str">
        <x:v>VAL</x:v>
      </x:c>
      <x:c r="F187" s="20" t="str">
        <x:v>Número de proyectos OSC aprobados, formalizados y financiados conforme a reglas</x:v>
      </x:c>
      <x:c r="G187" s="20" t="str">
        <x:v>#</x:v>
      </x:c>
      <x:c r="H187" s="20" t="n">
        <x:v>3</x:v>
      </x:c>
      <x:c r="I187" s="20" t="str">
        <x:v>Historical Dummy</x:v>
      </x:c>
      <x:c r="J187" s="20" t="str">
        <x:v>YES</x:v>
      </x:c>
    </x:row>
    <x:row r="188">
      <x:c r="A188" s="20" t="str">
        <x:v>OPS-016_VAL</x:v>
      </x:c>
      <x:c r="B188" s="20" t="n">
        <x:v>2025</x:v>
      </x:c>
      <x:c r="C188" s="20" t="str">
        <x:v>Operaciones</x:v>
      </x:c>
      <x:c r="D188" s="20" t="str">
        <x:v>OPS-016</x:v>
      </x:c>
      <x:c r="E188" s="20" t="str">
        <x:v>VAL</x:v>
      </x:c>
      <x:c r="F188" s="20" t="str">
        <x:v>Número de proyectos OSC aprobados, formalizados y financiados conforme a reglas</x:v>
      </x:c>
      <x:c r="G188" s="20" t="str">
        <x:v>#</x:v>
      </x:c>
      <x:c r="H188" s="20" t="n">
        <x:v>3</x:v>
      </x:c>
      <x:c r="I188" s="20" t="str">
        <x:v>Historical Dummy</x:v>
      </x:c>
      <x:c r="J188" s="20" t="str">
        <x:v>YES</x:v>
      </x:c>
    </x:row>
    <x:row r="189">
      <x:c r="A189" s="20" t="str">
        <x:v>OPS-016_VAL</x:v>
      </x:c>
      <x:c r="B189" s="20" t="n">
        <x:v>2026</x:v>
      </x:c>
      <x:c r="C189" s="20" t="str">
        <x:v>Operaciones</x:v>
      </x:c>
      <x:c r="D189" s="20" t="str">
        <x:v>OPS-016</x:v>
      </x:c>
      <x:c r="E189" s="20" t="str">
        <x:v>VAL</x:v>
      </x:c>
      <x:c r="F189" s="20" t="str">
        <x:v>Número de proyectos OSC aprobados, formalizados y financiados conforme a reglas</x:v>
      </x:c>
      <x:c r="G189" s="20" t="str">
        <x:v>#</x:v>
      </x:c>
      <x:c r="H189" s="20" t="n">
        <x:v>4</x:v>
      </x:c>
      <x:c r="I189" s="20" t="str">
        <x:v>Plan-Year Dummy</x:v>
      </x:c>
      <x:c r="J189" s="20" t="str">
        <x:v>YES</x:v>
      </x:c>
    </x:row>
    <x:row r="190">
      <x:c r="A190" s="20" t="str">
        <x:v>OPS-019_NUM</x:v>
      </x:c>
      <x:c r="B190" s="20" t="n">
        <x:v>2023</x:v>
      </x:c>
      <x:c r="C190" s="20" t="str">
        <x:v>Operaciones</x:v>
      </x:c>
      <x:c r="D190" s="20" t="str">
        <x:v>OPS-019</x:v>
      </x:c>
      <x:c r="E190" s="20" t="str">
        <x:v>NUM</x:v>
      </x:c>
      <x:c r="F190" s="20" t="str">
        <x:v>Proyectos apoyados con informe de aplicación y resultados aprobado</x:v>
      </x:c>
      <x:c r="G190" s="20" t="str">
        <x:v># / base</x:v>
      </x:c>
      <x:c r="H190" s="20" t="n">
        <x:v>84</x:v>
      </x:c>
      <x:c r="I190" s="20" t="str">
        <x:v>Historical Dummy</x:v>
      </x:c>
      <x:c r="J190" s="20" t="str">
        <x:v>YES</x:v>
      </x:c>
    </x:row>
    <x:row r="191">
      <x:c r="A191" s="20" t="str">
        <x:v>OPS-019_NUM</x:v>
      </x:c>
      <x:c r="B191" s="20" t="n">
        <x:v>2024</x:v>
      </x:c>
      <x:c r="C191" s="20" t="str">
        <x:v>Operaciones</x:v>
      </x:c>
      <x:c r="D191" s="20" t="str">
        <x:v>OPS-019</x:v>
      </x:c>
      <x:c r="E191" s="20" t="str">
        <x:v>NUM</x:v>
      </x:c>
      <x:c r="F191" s="20" t="str">
        <x:v>Proyectos apoyados con informe de aplicación y resultados aprobado</x:v>
      </x:c>
      <x:c r="G191" s="20" t="str">
        <x:v># / base</x:v>
      </x:c>
      <x:c r="H191" s="20" t="n">
        <x:v>96</x:v>
      </x:c>
      <x:c r="I191" s="20" t="str">
        <x:v>Historical Dummy</x:v>
      </x:c>
      <x:c r="J191" s="20" t="str">
        <x:v>YES</x:v>
      </x:c>
    </x:row>
    <x:row r="192">
      <x:c r="A192" s="20" t="str">
        <x:v>OPS-019_NUM</x:v>
      </x:c>
      <x:c r="B192" s="20" t="n">
        <x:v>2025</x:v>
      </x:c>
      <x:c r="C192" s="20" t="str">
        <x:v>Operaciones</x:v>
      </x:c>
      <x:c r="D192" s="20" t="str">
        <x:v>OPS-019</x:v>
      </x:c>
      <x:c r="E192" s="20" t="str">
        <x:v>NUM</x:v>
      </x:c>
      <x:c r="F192" s="20" t="str">
        <x:v>Proyectos apoyados con informe de aplicación y resultados aprobado</x:v>
      </x:c>
      <x:c r="G192" s="20" t="str">
        <x:v># / base</x:v>
      </x:c>
      <x:c r="H192" s="20" t="n">
        <x:v>109</x:v>
      </x:c>
      <x:c r="I192" s="20" t="str">
        <x:v>Historical Dummy</x:v>
      </x:c>
      <x:c r="J192" s="20" t="str">
        <x:v>YES</x:v>
      </x:c>
    </x:row>
    <x:row r="193">
      <x:c r="A193" s="20" t="str">
        <x:v>OPS-019_NUM</x:v>
      </x:c>
      <x:c r="B193" s="20" t="n">
        <x:v>2026</x:v>
      </x:c>
      <x:c r="C193" s="20" t="str">
        <x:v>Operaciones</x:v>
      </x:c>
      <x:c r="D193" s="20" t="str">
        <x:v>OPS-019</x:v>
      </x:c>
      <x:c r="E193" s="20" t="str">
        <x:v>NUM</x:v>
      </x:c>
      <x:c r="F193" s="20" t="str">
        <x:v>Proyectos apoyados con informe de aplicación y resultados aprobado</x:v>
      </x:c>
      <x:c r="G193" s="20" t="str">
        <x:v># / base</x:v>
      </x:c>
      <x:c r="H193" s="20" t="n">
        <x:v>125</x:v>
      </x:c>
      <x:c r="I193" s="20" t="str">
        <x:v>Plan-Year Dummy</x:v>
      </x:c>
      <x:c r="J193" s="20" t="str">
        <x:v>YES</x:v>
      </x:c>
    </x:row>
    <x:row r="194">
      <x:c r="A194" s="20" t="str">
        <x:v>OPS-019_DEN</x:v>
      </x:c>
      <x:c r="B194" s="20" t="n">
        <x:v>2023</x:v>
      </x:c>
      <x:c r="C194" s="20" t="str">
        <x:v>Operaciones</x:v>
      </x:c>
      <x:c r="D194" s="20" t="str">
        <x:v>OPS-019</x:v>
      </x:c>
      <x:c r="E194" s="20" t="str">
        <x:v>DEN</x:v>
      </x:c>
      <x:c r="F194" s="20" t="str">
        <x:v>proyectos apoyados</x:v>
      </x:c>
      <x:c r="G194" s="20" t="str">
        <x:v># / base</x:v>
      </x:c>
      <x:c r="H194" s="20" t="n">
        <x:v>100</x:v>
      </x:c>
      <x:c r="I194" s="20" t="str">
        <x:v>Historical Dummy</x:v>
      </x:c>
      <x:c r="J194" s="20" t="str">
        <x:v>YES</x:v>
      </x:c>
    </x:row>
    <x:row r="195">
      <x:c r="A195" s="20" t="str">
        <x:v>OPS-019_DEN</x:v>
      </x:c>
      <x:c r="B195" s="20" t="n">
        <x:v>2024</x:v>
      </x:c>
      <x:c r="C195" s="20" t="str">
        <x:v>Operaciones</x:v>
      </x:c>
      <x:c r="D195" s="20" t="str">
        <x:v>OPS-019</x:v>
      </x:c>
      <x:c r="E195" s="20" t="str">
        <x:v>DEN</x:v>
      </x:c>
      <x:c r="F195" s="20" t="str">
        <x:v>proyectos apoyados</x:v>
      </x:c>
      <x:c r="G195" s="20" t="str">
        <x:v># / base</x:v>
      </x:c>
      <x:c r="H195" s="20" t="n">
        <x:v>108</x:v>
      </x:c>
      <x:c r="I195" s="20" t="str">
        <x:v>Historical Dummy</x:v>
      </x:c>
      <x:c r="J195" s="20" t="str">
        <x:v>YES</x:v>
      </x:c>
    </x:row>
    <x:row r="196">
      <x:c r="A196" s="20" t="str">
        <x:v>OPS-019_DEN</x:v>
      </x:c>
      <x:c r="B196" s="20" t="n">
        <x:v>2025</x:v>
      </x:c>
      <x:c r="C196" s="20" t="str">
        <x:v>Operaciones</x:v>
      </x:c>
      <x:c r="D196" s="20" t="str">
        <x:v>OPS-019</x:v>
      </x:c>
      <x:c r="E196" s="20" t="str">
        <x:v>DEN</x:v>
      </x:c>
      <x:c r="F196" s="20" t="str">
        <x:v>proyectos apoyados</x:v>
      </x:c>
      <x:c r="G196" s="20" t="str">
        <x:v># / base</x:v>
      </x:c>
      <x:c r="H196" s="20" t="n">
        <x:v>116</x:v>
      </x:c>
      <x:c r="I196" s="20" t="str">
        <x:v>Historical Dummy</x:v>
      </x:c>
      <x:c r="J196" s="20" t="str">
        <x:v>YES</x:v>
      </x:c>
    </x:row>
    <x:row r="197">
      <x:c r="A197" s="20" t="str">
        <x:v>OPS-019_DEN</x:v>
      </x:c>
      <x:c r="B197" s="20" t="n">
        <x:v>2026</x:v>
      </x:c>
      <x:c r="C197" s="20" t="str">
        <x:v>Operaciones</x:v>
      </x:c>
      <x:c r="D197" s="20" t="str">
        <x:v>OPS-019</x:v>
      </x:c>
      <x:c r="E197" s="20" t="str">
        <x:v>DEN</x:v>
      </x:c>
      <x:c r="F197" s="20" t="str">
        <x:v>proyectos apoyados</x:v>
      </x:c>
      <x:c r="G197" s="20" t="str">
        <x:v># / base</x:v>
      </x:c>
      <x:c r="H197" s="20" t="n">
        <x:v>125</x:v>
      </x:c>
      <x:c r="I197" s="20" t="str">
        <x:v>Plan-Year Dummy</x:v>
      </x:c>
      <x:c r="J197" s="20" t="str">
        <x:v>YES</x:v>
      </x:c>
    </x:row>
    <x:row r="198">
      <x:c r="A198" s="20" t="str">
        <x:v>OPS-020_NUM</x:v>
      </x:c>
      <x:c r="B198" s="20" t="n">
        <x:v>2023</x:v>
      </x:c>
      <x:c r="C198" s="20" t="str">
        <x:v>Operaciones</x:v>
      </x:c>
      <x:c r="D198" s="20" t="str">
        <x:v>OPS-020</x:v>
      </x:c>
      <x:c r="E198" s="20" t="str">
        <x:v>NUM</x:v>
      </x:c>
      <x:c r="F198" s="20" t="str">
        <x:v>Valor o unidades de donativos en especie asignados</x:v>
      </x:c>
      <x:c r="G198" s="20" t="str">
        <x:v>Moneda</x:v>
      </x:c>
      <x:c r="H198" s="20" t="n">
        <x:v>84</x:v>
      </x:c>
      <x:c r="I198" s="20" t="str">
        <x:v>Historical Dummy</x:v>
      </x:c>
      <x:c r="J198" s="20" t="str">
        <x:v>YES</x:v>
      </x:c>
    </x:row>
    <x:row r="199">
      <x:c r="A199" s="20" t="str">
        <x:v>OPS-020_NUM</x:v>
      </x:c>
      <x:c r="B199" s="20" t="n">
        <x:v>2024</x:v>
      </x:c>
      <x:c r="C199" s="20" t="str">
        <x:v>Operaciones</x:v>
      </x:c>
      <x:c r="D199" s="20" t="str">
        <x:v>OPS-020</x:v>
      </x:c>
      <x:c r="E199" s="20" t="str">
        <x:v>NUM</x:v>
      </x:c>
      <x:c r="F199" s="20" t="str">
        <x:v>Valor o unidades de donativos en especie asignados</x:v>
      </x:c>
      <x:c r="G199" s="20" t="str">
        <x:v>Moneda</x:v>
      </x:c>
      <x:c r="H199" s="20" t="n">
        <x:v>96</x:v>
      </x:c>
      <x:c r="I199" s="20" t="str">
        <x:v>Historical Dummy</x:v>
      </x:c>
      <x:c r="J199" s="20" t="str">
        <x:v>YES</x:v>
      </x:c>
    </x:row>
    <x:row r="200">
      <x:c r="A200" s="20" t="str">
        <x:v>OPS-020_NUM</x:v>
      </x:c>
      <x:c r="B200" s="20" t="n">
        <x:v>2025</x:v>
      </x:c>
      <x:c r="C200" s="20" t="str">
        <x:v>Operaciones</x:v>
      </x:c>
      <x:c r="D200" s="20" t="str">
        <x:v>OPS-020</x:v>
      </x:c>
      <x:c r="E200" s="20" t="str">
        <x:v>NUM</x:v>
      </x:c>
      <x:c r="F200" s="20" t="str">
        <x:v>Valor o unidades de donativos en especie asignados</x:v>
      </x:c>
      <x:c r="G200" s="20" t="str">
        <x:v>Moneda</x:v>
      </x:c>
      <x:c r="H200" s="20" t="n">
        <x:v>109</x:v>
      </x:c>
      <x:c r="I200" s="20" t="str">
        <x:v>Historical Dummy</x:v>
      </x:c>
      <x:c r="J200" s="20" t="str">
        <x:v>YES</x:v>
      </x:c>
    </x:row>
    <x:row r="201">
      <x:c r="A201" s="20" t="str">
        <x:v>OPS-020_NUM</x:v>
      </x:c>
      <x:c r="B201" s="20" t="n">
        <x:v>2026</x:v>
      </x:c>
      <x:c r="C201" s="20" t="str">
        <x:v>Operaciones</x:v>
      </x:c>
      <x:c r="D201" s="20" t="str">
        <x:v>OPS-020</x:v>
      </x:c>
      <x:c r="E201" s="20" t="str">
        <x:v>NUM</x:v>
      </x:c>
      <x:c r="F201" s="20" t="str">
        <x:v>Valor o unidades de donativos en especie asignados</x:v>
      </x:c>
      <x:c r="G201" s="20" t="str">
        <x:v>Moneda</x:v>
      </x:c>
      <x:c r="H201" s="20" t="n">
        <x:v>125</x:v>
      </x:c>
      <x:c r="I201" s="20" t="str">
        <x:v>Plan-Year Dummy</x:v>
      </x:c>
      <x:c r="J201" s="20" t="str">
        <x:v>YES</x:v>
      </x:c>
    </x:row>
    <x:row r="202">
      <x:c r="A202" s="20" t="str">
        <x:v>OPS-020_DEN</x:v>
      </x:c>
      <x:c r="B202" s="20" t="n">
        <x:v>2023</x:v>
      </x:c>
      <x:c r="C202" s="20" t="str">
        <x:v>Operaciones</x:v>
      </x:c>
      <x:c r="D202" s="20" t="str">
        <x:v>OPS-020</x:v>
      </x:c>
      <x:c r="E202" s="20" t="str">
        <x:v>DEN</x:v>
      </x:c>
      <x:c r="F202" s="20" t="str">
        <x:v>total recibido/designado para colocación</x:v>
      </x:c>
      <x:c r="G202" s="20" t="str">
        <x:v># / base</x:v>
      </x:c>
      <x:c r="H202" s="20" t="n">
        <x:v>100</x:v>
      </x:c>
      <x:c r="I202" s="20" t="str">
        <x:v>Historical Dummy</x:v>
      </x:c>
      <x:c r="J202" s="20" t="str">
        <x:v>YES</x:v>
      </x:c>
    </x:row>
    <x:row r="203">
      <x:c r="A203" s="20" t="str">
        <x:v>OPS-020_DEN</x:v>
      </x:c>
      <x:c r="B203" s="20" t="n">
        <x:v>2024</x:v>
      </x:c>
      <x:c r="C203" s="20" t="str">
        <x:v>Operaciones</x:v>
      </x:c>
      <x:c r="D203" s="20" t="str">
        <x:v>OPS-020</x:v>
      </x:c>
      <x:c r="E203" s="20" t="str">
        <x:v>DEN</x:v>
      </x:c>
      <x:c r="F203" s="20" t="str">
        <x:v>total recibido/designado para colocación</x:v>
      </x:c>
      <x:c r="G203" s="20" t="str">
        <x:v># / base</x:v>
      </x:c>
      <x:c r="H203" s="20" t="n">
        <x:v>108</x:v>
      </x:c>
      <x:c r="I203" s="20" t="str">
        <x:v>Historical Dummy</x:v>
      </x:c>
      <x:c r="J203" s="20" t="str">
        <x:v>YES</x:v>
      </x:c>
    </x:row>
    <x:row r="204">
      <x:c r="A204" s="20" t="str">
        <x:v>OPS-020_DEN</x:v>
      </x:c>
      <x:c r="B204" s="20" t="n">
        <x:v>2025</x:v>
      </x:c>
      <x:c r="C204" s="20" t="str">
        <x:v>Operaciones</x:v>
      </x:c>
      <x:c r="D204" s="20" t="str">
        <x:v>OPS-020</x:v>
      </x:c>
      <x:c r="E204" s="20" t="str">
        <x:v>DEN</x:v>
      </x:c>
      <x:c r="F204" s="20" t="str">
        <x:v>total recibido/designado para colocación</x:v>
      </x:c>
      <x:c r="G204" s="20" t="str">
        <x:v># / base</x:v>
      </x:c>
      <x:c r="H204" s="20" t="n">
        <x:v>116</x:v>
      </x:c>
      <x:c r="I204" s="20" t="str">
        <x:v>Historical Dummy</x:v>
      </x:c>
      <x:c r="J204" s="20" t="str">
        <x:v>YES</x:v>
      </x:c>
    </x:row>
    <x:row r="205">
      <x:c r="A205" s="20" t="str">
        <x:v>OPS-020_DEN</x:v>
      </x:c>
      <x:c r="B205" s="20" t="n">
        <x:v>2026</x:v>
      </x:c>
      <x:c r="C205" s="20" t="str">
        <x:v>Operaciones</x:v>
      </x:c>
      <x:c r="D205" s="20" t="str">
        <x:v>OPS-020</x:v>
      </x:c>
      <x:c r="E205" s="20" t="str">
        <x:v>DEN</x:v>
      </x:c>
      <x:c r="F205" s="20" t="str">
        <x:v>total recibido/designado para colocación</x:v>
      </x:c>
      <x:c r="G205" s="20" t="str">
        <x:v># / base</x:v>
      </x:c>
      <x:c r="H205" s="20" t="n">
        <x:v>125</x:v>
      </x:c>
      <x:c r="I205" s="20" t="str">
        <x:v>Plan-Year Dummy</x:v>
      </x:c>
      <x:c r="J205" s="20" t="str">
        <x:v>YES</x:v>
      </x:c>
    </x:row>
    <x:row r="206">
      <x:c r="A206" s="20" t="str">
        <x:v>LEG-001_VAL</x:v>
      </x:c>
      <x:c r="B206" s="20" t="n">
        <x:v>2023</x:v>
      </x:c>
      <x:c r="C206" s="20" t="str">
        <x:v>Jurídico</x:v>
      </x:c>
      <x:c r="D206" s="20" t="str">
        <x:v>LEG-001</x:v>
      </x:c>
      <x:c r="E206" s="20" t="str">
        <x:v>VAL</x:v>
      </x:c>
      <x:c r="F206" s="20" t="str">
        <x:v>Mediana de días hábiles desde solicitud completa hasta liberación de contrato/convenio</x:v>
      </x:c>
      <x:c r="G206" s="20" t="str">
        <x:v>días</x:v>
      </x:c>
      <x:c r="H206" s="20" t="n">
        <x:v>5.8</x:v>
      </x:c>
      <x:c r="I206" s="20" t="str">
        <x:v>Historical Dummy</x:v>
      </x:c>
      <x:c r="J206" s="20" t="str">
        <x:v>YES</x:v>
      </x:c>
    </x:row>
    <x:row r="207">
      <x:c r="A207" s="20" t="str">
        <x:v>LEG-001_VAL</x:v>
      </x:c>
      <x:c r="B207" s="20" t="n">
        <x:v>2024</x:v>
      </x:c>
      <x:c r="C207" s="20" t="str">
        <x:v>Jurídico</x:v>
      </x:c>
      <x:c r="D207" s="20" t="str">
        <x:v>LEG-001</x:v>
      </x:c>
      <x:c r="E207" s="20" t="str">
        <x:v>VAL</x:v>
      </x:c>
      <x:c r="F207" s="20" t="str">
        <x:v>Mediana de días hábiles desde solicitud completa hasta liberación de contrato/convenio</x:v>
      </x:c>
      <x:c r="G207" s="20" t="str">
        <x:v>días</x:v>
      </x:c>
      <x:c r="H207" s="20" t="n">
        <x:v>4.9</x:v>
      </x:c>
      <x:c r="I207" s="20" t="str">
        <x:v>Historical Dummy</x:v>
      </x:c>
      <x:c r="J207" s="20" t="str">
        <x:v>YES</x:v>
      </x:c>
    </x:row>
    <x:row r="208">
      <x:c r="A208" s="20" t="str">
        <x:v>LEG-001_VAL</x:v>
      </x:c>
      <x:c r="B208" s="20" t="n">
        <x:v>2025</x:v>
      </x:c>
      <x:c r="C208" s="20" t="str">
        <x:v>Jurídico</x:v>
      </x:c>
      <x:c r="D208" s="20" t="str">
        <x:v>LEG-001</x:v>
      </x:c>
      <x:c r="E208" s="20" t="str">
        <x:v>VAL</x:v>
      </x:c>
      <x:c r="F208" s="20" t="str">
        <x:v>Mediana de días hábiles desde solicitud completa hasta liberación de contrato/convenio</x:v>
      </x:c>
      <x:c r="G208" s="20" t="str">
        <x:v>días</x:v>
      </x:c>
      <x:c r="H208" s="20" t="n">
        <x:v>4</x:v>
      </x:c>
      <x:c r="I208" s="20" t="str">
        <x:v>Historical Dummy</x:v>
      </x:c>
      <x:c r="J208" s="20" t="str">
        <x:v>YES</x:v>
      </x:c>
    </x:row>
    <x:row r="209">
      <x:c r="A209" s="20" t="str">
        <x:v>LEG-001_VAL</x:v>
      </x:c>
      <x:c r="B209" s="20" t="n">
        <x:v>2026</x:v>
      </x:c>
      <x:c r="C209" s="20" t="str">
        <x:v>Jurídico</x:v>
      </x:c>
      <x:c r="D209" s="20" t="str">
        <x:v>LEG-001</x:v>
      </x:c>
      <x:c r="E209" s="20" t="str">
        <x:v>VAL</x:v>
      </x:c>
      <x:c r="F209" s="20" t="str">
        <x:v>Mediana de días hábiles desde solicitud completa hasta liberación de contrato/convenio</x:v>
      </x:c>
      <x:c r="G209" s="20" t="str">
        <x:v>días</x:v>
      </x:c>
      <x:c r="H209" s="20" t="n">
        <x:v>3.1</x:v>
      </x:c>
      <x:c r="I209" s="20" t="str">
        <x:v>Plan-Year Dummy</x:v>
      </x:c>
      <x:c r="J209" s="20" t="str">
        <x:v>YES</x:v>
      </x:c>
    </x:row>
    <x:row r="210">
      <x:c r="A210" s="20" t="str">
        <x:v>LEG-002_NUM</x:v>
      </x:c>
      <x:c r="B210" s="20" t="n">
        <x:v>2023</x:v>
      </x:c>
      <x:c r="C210" s="20" t="str">
        <x:v>Jurídico</x:v>
      </x:c>
      <x:c r="D210" s="20" t="str">
        <x:v>LEG-002</x:v>
      </x:c>
      <x:c r="E210" s="20" t="str">
        <x:v>NUM</x:v>
      </x:c>
      <x:c r="F210" s="20" t="str">
        <x:v>Expedientes activos con documentación, responsable y fechas límite completas</x:v>
      </x:c>
      <x:c r="G210" s="20" t="str">
        <x:v>días</x:v>
      </x:c>
      <x:c r="H210" s="20" t="n">
        <x:v>76</x:v>
      </x:c>
      <x:c r="I210" s="20" t="str">
        <x:v>Historical Dummy</x:v>
      </x:c>
      <x:c r="J210" s="20" t="str">
        <x:v>YES</x:v>
      </x:c>
    </x:row>
    <x:row r="211">
      <x:c r="A211" s="20" t="str">
        <x:v>LEG-002_NUM</x:v>
      </x:c>
      <x:c r="B211" s="20" t="n">
        <x:v>2024</x:v>
      </x:c>
      <x:c r="C211" s="20" t="str">
        <x:v>Jurídico</x:v>
      </x:c>
      <x:c r="D211" s="20" t="str">
        <x:v>LEG-002</x:v>
      </x:c>
      <x:c r="E211" s="20" t="str">
        <x:v>NUM</x:v>
      </x:c>
      <x:c r="F211" s="20" t="str">
        <x:v>Expedientes activos con documentación, responsable y fechas límite completas</x:v>
      </x:c>
      <x:c r="G211" s="20" t="str">
        <x:v>días</x:v>
      </x:c>
      <x:c r="H211" s="20" t="n">
        <x:v>86</x:v>
      </x:c>
      <x:c r="I211" s="20" t="str">
        <x:v>Historical Dummy</x:v>
      </x:c>
      <x:c r="J211" s="20" t="str">
        <x:v>YES</x:v>
      </x:c>
    </x:row>
    <x:row r="212">
      <x:c r="A212" s="20" t="str">
        <x:v>LEG-002_NUM</x:v>
      </x:c>
      <x:c r="B212" s="20" t="n">
        <x:v>2025</x:v>
      </x:c>
      <x:c r="C212" s="20" t="str">
        <x:v>Jurídico</x:v>
      </x:c>
      <x:c r="D212" s="20" t="str">
        <x:v>LEG-002</x:v>
      </x:c>
      <x:c r="E212" s="20" t="str">
        <x:v>NUM</x:v>
      </x:c>
      <x:c r="F212" s="20" t="str">
        <x:v>Expedientes activos con documentación, responsable y fechas límite completas</x:v>
      </x:c>
      <x:c r="G212" s="20" t="str">
        <x:v>días</x:v>
      </x:c>
      <x:c r="H212" s="20" t="n">
        <x:v>98</x:v>
      </x:c>
      <x:c r="I212" s="20" t="str">
        <x:v>Historical Dummy</x:v>
      </x:c>
      <x:c r="J212" s="20" t="str">
        <x:v>YES</x:v>
      </x:c>
    </x:row>
    <x:row r="213">
      <x:c r="A213" s="20" t="str">
        <x:v>LEG-002_NUM</x:v>
      </x:c>
      <x:c r="B213" s="20" t="n">
        <x:v>2026</x:v>
      </x:c>
      <x:c r="C213" s="20" t="str">
        <x:v>Jurídico</x:v>
      </x:c>
      <x:c r="D213" s="20" t="str">
        <x:v>LEG-002</x:v>
      </x:c>
      <x:c r="E213" s="20" t="str">
        <x:v>NUM</x:v>
      </x:c>
      <x:c r="F213" s="20" t="str">
        <x:v>Expedientes activos con documentación, responsable y fechas límite completas</x:v>
      </x:c>
      <x:c r="G213" s="20" t="str">
        <x:v>días</x:v>
      </x:c>
      <x:c r="H213" s="20" t="n">
        <x:v>112</x:v>
      </x:c>
      <x:c r="I213" s="20" t="str">
        <x:v>Plan-Year Dummy</x:v>
      </x:c>
      <x:c r="J213" s="20" t="str">
        <x:v>YES</x:v>
      </x:c>
    </x:row>
    <x:row r="214">
      <x:c r="A214" s="20" t="str">
        <x:v>LEG-002_DEN</x:v>
      </x:c>
      <x:c r="B214" s="20" t="n">
        <x:v>2023</x:v>
      </x:c>
      <x:c r="C214" s="20" t="str">
        <x:v>Jurídico</x:v>
      </x:c>
      <x:c r="D214" s="20" t="str">
        <x:v>LEG-002</x:v>
      </x:c>
      <x:c r="E214" s="20" t="str">
        <x:v>DEN</x:v>
      </x:c>
      <x:c r="F214" s="20" t="str">
        <x:v>expedientes activos</x:v>
      </x:c>
      <x:c r="G214" s="20" t="str">
        <x:v># / base</x:v>
      </x:c>
      <x:c r="H214" s="20" t="n">
        <x:v>90</x:v>
      </x:c>
      <x:c r="I214" s="20" t="str">
        <x:v>Historical Dummy</x:v>
      </x:c>
      <x:c r="J214" s="20" t="str">
        <x:v>YES</x:v>
      </x:c>
    </x:row>
    <x:row r="215">
      <x:c r="A215" s="20" t="str">
        <x:v>LEG-002_DEN</x:v>
      </x:c>
      <x:c r="B215" s="20" t="n">
        <x:v>2024</x:v>
      </x:c>
      <x:c r="C215" s="20" t="str">
        <x:v>Jurídico</x:v>
      </x:c>
      <x:c r="D215" s="20" t="str">
        <x:v>LEG-002</x:v>
      </x:c>
      <x:c r="E215" s="20" t="str">
        <x:v>DEN</x:v>
      </x:c>
      <x:c r="F215" s="20" t="str">
        <x:v>expedientes activos</x:v>
      </x:c>
      <x:c r="G215" s="20" t="str">
        <x:v># / base</x:v>
      </x:c>
      <x:c r="H215" s="20" t="n">
        <x:v>97</x:v>
      </x:c>
      <x:c r="I215" s="20" t="str">
        <x:v>Historical Dummy</x:v>
      </x:c>
      <x:c r="J215" s="20" t="str">
        <x:v>YES</x:v>
      </x:c>
    </x:row>
    <x:row r="216">
      <x:c r="A216" s="20" t="str">
        <x:v>LEG-002_DEN</x:v>
      </x:c>
      <x:c r="B216" s="20" t="n">
        <x:v>2025</x:v>
      </x:c>
      <x:c r="C216" s="20" t="str">
        <x:v>Jurídico</x:v>
      </x:c>
      <x:c r="D216" s="20" t="str">
        <x:v>LEG-002</x:v>
      </x:c>
      <x:c r="E216" s="20" t="str">
        <x:v>DEN</x:v>
      </x:c>
      <x:c r="F216" s="20" t="str">
        <x:v>expedientes activos</x:v>
      </x:c>
      <x:c r="G216" s="20" t="str">
        <x:v># / base</x:v>
      </x:c>
      <x:c r="H216" s="20" t="n">
        <x:v>104</x:v>
      </x:c>
      <x:c r="I216" s="20" t="str">
        <x:v>Historical Dummy</x:v>
      </x:c>
      <x:c r="J216" s="20" t="str">
        <x:v>YES</x:v>
      </x:c>
    </x:row>
    <x:row r="217">
      <x:c r="A217" s="20" t="str">
        <x:v>LEG-002_DEN</x:v>
      </x:c>
      <x:c r="B217" s="20" t="n">
        <x:v>2026</x:v>
      </x:c>
      <x:c r="C217" s="20" t="str">
        <x:v>Jurídico</x:v>
      </x:c>
      <x:c r="D217" s="20" t="str">
        <x:v>LEG-002</x:v>
      </x:c>
      <x:c r="E217" s="20" t="str">
        <x:v>DEN</x:v>
      </x:c>
      <x:c r="F217" s="20" t="str">
        <x:v>expedientes activos</x:v>
      </x:c>
      <x:c r="G217" s="20" t="str">
        <x:v># / base</x:v>
      </x:c>
      <x:c r="H217" s="20" t="n">
        <x:v>112</x:v>
      </x:c>
      <x:c r="I217" s="20" t="str">
        <x:v>Plan-Year Dummy</x:v>
      </x:c>
      <x:c r="J217" s="20" t="str">
        <x:v>YES</x:v>
      </x:c>
    </x:row>
    <x:row r="218">
      <x:c r="A218" s="20" t="str">
        <x:v>LEG-003_BASE</x:v>
      </x:c>
      <x:c r="B218" s="20" t="n">
        <x:v>2023</x:v>
      </x:c>
      <x:c r="C218" s="20" t="str">
        <x:v>Jurídico</x:v>
      </x:c>
      <x:c r="D218" s="20" t="str">
        <x:v>LEG-003</x:v>
      </x:c>
      <x:c r="E218" s="20" t="str">
        <x:v>BASE</x:v>
      </x:c>
      <x:c r="F218" s="20" t="str">
        <x:v>Número baseline de reportes/obligaciones duplicadas</x:v>
      </x:c>
      <x:c r="G218" s="20" t="str">
        <x:v># / base</x:v>
      </x:c>
      <x:c r="H218" s="20" t="n">
        <x:v>100</x:v>
      </x:c>
      <x:c r="I218" s="20" t="str">
        <x:v>Historical Dummy</x:v>
      </x:c>
      <x:c r="J218" s="20" t="str">
        <x:v>YES</x:v>
      </x:c>
    </x:row>
    <x:row r="219">
      <x:c r="A219" s="20" t="str">
        <x:v>LEG-003_BASE</x:v>
      </x:c>
      <x:c r="B219" s="20" t="n">
        <x:v>2024</x:v>
      </x:c>
      <x:c r="C219" s="20" t="str">
        <x:v>Jurídico</x:v>
      </x:c>
      <x:c r="D219" s="20" t="str">
        <x:v>LEG-003</x:v>
      </x:c>
      <x:c r="E219" s="20" t="str">
        <x:v>BASE</x:v>
      </x:c>
      <x:c r="F219" s="20" t="str">
        <x:v>Número baseline de reportes/obligaciones duplicadas</x:v>
      </x:c>
      <x:c r="G219" s="20" t="str">
        <x:v># / base</x:v>
      </x:c>
      <x:c r="H219" s="20" t="n">
        <x:v>100</x:v>
      </x:c>
      <x:c r="I219" s="20" t="str">
        <x:v>Historical Dummy</x:v>
      </x:c>
      <x:c r="J219" s="20" t="str">
        <x:v>YES</x:v>
      </x:c>
    </x:row>
    <x:row r="220">
      <x:c r="A220" s="20" t="str">
        <x:v>LEG-003_BASE</x:v>
      </x:c>
      <x:c r="B220" s="20" t="n">
        <x:v>2025</x:v>
      </x:c>
      <x:c r="C220" s="20" t="str">
        <x:v>Jurídico</x:v>
      </x:c>
      <x:c r="D220" s="20" t="str">
        <x:v>LEG-003</x:v>
      </x:c>
      <x:c r="E220" s="20" t="str">
        <x:v>BASE</x:v>
      </x:c>
      <x:c r="F220" s="20" t="str">
        <x:v>Número baseline de reportes/obligaciones duplicadas</x:v>
      </x:c>
      <x:c r="G220" s="20" t="str">
        <x:v># / base</x:v>
      </x:c>
      <x:c r="H220" s="20" t="n">
        <x:v>100</x:v>
      </x:c>
      <x:c r="I220" s="20" t="str">
        <x:v>Historical Dummy</x:v>
      </x:c>
      <x:c r="J220" s="20" t="str">
        <x:v>YES</x:v>
      </x:c>
    </x:row>
    <x:row r="221">
      <x:c r="A221" s="20" t="str">
        <x:v>LEG-003_BASE</x:v>
      </x:c>
      <x:c r="B221" s="20" t="n">
        <x:v>2026</x:v>
      </x:c>
      <x:c r="C221" s="20" t="str">
        <x:v>Jurídico</x:v>
      </x:c>
      <x:c r="D221" s="20" t="str">
        <x:v>LEG-003</x:v>
      </x:c>
      <x:c r="E221" s="20" t="str">
        <x:v>BASE</x:v>
      </x:c>
      <x:c r="F221" s="20" t="str">
        <x:v>Número baseline de reportes/obligaciones duplicadas</x:v>
      </x:c>
      <x:c r="G221" s="20" t="str">
        <x:v># / base</x:v>
      </x:c>
      <x:c r="H221" s="20" t="n">
        <x:v>100</x:v>
      </x:c>
      <x:c r="I221" s="20" t="str">
        <x:v>Plan-Year Dummy</x:v>
      </x:c>
      <x:c r="J221" s="20" t="str">
        <x:v>YES</x:v>
      </x:c>
    </x:row>
    <x:row r="222">
      <x:c r="A222" s="20" t="str">
        <x:v>LEG-003_CUR</x:v>
      </x:c>
      <x:c r="B222" s="20" t="n">
        <x:v>2023</x:v>
      </x:c>
      <x:c r="C222" s="20" t="str">
        <x:v>Jurídico</x:v>
      </x:c>
      <x:c r="D222" s="20" t="str">
        <x:v>LEG-003</x:v>
      </x:c>
      <x:c r="E222" s="20" t="str">
        <x:v>CUR</x:v>
      </x:c>
      <x:c r="F222" s="20" t="str">
        <x:v>número actual</x:v>
      </x:c>
      <x:c r="G222" s="20" t="str">
        <x:v># / base</x:v>
      </x:c>
      <x:c r="H222" s="20" t="n">
        <x:v>64</x:v>
      </x:c>
      <x:c r="I222" s="20" t="str">
        <x:v>Historical Dummy</x:v>
      </x:c>
      <x:c r="J222" s="20" t="str">
        <x:v>YES</x:v>
      </x:c>
    </x:row>
    <x:row r="223">
      <x:c r="A223" s="20" t="str">
        <x:v>LEG-003_CUR</x:v>
      </x:c>
      <x:c r="B223" s="20" t="n">
        <x:v>2024</x:v>
      </x:c>
      <x:c r="C223" s="20" t="str">
        <x:v>Jurídico</x:v>
      </x:c>
      <x:c r="D223" s="20" t="str">
        <x:v>LEG-003</x:v>
      </x:c>
      <x:c r="E223" s="20" t="str">
        <x:v>CUR</x:v>
      </x:c>
      <x:c r="F223" s="20" t="str">
        <x:v>número actual</x:v>
      </x:c>
      <x:c r="G223" s="20" t="str">
        <x:v># / base</x:v>
      </x:c>
      <x:c r="H223" s="20" t="n">
        <x:v>59</x:v>
      </x:c>
      <x:c r="I223" s="20" t="str">
        <x:v>Historical Dummy</x:v>
      </x:c>
      <x:c r="J223" s="20" t="str">
        <x:v>YES</x:v>
      </x:c>
    </x:row>
    <x:row r="224">
      <x:c r="A224" s="20" t="str">
        <x:v>LEG-003_CUR</x:v>
      </x:c>
      <x:c r="B224" s="20" t="n">
        <x:v>2025</x:v>
      </x:c>
      <x:c r="C224" s="20" t="str">
        <x:v>Jurídico</x:v>
      </x:c>
      <x:c r="D224" s="20" t="str">
        <x:v>LEG-003</x:v>
      </x:c>
      <x:c r="E224" s="20" t="str">
        <x:v>CUR</x:v>
      </x:c>
      <x:c r="F224" s="20" t="str">
        <x:v>número actual</x:v>
      </x:c>
      <x:c r="G224" s="20" t="str">
        <x:v># / base</x:v>
      </x:c>
      <x:c r="H224" s="20" t="n">
        <x:v>54</x:v>
      </x:c>
      <x:c r="I224" s="20" t="str">
        <x:v>Historical Dummy</x:v>
      </x:c>
      <x:c r="J224" s="20" t="str">
        <x:v>YES</x:v>
      </x:c>
    </x:row>
    <x:row r="225">
      <x:c r="A225" s="20" t="str">
        <x:v>LEG-003_CUR</x:v>
      </x:c>
      <x:c r="B225" s="20" t="n">
        <x:v>2026</x:v>
      </x:c>
      <x:c r="C225" s="20" t="str">
        <x:v>Jurídico</x:v>
      </x:c>
      <x:c r="D225" s="20" t="str">
        <x:v>LEG-003</x:v>
      </x:c>
      <x:c r="E225" s="20" t="str">
        <x:v>CUR</x:v>
      </x:c>
      <x:c r="F225" s="20" t="str">
        <x:v>número actual</x:v>
      </x:c>
      <x:c r="G225" s="20" t="str">
        <x:v># / base</x:v>
      </x:c>
      <x:c r="H225" s="20" t="n">
        <x:v>48</x:v>
      </x:c>
      <x:c r="I225" s="20" t="str">
        <x:v>Plan-Year Dummy</x:v>
      </x:c>
      <x:c r="J225" s="20" t="str">
        <x:v>YES</x:v>
      </x:c>
    </x:row>
    <x:row r="226">
      <x:c r="A226" s="20" t="str">
        <x:v>LEG-004_BASE</x:v>
      </x:c>
      <x:c r="B226" s="20" t="n">
        <x:v>2023</x:v>
      </x:c>
      <x:c r="C226" s="20" t="str">
        <x:v>Jurídico</x:v>
      </x:c>
      <x:c r="D226" s="20" t="str">
        <x:v>LEG-004</x:v>
      </x:c>
      <x:c r="E226" s="20" t="str">
        <x:v>BASE</x:v>
      </x:c>
      <x:c r="F226" s="20" t="str">
        <x:v>Procesos/transacciones duplicadas baseline</x:v>
      </x:c>
      <x:c r="G226" s="20" t="str">
        <x:v># / base</x:v>
      </x:c>
      <x:c r="H226" s="20" t="n">
        <x:v>100</x:v>
      </x:c>
      <x:c r="I226" s="20" t="str">
        <x:v>Historical Dummy</x:v>
      </x:c>
      <x:c r="J226" s="20" t="str">
        <x:v>YES</x:v>
      </x:c>
    </x:row>
    <x:row r="227">
      <x:c r="A227" s="20" t="str">
        <x:v>LEG-004_BASE</x:v>
      </x:c>
      <x:c r="B227" s="20" t="n">
        <x:v>2024</x:v>
      </x:c>
      <x:c r="C227" s="20" t="str">
        <x:v>Jurídico</x:v>
      </x:c>
      <x:c r="D227" s="20" t="str">
        <x:v>LEG-004</x:v>
      </x:c>
      <x:c r="E227" s="20" t="str">
        <x:v>BASE</x:v>
      </x:c>
      <x:c r="F227" s="20" t="str">
        <x:v>Procesos/transacciones duplicadas baseline</x:v>
      </x:c>
      <x:c r="G227" s="20" t="str">
        <x:v># / base</x:v>
      </x:c>
      <x:c r="H227" s="20" t="n">
        <x:v>100</x:v>
      </x:c>
      <x:c r="I227" s="20" t="str">
        <x:v>Historical Dummy</x:v>
      </x:c>
      <x:c r="J227" s="20" t="str">
        <x:v>YES</x:v>
      </x:c>
    </x:row>
    <x:row r="228">
      <x:c r="A228" s="20" t="str">
        <x:v>LEG-004_BASE</x:v>
      </x:c>
      <x:c r="B228" s="20" t="n">
        <x:v>2025</x:v>
      </x:c>
      <x:c r="C228" s="20" t="str">
        <x:v>Jurídico</x:v>
      </x:c>
      <x:c r="D228" s="20" t="str">
        <x:v>LEG-004</x:v>
      </x:c>
      <x:c r="E228" s="20" t="str">
        <x:v>BASE</x:v>
      </x:c>
      <x:c r="F228" s="20" t="str">
        <x:v>Procesos/transacciones duplicadas baseline</x:v>
      </x:c>
      <x:c r="G228" s="20" t="str">
        <x:v># / base</x:v>
      </x:c>
      <x:c r="H228" s="20" t="n">
        <x:v>100</x:v>
      </x:c>
      <x:c r="I228" s="20" t="str">
        <x:v>Historical Dummy</x:v>
      </x:c>
      <x:c r="J228" s="20" t="str">
        <x:v>YES</x:v>
      </x:c>
    </x:row>
    <x:row r="229">
      <x:c r="A229" s="20" t="str">
        <x:v>LEG-004_BASE</x:v>
      </x:c>
      <x:c r="B229" s="20" t="n">
        <x:v>2026</x:v>
      </x:c>
      <x:c r="C229" s="20" t="str">
        <x:v>Jurídico</x:v>
      </x:c>
      <x:c r="D229" s="20" t="str">
        <x:v>LEG-004</x:v>
      </x:c>
      <x:c r="E229" s="20" t="str">
        <x:v>BASE</x:v>
      </x:c>
      <x:c r="F229" s="20" t="str">
        <x:v>Procesos/transacciones duplicadas baseline</x:v>
      </x:c>
      <x:c r="G229" s="20" t="str">
        <x:v># / base</x:v>
      </x:c>
      <x:c r="H229" s="20" t="n">
        <x:v>100</x:v>
      </x:c>
      <x:c r="I229" s="20" t="str">
        <x:v>Plan-Year Dummy</x:v>
      </x:c>
      <x:c r="J229" s="20" t="str">
        <x:v>YES</x:v>
      </x:c>
    </x:row>
    <x:row r="230">
      <x:c r="A230" s="20" t="str">
        <x:v>LEG-004_CUR</x:v>
      </x:c>
      <x:c r="B230" s="20" t="n">
        <x:v>2023</x:v>
      </x:c>
      <x:c r="C230" s="20" t="str">
        <x:v>Jurídico</x:v>
      </x:c>
      <x:c r="D230" s="20" t="str">
        <x:v>LEG-004</x:v>
      </x:c>
      <x:c r="E230" s="20" t="str">
        <x:v>CUR</x:v>
      </x:c>
      <x:c r="F230" s="20" t="str">
        <x:v>actuales</x:v>
      </x:c>
      <x:c r="G230" s="20" t="str">
        <x:v># / base</x:v>
      </x:c>
      <x:c r="H230" s="20" t="n">
        <x:v>64</x:v>
      </x:c>
      <x:c r="I230" s="20" t="str">
        <x:v>Historical Dummy</x:v>
      </x:c>
      <x:c r="J230" s="20" t="str">
        <x:v>YES</x:v>
      </x:c>
    </x:row>
    <x:row r="231">
      <x:c r="A231" s="20" t="str">
        <x:v>LEG-004_CUR</x:v>
      </x:c>
      <x:c r="B231" s="20" t="n">
        <x:v>2024</x:v>
      </x:c>
      <x:c r="C231" s="20" t="str">
        <x:v>Jurídico</x:v>
      </x:c>
      <x:c r="D231" s="20" t="str">
        <x:v>LEG-004</x:v>
      </x:c>
      <x:c r="E231" s="20" t="str">
        <x:v>CUR</x:v>
      </x:c>
      <x:c r="F231" s="20" t="str">
        <x:v>actuales</x:v>
      </x:c>
      <x:c r="G231" s="20" t="str">
        <x:v># / base</x:v>
      </x:c>
      <x:c r="H231" s="20" t="n">
        <x:v>59</x:v>
      </x:c>
      <x:c r="I231" s="20" t="str">
        <x:v>Historical Dummy</x:v>
      </x:c>
      <x:c r="J231" s="20" t="str">
        <x:v>YES</x:v>
      </x:c>
    </x:row>
    <x:row r="232">
      <x:c r="A232" s="20" t="str">
        <x:v>LEG-004_CUR</x:v>
      </x:c>
      <x:c r="B232" s="20" t="n">
        <x:v>2025</x:v>
      </x:c>
      <x:c r="C232" s="20" t="str">
        <x:v>Jurídico</x:v>
      </x:c>
      <x:c r="D232" s="20" t="str">
        <x:v>LEG-004</x:v>
      </x:c>
      <x:c r="E232" s="20" t="str">
        <x:v>CUR</x:v>
      </x:c>
      <x:c r="F232" s="20" t="str">
        <x:v>actuales</x:v>
      </x:c>
      <x:c r="G232" s="20" t="str">
        <x:v># / base</x:v>
      </x:c>
      <x:c r="H232" s="20" t="n">
        <x:v>54</x:v>
      </x:c>
      <x:c r="I232" s="20" t="str">
        <x:v>Historical Dummy</x:v>
      </x:c>
      <x:c r="J232" s="20" t="str">
        <x:v>YES</x:v>
      </x:c>
    </x:row>
    <x:row r="233">
      <x:c r="A233" s="20" t="str">
        <x:v>LEG-004_CUR</x:v>
      </x:c>
      <x:c r="B233" s="20" t="n">
        <x:v>2026</x:v>
      </x:c>
      <x:c r="C233" s="20" t="str">
        <x:v>Jurídico</x:v>
      </x:c>
      <x:c r="D233" s="20" t="str">
        <x:v>LEG-004</x:v>
      </x:c>
      <x:c r="E233" s="20" t="str">
        <x:v>CUR</x:v>
      </x:c>
      <x:c r="F233" s="20" t="str">
        <x:v>actuales</x:v>
      </x:c>
      <x:c r="G233" s="20" t="str">
        <x:v># / base</x:v>
      </x:c>
      <x:c r="H233" s="20" t="n">
        <x:v>48</x:v>
      </x:c>
      <x:c r="I233" s="20" t="str">
        <x:v>Plan-Year Dummy</x:v>
      </x:c>
      <x:c r="J233" s="20" t="str">
        <x:v>YES</x:v>
      </x:c>
    </x:row>
    <x:row r="234">
      <x:c r="A234" s="20" t="str">
        <x:v>LEG-005_BASE</x:v>
      </x:c>
      <x:c r="B234" s="20" t="n">
        <x:v>2023</x:v>
      </x:c>
      <x:c r="C234" s="20" t="str">
        <x:v>Jurídico</x:v>
      </x:c>
      <x:c r="D234" s="20" t="str">
        <x:v>LEG-005</x:v>
      </x:c>
      <x:c r="E234" s="20" t="str">
        <x:v>BASE</x:v>
      </x:c>
      <x:c r="F234" s="20" t="str">
        <x:v>Costo baseline comparable</x:v>
      </x:c>
      <x:c r="G234" s="20" t="str">
        <x:v>Moneda</x:v>
      </x:c>
      <x:c r="H234" s="20" t="n">
        <x:v>1200000</x:v>
      </x:c>
      <x:c r="I234" s="20" t="str">
        <x:v>Historical Dummy</x:v>
      </x:c>
      <x:c r="J234" s="20" t="str">
        <x:v>YES</x:v>
      </x:c>
    </x:row>
    <x:row r="235">
      <x:c r="A235" s="20" t="str">
        <x:v>LEG-005_BASE</x:v>
      </x:c>
      <x:c r="B235" s="20" t="n">
        <x:v>2024</x:v>
      </x:c>
      <x:c r="C235" s="20" t="str">
        <x:v>Jurídico</x:v>
      </x:c>
      <x:c r="D235" s="20" t="str">
        <x:v>LEG-005</x:v>
      </x:c>
      <x:c r="E235" s="20" t="str">
        <x:v>BASE</x:v>
      </x:c>
      <x:c r="F235" s="20" t="str">
        <x:v>Costo baseline comparable</x:v>
      </x:c>
      <x:c r="G235" s="20" t="str">
        <x:v>Moneda</x:v>
      </x:c>
      <x:c r="H235" s="20" t="n">
        <x:v>1248000</x:v>
      </x:c>
      <x:c r="I235" s="20" t="str">
        <x:v>Historical Dummy</x:v>
      </x:c>
      <x:c r="J235" s="20" t="str">
        <x:v>YES</x:v>
      </x:c>
    </x:row>
    <x:row r="236">
      <x:c r="A236" s="20" t="str">
        <x:v>LEG-005_BASE</x:v>
      </x:c>
      <x:c r="B236" s="20" t="n">
        <x:v>2025</x:v>
      </x:c>
      <x:c r="C236" s="20" t="str">
        <x:v>Jurídico</x:v>
      </x:c>
      <x:c r="D236" s="20" t="str">
        <x:v>LEG-005</x:v>
      </x:c>
      <x:c r="E236" s="20" t="str">
        <x:v>BASE</x:v>
      </x:c>
      <x:c r="F236" s="20" t="str">
        <x:v>Costo baseline comparable</x:v>
      </x:c>
      <x:c r="G236" s="20" t="str">
        <x:v>Moneda</x:v>
      </x:c>
      <x:c r="H236" s="20" t="n">
        <x:v>1296000</x:v>
      </x:c>
      <x:c r="I236" s="20" t="str">
        <x:v>Historical Dummy</x:v>
      </x:c>
      <x:c r="J236" s="20" t="str">
        <x:v>YES</x:v>
      </x:c>
    </x:row>
    <x:row r="237">
      <x:c r="A237" s="20" t="str">
        <x:v>LEG-005_BASE</x:v>
      </x:c>
      <x:c r="B237" s="20" t="n">
        <x:v>2026</x:v>
      </x:c>
      <x:c r="C237" s="20" t="str">
        <x:v>Jurídico</x:v>
      </x:c>
      <x:c r="D237" s="20" t="str">
        <x:v>LEG-005</x:v>
      </x:c>
      <x:c r="E237" s="20" t="str">
        <x:v>BASE</x:v>
      </x:c>
      <x:c r="F237" s="20" t="str">
        <x:v>Costo baseline comparable</x:v>
      </x:c>
      <x:c r="G237" s="20" t="str">
        <x:v>Moneda</x:v>
      </x:c>
      <x:c r="H237" s="20" t="n">
        <x:v>1344000</x:v>
      </x:c>
      <x:c r="I237" s="20" t="str">
        <x:v>Plan-Year Dummy</x:v>
      </x:c>
      <x:c r="J237" s="20" t="str">
        <x:v>YES</x:v>
      </x:c>
    </x:row>
    <x:row r="238">
      <x:c r="A238" s="20" t="str">
        <x:v>LEG-005_CUR</x:v>
      </x:c>
      <x:c r="B238" s="20" t="n">
        <x:v>2023</x:v>
      </x:c>
      <x:c r="C238" s="20" t="str">
        <x:v>Jurídico</x:v>
      </x:c>
      <x:c r="D238" s="20" t="str">
        <x:v>LEG-005</x:v>
      </x:c>
      <x:c r="E238" s="20" t="str">
        <x:v>CUR</x:v>
      </x:c>
      <x:c r="F238" s="20" t="str">
        <x:v>costo actual comparable</x:v>
      </x:c>
      <x:c r="G238" s="20" t="str">
        <x:v>Moneda</x:v>
      </x:c>
      <x:c r="H238" s="20" t="n">
        <x:v>1044000</x:v>
      </x:c>
      <x:c r="I238" s="20" t="str">
        <x:v>Historical Dummy</x:v>
      </x:c>
      <x:c r="J238" s="20" t="str">
        <x:v>YES</x:v>
      </x:c>
    </x:row>
    <x:row r="239">
      <x:c r="A239" s="20" t="str">
        <x:v>LEG-005_CUR</x:v>
      </x:c>
      <x:c r="B239" s="20" t="n">
        <x:v>2024</x:v>
      </x:c>
      <x:c r="C239" s="20" t="str">
        <x:v>Jurídico</x:v>
      </x:c>
      <x:c r="D239" s="20" t="str">
        <x:v>LEG-005</x:v>
      </x:c>
      <x:c r="E239" s="20" t="str">
        <x:v>CUR</x:v>
      </x:c>
      <x:c r="F239" s="20" t="str">
        <x:v>costo actual comparable</x:v>
      </x:c>
      <x:c r="G239" s="20" t="str">
        <x:v>Moneda</x:v>
      </x:c>
      <x:c r="H239" s="20" t="n">
        <x:v>1053312</x:v>
      </x:c>
      <x:c r="I239" s="20" t="str">
        <x:v>Historical Dummy</x:v>
      </x:c>
      <x:c r="J239" s="20" t="str">
        <x:v>YES</x:v>
      </x:c>
    </x:row>
    <x:row r="240">
      <x:c r="A240" s="20" t="str">
        <x:v>LEG-005_CUR</x:v>
      </x:c>
      <x:c r="B240" s="20" t="n">
        <x:v>2025</x:v>
      </x:c>
      <x:c r="C240" s="20" t="str">
        <x:v>Jurídico</x:v>
      </x:c>
      <x:c r="D240" s="20" t="str">
        <x:v>LEG-005</x:v>
      </x:c>
      <x:c r="E240" s="20" t="str">
        <x:v>CUR</x:v>
      </x:c>
      <x:c r="F240" s="20" t="str">
        <x:v>costo actual comparable</x:v>
      </x:c>
      <x:c r="G240" s="20" t="str">
        <x:v>Moneda</x:v>
      </x:c>
      <x:c r="H240" s="20" t="n">
        <x:v>1062720</x:v>
      </x:c>
      <x:c r="I240" s="20" t="str">
        <x:v>Historical Dummy</x:v>
      </x:c>
      <x:c r="J240" s="20" t="str">
        <x:v>YES</x:v>
      </x:c>
    </x:row>
    <x:row r="241">
      <x:c r="A241" s="20" t="str">
        <x:v>LEG-005_CUR</x:v>
      </x:c>
      <x:c r="B241" s="20" t="n">
        <x:v>2026</x:v>
      </x:c>
      <x:c r="C241" s="20" t="str">
        <x:v>Jurídico</x:v>
      </x:c>
      <x:c r="D241" s="20" t="str">
        <x:v>LEG-005</x:v>
      </x:c>
      <x:c r="E241" s="20" t="str">
        <x:v>CUR</x:v>
      </x:c>
      <x:c r="F241" s="20" t="str">
        <x:v>costo actual comparable</x:v>
      </x:c>
      <x:c r="G241" s="20" t="str">
        <x:v>Moneda</x:v>
      </x:c>
      <x:c r="H241" s="20" t="n">
        <x:v>1069824</x:v>
      </x:c>
      <x:c r="I241" s="20" t="str">
        <x:v>Plan-Year Dummy</x:v>
      </x:c>
      <x:c r="J241" s="20" t="str">
        <x:v>YES</x:v>
      </x:c>
    </x:row>
    <x:row r="242">
      <x:c r="A242" s="20" t="str">
        <x:v>LEG-006_NUM</x:v>
      </x:c>
      <x:c r="B242" s="20" t="n">
        <x:v>2023</x:v>
      </x:c>
      <x:c r="C242" s="20" t="str">
        <x:v>Jurídico</x:v>
      </x:c>
      <x:c r="D242" s="20" t="str">
        <x:v>LEG-006</x:v>
      </x:c>
      <x:c r="E242" s="20" t="str">
        <x:v>NUM</x:v>
      </x:c>
      <x:c r="F242" s="20" t="str">
        <x:v>Miembros del equipo Jurídico con certificación vigente</x:v>
      </x:c>
      <x:c r="G242" s="20" t="str">
        <x:v># / base</x:v>
      </x:c>
      <x:c r="H242" s="20" t="n">
        <x:v>29</x:v>
      </x:c>
      <x:c r="I242" s="20" t="str">
        <x:v>Historical Dummy</x:v>
      </x:c>
      <x:c r="J242" s="20" t="str">
        <x:v>YES</x:v>
      </x:c>
    </x:row>
    <x:row r="243">
      <x:c r="A243" s="20" t="str">
        <x:v>LEG-006_NUM</x:v>
      </x:c>
      <x:c r="B243" s="20" t="n">
        <x:v>2024</x:v>
      </x:c>
      <x:c r="C243" s="20" t="str">
        <x:v>Jurídico</x:v>
      </x:c>
      <x:c r="D243" s="20" t="str">
        <x:v>LEG-006</x:v>
      </x:c>
      <x:c r="E243" s="20" t="str">
        <x:v>NUM</x:v>
      </x:c>
      <x:c r="F243" s="20" t="str">
        <x:v>Miembros del equipo Jurídico con certificación vigente</x:v>
      </x:c>
      <x:c r="G243" s="20" t="str">
        <x:v># / base</x:v>
      </x:c>
      <x:c r="H243" s="20" t="n">
        <x:v>34</x:v>
      </x:c>
      <x:c r="I243" s="20" t="str">
        <x:v>Historical Dummy</x:v>
      </x:c>
      <x:c r="J243" s="20" t="str">
        <x:v>YES</x:v>
      </x:c>
    </x:row>
    <x:row r="244">
      <x:c r="A244" s="20" t="str">
        <x:v>LEG-006_NUM</x:v>
      </x:c>
      <x:c r="B244" s="20" t="n">
        <x:v>2025</x:v>
      </x:c>
      <x:c r="C244" s="20" t="str">
        <x:v>Jurídico</x:v>
      </x:c>
      <x:c r="D244" s="20" t="str">
        <x:v>LEG-006</x:v>
      </x:c>
      <x:c r="E244" s="20" t="str">
        <x:v>NUM</x:v>
      </x:c>
      <x:c r="F244" s="20" t="str">
        <x:v>Miembros del equipo Jurídico con certificación vigente</x:v>
      </x:c>
      <x:c r="G244" s="20" t="str">
        <x:v># / base</x:v>
      </x:c>
      <x:c r="H244" s="20" t="n">
        <x:v>39</x:v>
      </x:c>
      <x:c r="I244" s="20" t="str">
        <x:v>Historical Dummy</x:v>
      </x:c>
      <x:c r="J244" s="20" t="str">
        <x:v>YES</x:v>
      </x:c>
    </x:row>
    <x:row r="245">
      <x:c r="A245" s="20" t="str">
        <x:v>LEG-006_NUM</x:v>
      </x:c>
      <x:c r="B245" s="20" t="n">
        <x:v>2026</x:v>
      </x:c>
      <x:c r="C245" s="20" t="str">
        <x:v>Jurídico</x:v>
      </x:c>
      <x:c r="D245" s="20" t="str">
        <x:v>LEG-006</x:v>
      </x:c>
      <x:c r="E245" s="20" t="str">
        <x:v>NUM</x:v>
      </x:c>
      <x:c r="F245" s="20" t="str">
        <x:v>Miembros del equipo Jurídico con certificación vigente</x:v>
      </x:c>
      <x:c r="G245" s="20" t="str">
        <x:v># / base</x:v>
      </x:c>
      <x:c r="H245" s="20" t="n">
        <x:v>44</x:v>
      </x:c>
      <x:c r="I245" s="20" t="str">
        <x:v>Plan-Year Dummy</x:v>
      </x:c>
      <x:c r="J245" s="20" t="str">
        <x:v>YES</x:v>
      </x:c>
    </x:row>
    <x:row r="246">
      <x:c r="A246" s="20" t="str">
        <x:v>LEG-006_DEN</x:v>
      </x:c>
      <x:c r="B246" s="20" t="n">
        <x:v>2023</x:v>
      </x:c>
      <x:c r="C246" s="20" t="str">
        <x:v>Jurídico</x:v>
      </x:c>
      <x:c r="D246" s="20" t="str">
        <x:v>LEG-006</x:v>
      </x:c>
      <x:c r="E246" s="20" t="str">
        <x:v>DEN</x:v>
      </x:c>
      <x:c r="F246" s="20" t="str">
        <x:v>miembros que requieren certificación</x:v>
      </x:c>
      <x:c r="G246" s="20" t="str">
        <x:v># / base</x:v>
      </x:c>
      <x:c r="H246" s="20" t="n">
        <x:v>35</x:v>
      </x:c>
      <x:c r="I246" s="20" t="str">
        <x:v>Historical Dummy</x:v>
      </x:c>
      <x:c r="J246" s="20" t="str">
        <x:v>YES</x:v>
      </x:c>
    </x:row>
    <x:row r="247">
      <x:c r="A247" s="20" t="str">
        <x:v>LEG-006_DEN</x:v>
      </x:c>
      <x:c r="B247" s="20" t="n">
        <x:v>2024</x:v>
      </x:c>
      <x:c r="C247" s="20" t="str">
        <x:v>Jurídico</x:v>
      </x:c>
      <x:c r="D247" s="20" t="str">
        <x:v>LEG-006</x:v>
      </x:c>
      <x:c r="E247" s="20" t="str">
        <x:v>DEN</x:v>
      </x:c>
      <x:c r="F247" s="20" t="str">
        <x:v>miembros que requieren certificación</x:v>
      </x:c>
      <x:c r="G247" s="20" t="str">
        <x:v># / base</x:v>
      </x:c>
      <x:c r="H247" s="20" t="n">
        <x:v>38</x:v>
      </x:c>
      <x:c r="I247" s="20" t="str">
        <x:v>Historical Dummy</x:v>
      </x:c>
      <x:c r="J247" s="20" t="str">
        <x:v>YES</x:v>
      </x:c>
    </x:row>
    <x:row r="248">
      <x:c r="A248" s="20" t="str">
        <x:v>LEG-006_DEN</x:v>
      </x:c>
      <x:c r="B248" s="20" t="n">
        <x:v>2025</x:v>
      </x:c>
      <x:c r="C248" s="20" t="str">
        <x:v>Jurídico</x:v>
      </x:c>
      <x:c r="D248" s="20" t="str">
        <x:v>LEG-006</x:v>
      </x:c>
      <x:c r="E248" s="20" t="str">
        <x:v>DEN</x:v>
      </x:c>
      <x:c r="F248" s="20" t="str">
        <x:v>miembros que requieren certificación</x:v>
      </x:c>
      <x:c r="G248" s="20" t="str">
        <x:v># / base</x:v>
      </x:c>
      <x:c r="H248" s="20" t="n">
        <x:v>41</x:v>
      </x:c>
      <x:c r="I248" s="20" t="str">
        <x:v>Historical Dummy</x:v>
      </x:c>
      <x:c r="J248" s="20" t="str">
        <x:v>YES</x:v>
      </x:c>
    </x:row>
    <x:row r="249">
      <x:c r="A249" s="20" t="str">
        <x:v>LEG-006_DEN</x:v>
      </x:c>
      <x:c r="B249" s="20" t="n">
        <x:v>2026</x:v>
      </x:c>
      <x:c r="C249" s="20" t="str">
        <x:v>Jurídico</x:v>
      </x:c>
      <x:c r="D249" s="20" t="str">
        <x:v>LEG-006</x:v>
      </x:c>
      <x:c r="E249" s="20" t="str">
        <x:v>DEN</x:v>
      </x:c>
      <x:c r="F249" s="20" t="str">
        <x:v>miembros que requieren certificación</x:v>
      </x:c>
      <x:c r="G249" s="20" t="str">
        <x:v># / base</x:v>
      </x:c>
      <x:c r="H249" s="20" t="n">
        <x:v>44</x:v>
      </x:c>
      <x:c r="I249" s="20" t="str">
        <x:v>Plan-Year Dummy</x:v>
      </x:c>
      <x:c r="J249" s="20" t="str">
        <x:v>YES</x:v>
      </x:c>
    </x:row>
    <x:row r="250">
      <x:c r="A250" s="20" t="str">
        <x:v>LEG-008_NUM</x:v>
      </x:c>
      <x:c r="B250" s="20" t="n">
        <x:v>2023</x:v>
      </x:c>
      <x:c r="C250" s="20" t="str">
        <x:v>Jurídico</x:v>
      </x:c>
      <x:c r="D250" s="20" t="str">
        <x:v>LEG-008</x:v>
      </x:c>
      <x:c r="E250" s="20" t="str">
        <x:v>NUM</x:v>
      </x:c>
      <x:c r="F250" s="20" t="str">
        <x:v>Usuarios objetivo que utilizan WEBDOX para los procesos definidos en el periodo</x:v>
      </x:c>
      <x:c r="G250" s="20" t="str">
        <x:v># / base</x:v>
      </x:c>
      <x:c r="H250" s="20" t="n">
        <x:v>27</x:v>
      </x:c>
      <x:c r="I250" s="20" t="str">
        <x:v>Historical Dummy</x:v>
      </x:c>
      <x:c r="J250" s="20" t="str">
        <x:v>YES</x:v>
      </x:c>
    </x:row>
    <x:row r="251">
      <x:c r="A251" s="20" t="str">
        <x:v>LEG-008_NUM</x:v>
      </x:c>
      <x:c r="B251" s="20" t="n">
        <x:v>2024</x:v>
      </x:c>
      <x:c r="C251" s="20" t="str">
        <x:v>Jurídico</x:v>
      </x:c>
      <x:c r="D251" s="20" t="str">
        <x:v>LEG-008</x:v>
      </x:c>
      <x:c r="E251" s="20" t="str">
        <x:v>NUM</x:v>
      </x:c>
      <x:c r="F251" s="20" t="str">
        <x:v>Usuarios objetivo que utilizan WEBDOX para los procesos definidos en el periodo</x:v>
      </x:c>
      <x:c r="G251" s="20" t="str">
        <x:v># / base</x:v>
      </x:c>
      <x:c r="H251" s="20" t="n">
        <x:v>31</x:v>
      </x:c>
      <x:c r="I251" s="20" t="str">
        <x:v>Historical Dummy</x:v>
      </x:c>
      <x:c r="J251" s="20" t="str">
        <x:v>YES</x:v>
      </x:c>
    </x:row>
    <x:row r="252">
      <x:c r="A252" s="20" t="str">
        <x:v>LEG-008_NUM</x:v>
      </x:c>
      <x:c r="B252" s="20" t="n">
        <x:v>2025</x:v>
      </x:c>
      <x:c r="C252" s="20" t="str">
        <x:v>Jurídico</x:v>
      </x:c>
      <x:c r="D252" s="20" t="str">
        <x:v>LEG-008</x:v>
      </x:c>
      <x:c r="E252" s="20" t="str">
        <x:v>NUM</x:v>
      </x:c>
      <x:c r="F252" s="20" t="str">
        <x:v>Usuarios objetivo que utilizan WEBDOX para los procesos definidos en el periodo</x:v>
      </x:c>
      <x:c r="G252" s="20" t="str">
        <x:v># / base</x:v>
      </x:c>
      <x:c r="H252" s="20" t="n">
        <x:v>35</x:v>
      </x:c>
      <x:c r="I252" s="20" t="str">
        <x:v>Historical Dummy</x:v>
      </x:c>
      <x:c r="J252" s="20" t="str">
        <x:v>YES</x:v>
      </x:c>
    </x:row>
    <x:row r="253">
      <x:c r="A253" s="20" t="str">
        <x:v>LEG-008_NUM</x:v>
      </x:c>
      <x:c r="B253" s="20" t="n">
        <x:v>2026</x:v>
      </x:c>
      <x:c r="C253" s="20" t="str">
        <x:v>Jurídico</x:v>
      </x:c>
      <x:c r="D253" s="20" t="str">
        <x:v>LEG-008</x:v>
      </x:c>
      <x:c r="E253" s="20" t="str">
        <x:v>NUM</x:v>
      </x:c>
      <x:c r="F253" s="20" t="str">
        <x:v>Usuarios objetivo que utilizan WEBDOX para los procesos definidos en el periodo</x:v>
      </x:c>
      <x:c r="G253" s="20" t="str">
        <x:v># / base</x:v>
      </x:c>
      <x:c r="H253" s="20" t="n">
        <x:v>40</x:v>
      </x:c>
      <x:c r="I253" s="20" t="str">
        <x:v>Plan-Year Dummy</x:v>
      </x:c>
      <x:c r="J253" s="20" t="str">
        <x:v>YES</x:v>
      </x:c>
    </x:row>
    <x:row r="254">
      <x:c r="A254" s="20" t="str">
        <x:v>LEG-008_DEN</x:v>
      </x:c>
      <x:c r="B254" s="20" t="n">
        <x:v>2023</x:v>
      </x:c>
      <x:c r="C254" s="20" t="str">
        <x:v>Jurídico</x:v>
      </x:c>
      <x:c r="D254" s="20" t="str">
        <x:v>LEG-008</x:v>
      </x:c>
      <x:c r="E254" s="20" t="str">
        <x:v>DEN</x:v>
      </x:c>
      <x:c r="F254" s="20" t="str">
        <x:v>usuarios objetivo</x:v>
      </x:c>
      <x:c r="G254" s="20" t="str">
        <x:v># / base</x:v>
      </x:c>
      <x:c r="H254" s="20" t="n">
        <x:v>35</x:v>
      </x:c>
      <x:c r="I254" s="20" t="str">
        <x:v>Historical Dummy</x:v>
      </x:c>
      <x:c r="J254" s="20" t="str">
        <x:v>YES</x:v>
      </x:c>
    </x:row>
    <x:row r="255">
      <x:c r="A255" s="20" t="str">
        <x:v>LEG-008_DEN</x:v>
      </x:c>
      <x:c r="B255" s="20" t="n">
        <x:v>2024</x:v>
      </x:c>
      <x:c r="C255" s="20" t="str">
        <x:v>Jurídico</x:v>
      </x:c>
      <x:c r="D255" s="20" t="str">
        <x:v>LEG-008</x:v>
      </x:c>
      <x:c r="E255" s="20" t="str">
        <x:v>DEN</x:v>
      </x:c>
      <x:c r="F255" s="20" t="str">
        <x:v>usuarios objetivo</x:v>
      </x:c>
      <x:c r="G255" s="20" t="str">
        <x:v># / base</x:v>
      </x:c>
      <x:c r="H255" s="20" t="n">
        <x:v>38</x:v>
      </x:c>
      <x:c r="I255" s="20" t="str">
        <x:v>Historical Dummy</x:v>
      </x:c>
      <x:c r="J255" s="20" t="str">
        <x:v>YES</x:v>
      </x:c>
    </x:row>
    <x:row r="256">
      <x:c r="A256" s="20" t="str">
        <x:v>LEG-008_DEN</x:v>
      </x:c>
      <x:c r="B256" s="20" t="n">
        <x:v>2025</x:v>
      </x:c>
      <x:c r="C256" s="20" t="str">
        <x:v>Jurídico</x:v>
      </x:c>
      <x:c r="D256" s="20" t="str">
        <x:v>LEG-008</x:v>
      </x:c>
      <x:c r="E256" s="20" t="str">
        <x:v>DEN</x:v>
      </x:c>
      <x:c r="F256" s="20" t="str">
        <x:v>usuarios objetivo</x:v>
      </x:c>
      <x:c r="G256" s="20" t="str">
        <x:v># / base</x:v>
      </x:c>
      <x:c r="H256" s="20" t="n">
        <x:v>41</x:v>
      </x:c>
      <x:c r="I256" s="20" t="str">
        <x:v>Historical Dummy</x:v>
      </x:c>
      <x:c r="J256" s="20" t="str">
        <x:v>YES</x:v>
      </x:c>
    </x:row>
    <x:row r="257">
      <x:c r="A257" s="20" t="str">
        <x:v>LEG-008_DEN</x:v>
      </x:c>
      <x:c r="B257" s="20" t="n">
        <x:v>2026</x:v>
      </x:c>
      <x:c r="C257" s="20" t="str">
        <x:v>Jurídico</x:v>
      </x:c>
      <x:c r="D257" s="20" t="str">
        <x:v>LEG-008</x:v>
      </x:c>
      <x:c r="E257" s="20" t="str">
        <x:v>DEN</x:v>
      </x:c>
      <x:c r="F257" s="20" t="str">
        <x:v>usuarios objetivo</x:v>
      </x:c>
      <x:c r="G257" s="20" t="str">
        <x:v># / base</x:v>
      </x:c>
      <x:c r="H257" s="20" t="n">
        <x:v>44</x:v>
      </x:c>
      <x:c r="I257" s="20" t="str">
        <x:v>Plan-Year Dummy</x:v>
      </x:c>
      <x:c r="J257" s="20" t="str">
        <x:v>YES</x:v>
      </x:c>
    </x:row>
    <x:row r="258">
      <x:c r="A258" s="20" t="str">
        <x:v>LEG-009_NUM</x:v>
      </x:c>
      <x:c r="B258" s="20" t="n">
        <x:v>2023</x:v>
      </x:c>
      <x:c r="C258" s="20" t="str">
        <x:v>Jurídico</x:v>
      </x:c>
      <x:c r="D258" s="20" t="str">
        <x:v>LEG-009</x:v>
      </x:c>
      <x:c r="E258" s="20" t="str">
        <x:v>NUM</x:v>
      </x:c>
      <x:c r="F258" s="20" t="str">
        <x:v>Convenios elegibles gestionados completamente en WEBDOX</x:v>
      </x:c>
      <x:c r="G258" s="20" t="str">
        <x:v># / base</x:v>
      </x:c>
      <x:c r="H258" s="20" t="n">
        <x:v>53</x:v>
      </x:c>
      <x:c r="I258" s="20" t="str">
        <x:v>Historical Dummy</x:v>
      </x:c>
      <x:c r="J258" s="20" t="str">
        <x:v>YES</x:v>
      </x:c>
    </x:row>
    <x:row r="259">
      <x:c r="A259" s="20" t="str">
        <x:v>LEG-009_NUM</x:v>
      </x:c>
      <x:c r="B259" s="20" t="n">
        <x:v>2024</x:v>
      </x:c>
      <x:c r="C259" s="20" t="str">
        <x:v>Jurídico</x:v>
      </x:c>
      <x:c r="D259" s="20" t="str">
        <x:v>LEG-009</x:v>
      </x:c>
      <x:c r="E259" s="20" t="str">
        <x:v>NUM</x:v>
      </x:c>
      <x:c r="F259" s="20" t="str">
        <x:v>Convenios elegibles gestionados completamente en WEBDOX</x:v>
      </x:c>
      <x:c r="G259" s="20" t="str">
        <x:v># / base</x:v>
      </x:c>
      <x:c r="H259" s="20" t="n">
        <x:v>62</x:v>
      </x:c>
      <x:c r="I259" s="20" t="str">
        <x:v>Historical Dummy</x:v>
      </x:c>
      <x:c r="J259" s="20" t="str">
        <x:v>YES</x:v>
      </x:c>
    </x:row>
    <x:row r="260">
      <x:c r="A260" s="20" t="str">
        <x:v>LEG-009_NUM</x:v>
      </x:c>
      <x:c r="B260" s="20" t="n">
        <x:v>2025</x:v>
      </x:c>
      <x:c r="C260" s="20" t="str">
        <x:v>Jurídico</x:v>
      </x:c>
      <x:c r="D260" s="20" t="str">
        <x:v>LEG-009</x:v>
      </x:c>
      <x:c r="E260" s="20" t="str">
        <x:v>NUM</x:v>
      </x:c>
      <x:c r="F260" s="20" t="str">
        <x:v>Convenios elegibles gestionados completamente en WEBDOX</x:v>
      </x:c>
      <x:c r="G260" s="20" t="str">
        <x:v># / base</x:v>
      </x:c>
      <x:c r="H260" s="20" t="n">
        <x:v>70</x:v>
      </x:c>
      <x:c r="I260" s="20" t="str">
        <x:v>Historical Dummy</x:v>
      </x:c>
      <x:c r="J260" s="20" t="str">
        <x:v>YES</x:v>
      </x:c>
    </x:row>
    <x:row r="261">
      <x:c r="A261" s="20" t="str">
        <x:v>LEG-009_NUM</x:v>
      </x:c>
      <x:c r="B261" s="20" t="n">
        <x:v>2026</x:v>
      </x:c>
      <x:c r="C261" s="20" t="str">
        <x:v>Jurídico</x:v>
      </x:c>
      <x:c r="D261" s="20" t="str">
        <x:v>LEG-009</x:v>
      </x:c>
      <x:c r="E261" s="20" t="str">
        <x:v>NUM</x:v>
      </x:c>
      <x:c r="F261" s="20" t="str">
        <x:v>Convenios elegibles gestionados completamente en WEBDOX</x:v>
      </x:c>
      <x:c r="G261" s="20" t="str">
        <x:v># / base</x:v>
      </x:c>
      <x:c r="H261" s="20" t="n">
        <x:v>81</x:v>
      </x:c>
      <x:c r="I261" s="20" t="str">
        <x:v>Plan-Year Dummy</x:v>
      </x:c>
      <x:c r="J261" s="20" t="str">
        <x:v>YES</x:v>
      </x:c>
    </x:row>
    <x:row r="262">
      <x:c r="A262" s="20" t="str">
        <x:v>LEG-009_DEN</x:v>
      </x:c>
      <x:c r="B262" s="20" t="n">
        <x:v>2023</x:v>
      </x:c>
      <x:c r="C262" s="20" t="str">
        <x:v>Jurídico</x:v>
      </x:c>
      <x:c r="D262" s="20" t="str">
        <x:v>LEG-009</x:v>
      </x:c>
      <x:c r="E262" s="20" t="str">
        <x:v>DEN</x:v>
      </x:c>
      <x:c r="F262" s="20" t="str">
        <x:v>convenios elegibles</x:v>
      </x:c>
      <x:c r="G262" s="20" t="str">
        <x:v># / base</x:v>
      </x:c>
      <x:c r="H262" s="20" t="n">
        <x:v>70</x:v>
      </x:c>
      <x:c r="I262" s="20" t="str">
        <x:v>Historical Dummy</x:v>
      </x:c>
      <x:c r="J262" s="20" t="str">
        <x:v>YES</x:v>
      </x:c>
    </x:row>
    <x:row r="263">
      <x:c r="A263" s="20" t="str">
        <x:v>LEG-009_DEN</x:v>
      </x:c>
      <x:c r="B263" s="20" t="n">
        <x:v>2024</x:v>
      </x:c>
      <x:c r="C263" s="20" t="str">
        <x:v>Jurídico</x:v>
      </x:c>
      <x:c r="D263" s="20" t="str">
        <x:v>LEG-009</x:v>
      </x:c>
      <x:c r="E263" s="20" t="str">
        <x:v>DEN</x:v>
      </x:c>
      <x:c r="F263" s="20" t="str">
        <x:v>convenios elegibles</x:v>
      </x:c>
      <x:c r="G263" s="20" t="str">
        <x:v># / base</x:v>
      </x:c>
      <x:c r="H263" s="20" t="n">
        <x:v>76</x:v>
      </x:c>
      <x:c r="I263" s="20" t="str">
        <x:v>Historical Dummy</x:v>
      </x:c>
      <x:c r="J263" s="20" t="str">
        <x:v>YES</x:v>
      </x:c>
    </x:row>
    <x:row r="264">
      <x:c r="A264" s="20" t="str">
        <x:v>LEG-009_DEN</x:v>
      </x:c>
      <x:c r="B264" s="20" t="n">
        <x:v>2025</x:v>
      </x:c>
      <x:c r="C264" s="20" t="str">
        <x:v>Jurídico</x:v>
      </x:c>
      <x:c r="D264" s="20" t="str">
        <x:v>LEG-009</x:v>
      </x:c>
      <x:c r="E264" s="20" t="str">
        <x:v>DEN</x:v>
      </x:c>
      <x:c r="F264" s="20" t="str">
        <x:v>convenios elegibles</x:v>
      </x:c>
      <x:c r="G264" s="20" t="str">
        <x:v># / base</x:v>
      </x:c>
      <x:c r="H264" s="20" t="n">
        <x:v>81</x:v>
      </x:c>
      <x:c r="I264" s="20" t="str">
        <x:v>Historical Dummy</x:v>
      </x:c>
      <x:c r="J264" s="20" t="str">
        <x:v>YES</x:v>
      </x:c>
    </x:row>
    <x:row r="265">
      <x:c r="A265" s="20" t="str">
        <x:v>LEG-009_DEN</x:v>
      </x:c>
      <x:c r="B265" s="20" t="n">
        <x:v>2026</x:v>
      </x:c>
      <x:c r="C265" s="20" t="str">
        <x:v>Jurídico</x:v>
      </x:c>
      <x:c r="D265" s="20" t="str">
        <x:v>LEG-009</x:v>
      </x:c>
      <x:c r="E265" s="20" t="str">
        <x:v>DEN</x:v>
      </x:c>
      <x:c r="F265" s="20" t="str">
        <x:v>convenios elegibles</x:v>
      </x:c>
      <x:c r="G265" s="20" t="str">
        <x:v># / base</x:v>
      </x:c>
      <x:c r="H265" s="20" t="n">
        <x:v>88</x:v>
      </x:c>
      <x:c r="I265" s="20" t="str">
        <x:v>Plan-Year Dummy</x:v>
      </x:c>
      <x:c r="J265" s="20" t="str">
        <x:v>YES</x:v>
      </x:c>
    </x:row>
    <x:row r="266">
      <x:c r="A266" s="20" t="str">
        <x:v>LEG-010_NUM</x:v>
      </x:c>
      <x:c r="B266" s="20" t="n">
        <x:v>2023</x:v>
      </x:c>
      <x:c r="C266" s="20" t="str">
        <x:v>Jurídico</x:v>
      </x:c>
      <x:c r="D266" s="20" t="str">
        <x:v>LEG-010</x:v>
      </x:c>
      <x:c r="E266" s="20" t="str">
        <x:v>NUM</x:v>
      </x:c>
      <x:c r="F266" s="20" t="str">
        <x:v>Comunicaciones/campañas sujetas a revisión aprobadas sin incumplimiento material</x:v>
      </x:c>
      <x:c r="G266" s="20" t="str">
        <x:v># / base</x:v>
      </x:c>
      <x:c r="H266" s="20" t="n">
        <x:v>101</x:v>
      </x:c>
      <x:c r="I266" s="20" t="str">
        <x:v>Historical Dummy</x:v>
      </x:c>
      <x:c r="J266" s="20" t="str">
        <x:v>YES</x:v>
      </x:c>
    </x:row>
    <x:row r="267">
      <x:c r="A267" s="20" t="str">
        <x:v>LEG-010_NUM</x:v>
      </x:c>
      <x:c r="B267" s="20" t="n">
        <x:v>2024</x:v>
      </x:c>
      <x:c r="C267" s="20" t="str">
        <x:v>Jurídico</x:v>
      </x:c>
      <x:c r="D267" s="20" t="str">
        <x:v>LEG-010</x:v>
      </x:c>
      <x:c r="E267" s="20" t="str">
        <x:v>NUM</x:v>
      </x:c>
      <x:c r="F267" s="20" t="str">
        <x:v>Comunicaciones/campañas sujetas a revisión aprobadas sin incumplimiento material</x:v>
      </x:c>
      <x:c r="G267" s="20" t="str">
        <x:v># / base</x:v>
      </x:c>
      <x:c r="H267" s="20" t="n">
        <x:v>116</x:v>
      </x:c>
      <x:c r="I267" s="20" t="str">
        <x:v>Historical Dummy</x:v>
      </x:c>
      <x:c r="J267" s="20" t="str">
        <x:v>YES</x:v>
      </x:c>
    </x:row>
    <x:row r="268">
      <x:c r="A268" s="20" t="str">
        <x:v>LEG-010_NUM</x:v>
      </x:c>
      <x:c r="B268" s="20" t="n">
        <x:v>2025</x:v>
      </x:c>
      <x:c r="C268" s="20" t="str">
        <x:v>Jurídico</x:v>
      </x:c>
      <x:c r="D268" s="20" t="str">
        <x:v>LEG-010</x:v>
      </x:c>
      <x:c r="E268" s="20" t="str">
        <x:v>NUM</x:v>
      </x:c>
      <x:c r="F268" s="20" t="str">
        <x:v>Comunicaciones/campañas sujetas a revisión aprobadas sin incumplimiento material</x:v>
      </x:c>
      <x:c r="G268" s="20" t="str">
        <x:v># / base</x:v>
      </x:c>
      <x:c r="H268" s="20" t="n">
        <x:v>131</x:v>
      </x:c>
      <x:c r="I268" s="20" t="str">
        <x:v>Historical Dummy</x:v>
      </x:c>
      <x:c r="J268" s="20" t="str">
        <x:v>YES</x:v>
      </x:c>
    </x:row>
    <x:row r="269">
      <x:c r="A269" s="20" t="str">
        <x:v>LEG-010_NUM</x:v>
      </x:c>
      <x:c r="B269" s="20" t="n">
        <x:v>2026</x:v>
      </x:c>
      <x:c r="C269" s="20" t="str">
        <x:v>Jurídico</x:v>
      </x:c>
      <x:c r="D269" s="20" t="str">
        <x:v>LEG-010</x:v>
      </x:c>
      <x:c r="E269" s="20" t="str">
        <x:v>NUM</x:v>
      </x:c>
      <x:c r="F269" s="20" t="str">
        <x:v>Comunicaciones/campañas sujetas a revisión aprobadas sin incumplimiento material</x:v>
      </x:c>
      <x:c r="G269" s="20" t="str">
        <x:v># / base</x:v>
      </x:c>
      <x:c r="H269" s="20" t="n">
        <x:v>150</x:v>
      </x:c>
      <x:c r="I269" s="20" t="str">
        <x:v>Plan-Year Dummy</x:v>
      </x:c>
      <x:c r="J269" s="20" t="str">
        <x:v>YES</x:v>
      </x:c>
    </x:row>
    <x:row r="270">
      <x:c r="A270" s="20" t="str">
        <x:v>LEG-010_DEN</x:v>
      </x:c>
      <x:c r="B270" s="20" t="n">
        <x:v>2023</x:v>
      </x:c>
      <x:c r="C270" s="20" t="str">
        <x:v>Jurídico</x:v>
      </x:c>
      <x:c r="D270" s="20" t="str">
        <x:v>LEG-010</x:v>
      </x:c>
      <x:c r="E270" s="20" t="str">
        <x:v>DEN</x:v>
      </x:c>
      <x:c r="F270" s="20" t="str">
        <x:v>comunicaciones/campañas revisadas</x:v>
      </x:c>
      <x:c r="G270" s="20" t="str">
        <x:v># / base</x:v>
      </x:c>
      <x:c r="H270" s="20" t="n">
        <x:v>120</x:v>
      </x:c>
      <x:c r="I270" s="20" t="str">
        <x:v>Historical Dummy</x:v>
      </x:c>
      <x:c r="J270" s="20" t="str">
        <x:v>YES</x:v>
      </x:c>
    </x:row>
    <x:row r="271">
      <x:c r="A271" s="20" t="str">
        <x:v>LEG-010_DEN</x:v>
      </x:c>
      <x:c r="B271" s="20" t="n">
        <x:v>2024</x:v>
      </x:c>
      <x:c r="C271" s="20" t="str">
        <x:v>Jurídico</x:v>
      </x:c>
      <x:c r="D271" s="20" t="str">
        <x:v>LEG-010</x:v>
      </x:c>
      <x:c r="E271" s="20" t="str">
        <x:v>DEN</x:v>
      </x:c>
      <x:c r="F271" s="20" t="str">
        <x:v>comunicaciones/campañas revisadas</x:v>
      </x:c>
      <x:c r="G271" s="20" t="str">
        <x:v># / base</x:v>
      </x:c>
      <x:c r="H271" s="20" t="n">
        <x:v>130</x:v>
      </x:c>
      <x:c r="I271" s="20" t="str">
        <x:v>Historical Dummy</x:v>
      </x:c>
      <x:c r="J271" s="20" t="str">
        <x:v>YES</x:v>
      </x:c>
    </x:row>
    <x:row r="272">
      <x:c r="A272" s="20" t="str">
        <x:v>LEG-010_DEN</x:v>
      </x:c>
      <x:c r="B272" s="20" t="n">
        <x:v>2025</x:v>
      </x:c>
      <x:c r="C272" s="20" t="str">
        <x:v>Jurídico</x:v>
      </x:c>
      <x:c r="D272" s="20" t="str">
        <x:v>LEG-010</x:v>
      </x:c>
      <x:c r="E272" s="20" t="str">
        <x:v>DEN</x:v>
      </x:c>
      <x:c r="F272" s="20" t="str">
        <x:v>comunicaciones/campañas revisadas</x:v>
      </x:c>
      <x:c r="G272" s="20" t="str">
        <x:v># / base</x:v>
      </x:c>
      <x:c r="H272" s="20" t="n">
        <x:v>139</x:v>
      </x:c>
      <x:c r="I272" s="20" t="str">
        <x:v>Historical Dummy</x:v>
      </x:c>
      <x:c r="J272" s="20" t="str">
        <x:v>YES</x:v>
      </x:c>
    </x:row>
    <x:row r="273">
      <x:c r="A273" s="20" t="str">
        <x:v>LEG-010_DEN</x:v>
      </x:c>
      <x:c r="B273" s="20" t="n">
        <x:v>2026</x:v>
      </x:c>
      <x:c r="C273" s="20" t="str">
        <x:v>Jurídico</x:v>
      </x:c>
      <x:c r="D273" s="20" t="str">
        <x:v>LEG-010</x:v>
      </x:c>
      <x:c r="E273" s="20" t="str">
        <x:v>DEN</x:v>
      </x:c>
      <x:c r="F273" s="20" t="str">
        <x:v>comunicaciones/campañas revisadas</x:v>
      </x:c>
      <x:c r="G273" s="20" t="str">
        <x:v># / base</x:v>
      </x:c>
      <x:c r="H273" s="20" t="n">
        <x:v>150</x:v>
      </x:c>
      <x:c r="I273" s="20" t="str">
        <x:v>Plan-Year Dummy</x:v>
      </x:c>
      <x:c r="J273" s="20" t="str">
        <x:v>YES</x:v>
      </x:c>
    </x:row>
    <x:row r="274">
      <x:c r="A274" s="20" t="str">
        <x:v>LEG-012_NUM</x:v>
      </x:c>
      <x:c r="B274" s="20" t="n">
        <x:v>2023</x:v>
      </x:c>
      <x:c r="C274" s="20" t="str">
        <x:v>Jurídico</x:v>
      </x:c>
      <x:c r="D274" s="20" t="str">
        <x:v>LEG-012</x:v>
      </x:c>
      <x:c r="E274" s="20" t="str">
        <x:v>NUM</x:v>
      </x:c>
      <x:c r="F274" s="20" t="str">
        <x:v>Países objetivo con autorización fiscal/donataria obtenida</x:v>
      </x:c>
      <x:c r="G274" s="20" t="str">
        <x:v># / base</x:v>
      </x:c>
      <x:c r="H274" s="20" t="n">
        <x:v>3</x:v>
      </x:c>
      <x:c r="I274" s="20" t="str">
        <x:v>Historical Dummy</x:v>
      </x:c>
      <x:c r="J274" s="20" t="str">
        <x:v>YES</x:v>
      </x:c>
    </x:row>
    <x:row r="275">
      <x:c r="A275" s="20" t="str">
        <x:v>LEG-012_NUM</x:v>
      </x:c>
      <x:c r="B275" s="20" t="n">
        <x:v>2024</x:v>
      </x:c>
      <x:c r="C275" s="20" t="str">
        <x:v>Jurídico</x:v>
      </x:c>
      <x:c r="D275" s="20" t="str">
        <x:v>LEG-012</x:v>
      </x:c>
      <x:c r="E275" s="20" t="str">
        <x:v>NUM</x:v>
      </x:c>
      <x:c r="F275" s="20" t="str">
        <x:v>Países objetivo con autorización fiscal/donataria obtenida</x:v>
      </x:c>
      <x:c r="G275" s="20" t="str">
        <x:v># / base</x:v>
      </x:c>
      <x:c r="H275" s="20" t="n">
        <x:v>4</x:v>
      </x:c>
      <x:c r="I275" s="20" t="str">
        <x:v>Historical Dummy</x:v>
      </x:c>
      <x:c r="J275" s="20" t="str">
        <x:v>YES</x:v>
      </x:c>
    </x:row>
    <x:row r="276">
      <x:c r="A276" s="20" t="str">
        <x:v>LEG-012_NUM</x:v>
      </x:c>
      <x:c r="B276" s="20" t="n">
        <x:v>2025</x:v>
      </x:c>
      <x:c r="C276" s="20" t="str">
        <x:v>Jurídico</x:v>
      </x:c>
      <x:c r="D276" s="20" t="str">
        <x:v>LEG-012</x:v>
      </x:c>
      <x:c r="E276" s="20" t="str">
        <x:v>NUM</x:v>
      </x:c>
      <x:c r="F276" s="20" t="str">
        <x:v>Países objetivo con autorización fiscal/donataria obtenida</x:v>
      </x:c>
      <x:c r="G276" s="20" t="str">
        <x:v># / base</x:v>
      </x:c>
      <x:c r="H276" s="20" t="n">
        <x:v>4</x:v>
      </x:c>
      <x:c r="I276" s="20" t="str">
        <x:v>Historical Dummy</x:v>
      </x:c>
      <x:c r="J276" s="20" t="str">
        <x:v>YES</x:v>
      </x:c>
    </x:row>
    <x:row r="277">
      <x:c r="A277" s="20" t="str">
        <x:v>LEG-012_NUM</x:v>
      </x:c>
      <x:c r="B277" s="20" t="n">
        <x:v>2026</x:v>
      </x:c>
      <x:c r="C277" s="20" t="str">
        <x:v>Jurídico</x:v>
      </x:c>
      <x:c r="D277" s="20" t="str">
        <x:v>LEG-012</x:v>
      </x:c>
      <x:c r="E277" s="20" t="str">
        <x:v>NUM</x:v>
      </x:c>
      <x:c r="F277" s="20" t="str">
        <x:v>Países objetivo con autorización fiscal/donataria obtenida</x:v>
      </x:c>
      <x:c r="G277" s="20" t="str">
        <x:v># / base</x:v>
      </x:c>
      <x:c r="H277" s="20" t="n">
        <x:v>4</x:v>
      </x:c>
      <x:c r="I277" s="20" t="str">
        <x:v>Plan-Year Dummy</x:v>
      </x:c>
      <x:c r="J277" s="20" t="str">
        <x:v>YES</x:v>
      </x:c>
    </x:row>
    <x:row r="278">
      <x:c r="A278" s="20" t="str">
        <x:v>LEG-012_DEN</x:v>
      </x:c>
      <x:c r="B278" s="20" t="n">
        <x:v>2023</x:v>
      </x:c>
      <x:c r="C278" s="20" t="str">
        <x:v>Jurídico</x:v>
      </x:c>
      <x:c r="D278" s="20" t="str">
        <x:v>LEG-012</x:v>
      </x:c>
      <x:c r="E278" s="20" t="str">
        <x:v>DEN</x:v>
      </x:c>
      <x:c r="F278" s="20" t="str">
        <x:v>países objetivo</x:v>
      </x:c>
      <x:c r="G278" s="20" t="str">
        <x:v># / base</x:v>
      </x:c>
      <x:c r="H278" s="20" t="n">
        <x:v>4</x:v>
      </x:c>
      <x:c r="I278" s="20" t="str">
        <x:v>Historical Dummy</x:v>
      </x:c>
      <x:c r="J278" s="20" t="str">
        <x:v>YES</x:v>
      </x:c>
    </x:row>
    <x:row r="279">
      <x:c r="A279" s="20" t="str">
        <x:v>LEG-012_DEN</x:v>
      </x:c>
      <x:c r="B279" s="20" t="n">
        <x:v>2024</x:v>
      </x:c>
      <x:c r="C279" s="20" t="str">
        <x:v>Jurídico</x:v>
      </x:c>
      <x:c r="D279" s="20" t="str">
        <x:v>LEG-012</x:v>
      </x:c>
      <x:c r="E279" s="20" t="str">
        <x:v>DEN</x:v>
      </x:c>
      <x:c r="F279" s="20" t="str">
        <x:v>países objetivo</x:v>
      </x:c>
      <x:c r="G279" s="20" t="str">
        <x:v># / base</x:v>
      </x:c>
      <x:c r="H279" s="20" t="n">
        <x:v>4</x:v>
      </x:c>
      <x:c r="I279" s="20" t="str">
        <x:v>Historical Dummy</x:v>
      </x:c>
      <x:c r="J279" s="20" t="str">
        <x:v>YES</x:v>
      </x:c>
    </x:row>
    <x:row r="280">
      <x:c r="A280" s="20" t="str">
        <x:v>LEG-012_DEN</x:v>
      </x:c>
      <x:c r="B280" s="20" t="n">
        <x:v>2025</x:v>
      </x:c>
      <x:c r="C280" s="20" t="str">
        <x:v>Jurídico</x:v>
      </x:c>
      <x:c r="D280" s="20" t="str">
        <x:v>LEG-012</x:v>
      </x:c>
      <x:c r="E280" s="20" t="str">
        <x:v>DEN</x:v>
      </x:c>
      <x:c r="F280" s="20" t="str">
        <x:v>países objetivo</x:v>
      </x:c>
      <x:c r="G280" s="20" t="str">
        <x:v># / base</x:v>
      </x:c>
      <x:c r="H280" s="20" t="n">
        <x:v>4</x:v>
      </x:c>
      <x:c r="I280" s="20" t="str">
        <x:v>Historical Dummy</x:v>
      </x:c>
      <x:c r="J280" s="20" t="str">
        <x:v>YES</x:v>
      </x:c>
    </x:row>
    <x:row r="281">
      <x:c r="A281" s="20" t="str">
        <x:v>LEG-012_DEN</x:v>
      </x:c>
      <x:c r="B281" s="20" t="n">
        <x:v>2026</x:v>
      </x:c>
      <x:c r="C281" s="20" t="str">
        <x:v>Jurídico</x:v>
      </x:c>
      <x:c r="D281" s="20" t="str">
        <x:v>LEG-012</x:v>
      </x:c>
      <x:c r="E281" s="20" t="str">
        <x:v>DEN</x:v>
      </x:c>
      <x:c r="F281" s="20" t="str">
        <x:v>países objetivo</x:v>
      </x:c>
      <x:c r="G281" s="20" t="str">
        <x:v># / base</x:v>
      </x:c>
      <x:c r="H281" s="20" t="n">
        <x:v>4</x:v>
      </x:c>
      <x:c r="I281" s="20" t="str">
        <x:v>Plan-Year Dummy</x:v>
      </x:c>
      <x:c r="J281" s="20" t="str">
        <x:v>YES</x:v>
      </x:c>
    </x:row>
    <x:row r="282">
      <x:c r="A282" s="20" t="str">
        <x:v>LEG-013_NUM</x:v>
      </x:c>
      <x:c r="B282" s="20" t="n">
        <x:v>2023</x:v>
      </x:c>
      <x:c r="C282" s="20" t="str">
        <x:v>Jurídico</x:v>
      </x:c>
      <x:c r="D282" s="20" t="str">
        <x:v>LEG-013</x:v>
      </x:c>
      <x:c r="E282" s="20" t="str">
        <x:v>NUM</x:v>
      </x:c>
      <x:c r="F282" s="20" t="str">
        <x:v>Sedes objetivo con certificación equivalente a ESR obtenida</x:v>
      </x:c>
      <x:c r="G282" s="20" t="str">
        <x:v># / base</x:v>
      </x:c>
      <x:c r="H282" s="20" t="n">
        <x:v>3</x:v>
      </x:c>
      <x:c r="I282" s="20" t="str">
        <x:v>Historical Dummy</x:v>
      </x:c>
      <x:c r="J282" s="20" t="str">
        <x:v>YES</x:v>
      </x:c>
    </x:row>
    <x:row r="283">
      <x:c r="A283" s="20" t="str">
        <x:v>LEG-013_NUM</x:v>
      </x:c>
      <x:c r="B283" s="20" t="n">
        <x:v>2024</x:v>
      </x:c>
      <x:c r="C283" s="20" t="str">
        <x:v>Jurídico</x:v>
      </x:c>
      <x:c r="D283" s="20" t="str">
        <x:v>LEG-013</x:v>
      </x:c>
      <x:c r="E283" s="20" t="str">
        <x:v>NUM</x:v>
      </x:c>
      <x:c r="F283" s="20" t="str">
        <x:v>Sedes objetivo con certificación equivalente a ESR obtenida</x:v>
      </x:c>
      <x:c r="G283" s="20" t="str">
        <x:v># / base</x:v>
      </x:c>
      <x:c r="H283" s="20" t="n">
        <x:v>4</x:v>
      </x:c>
      <x:c r="I283" s="20" t="str">
        <x:v>Historical Dummy</x:v>
      </x:c>
      <x:c r="J283" s="20" t="str">
        <x:v>YES</x:v>
      </x:c>
    </x:row>
    <x:row r="284">
      <x:c r="A284" s="20" t="str">
        <x:v>LEG-013_NUM</x:v>
      </x:c>
      <x:c r="B284" s="20" t="n">
        <x:v>2025</x:v>
      </x:c>
      <x:c r="C284" s="20" t="str">
        <x:v>Jurídico</x:v>
      </x:c>
      <x:c r="D284" s="20" t="str">
        <x:v>LEG-013</x:v>
      </x:c>
      <x:c r="E284" s="20" t="str">
        <x:v>NUM</x:v>
      </x:c>
      <x:c r="F284" s="20" t="str">
        <x:v>Sedes objetivo con certificación equivalente a ESR obtenida</x:v>
      </x:c>
      <x:c r="G284" s="20" t="str">
        <x:v># / base</x:v>
      </x:c>
      <x:c r="H284" s="20" t="n">
        <x:v>4</x:v>
      </x:c>
      <x:c r="I284" s="20" t="str">
        <x:v>Historical Dummy</x:v>
      </x:c>
      <x:c r="J284" s="20" t="str">
        <x:v>YES</x:v>
      </x:c>
    </x:row>
    <x:row r="285">
      <x:c r="A285" s="20" t="str">
        <x:v>LEG-013_NUM</x:v>
      </x:c>
      <x:c r="B285" s="20" t="n">
        <x:v>2026</x:v>
      </x:c>
      <x:c r="C285" s="20" t="str">
        <x:v>Jurídico</x:v>
      </x:c>
      <x:c r="D285" s="20" t="str">
        <x:v>LEG-013</x:v>
      </x:c>
      <x:c r="E285" s="20" t="str">
        <x:v>NUM</x:v>
      </x:c>
      <x:c r="F285" s="20" t="str">
        <x:v>Sedes objetivo con certificación equivalente a ESR obtenida</x:v>
      </x:c>
      <x:c r="G285" s="20" t="str">
        <x:v># / base</x:v>
      </x:c>
      <x:c r="H285" s="20" t="n">
        <x:v>4</x:v>
      </x:c>
      <x:c r="I285" s="20" t="str">
        <x:v>Plan-Year Dummy</x:v>
      </x:c>
      <x:c r="J285" s="20" t="str">
        <x:v>YES</x:v>
      </x:c>
    </x:row>
    <x:row r="286">
      <x:c r="A286" s="20" t="str">
        <x:v>LEG-013_DEN</x:v>
      </x:c>
      <x:c r="B286" s="20" t="n">
        <x:v>2023</x:v>
      </x:c>
      <x:c r="C286" s="20" t="str">
        <x:v>Jurídico</x:v>
      </x:c>
      <x:c r="D286" s="20" t="str">
        <x:v>LEG-013</x:v>
      </x:c>
      <x:c r="E286" s="20" t="str">
        <x:v>DEN</x:v>
      </x:c>
      <x:c r="F286" s="20" t="str">
        <x:v>sedes objetivo</x:v>
      </x:c>
      <x:c r="G286" s="20" t="str">
        <x:v># / base</x:v>
      </x:c>
      <x:c r="H286" s="20" t="n">
        <x:v>4</x:v>
      </x:c>
      <x:c r="I286" s="20" t="str">
        <x:v>Historical Dummy</x:v>
      </x:c>
      <x:c r="J286" s="20" t="str">
        <x:v>YES</x:v>
      </x:c>
    </x:row>
    <x:row r="287">
      <x:c r="A287" s="20" t="str">
        <x:v>LEG-013_DEN</x:v>
      </x:c>
      <x:c r="B287" s="20" t="n">
        <x:v>2024</x:v>
      </x:c>
      <x:c r="C287" s="20" t="str">
        <x:v>Jurídico</x:v>
      </x:c>
      <x:c r="D287" s="20" t="str">
        <x:v>LEG-013</x:v>
      </x:c>
      <x:c r="E287" s="20" t="str">
        <x:v>DEN</x:v>
      </x:c>
      <x:c r="F287" s="20" t="str">
        <x:v>sedes objetivo</x:v>
      </x:c>
      <x:c r="G287" s="20" t="str">
        <x:v># / base</x:v>
      </x:c>
      <x:c r="H287" s="20" t="n">
        <x:v>4</x:v>
      </x:c>
      <x:c r="I287" s="20" t="str">
        <x:v>Historical Dummy</x:v>
      </x:c>
      <x:c r="J287" s="20" t="str">
        <x:v>YES</x:v>
      </x:c>
    </x:row>
    <x:row r="288">
      <x:c r="A288" s="20" t="str">
        <x:v>LEG-013_DEN</x:v>
      </x:c>
      <x:c r="B288" s="20" t="n">
        <x:v>2025</x:v>
      </x:c>
      <x:c r="C288" s="20" t="str">
        <x:v>Jurídico</x:v>
      </x:c>
      <x:c r="D288" s="20" t="str">
        <x:v>LEG-013</x:v>
      </x:c>
      <x:c r="E288" s="20" t="str">
        <x:v>DEN</x:v>
      </x:c>
      <x:c r="F288" s="20" t="str">
        <x:v>sedes objetivo</x:v>
      </x:c>
      <x:c r="G288" s="20" t="str">
        <x:v># / base</x:v>
      </x:c>
      <x:c r="H288" s="20" t="n">
        <x:v>4</x:v>
      </x:c>
      <x:c r="I288" s="20" t="str">
        <x:v>Historical Dummy</x:v>
      </x:c>
      <x:c r="J288" s="20" t="str">
        <x:v>YES</x:v>
      </x:c>
    </x:row>
    <x:row r="289">
      <x:c r="A289" s="20" t="str">
        <x:v>LEG-013_DEN</x:v>
      </x:c>
      <x:c r="B289" s="20" t="n">
        <x:v>2026</x:v>
      </x:c>
      <x:c r="C289" s="20" t="str">
        <x:v>Jurídico</x:v>
      </x:c>
      <x:c r="D289" s="20" t="str">
        <x:v>LEG-013</x:v>
      </x:c>
      <x:c r="E289" s="20" t="str">
        <x:v>DEN</x:v>
      </x:c>
      <x:c r="F289" s="20" t="str">
        <x:v>sedes objetivo</x:v>
      </x:c>
      <x:c r="G289" s="20" t="str">
        <x:v># / base</x:v>
      </x:c>
      <x:c r="H289" s="20" t="n">
        <x:v>4</x:v>
      </x:c>
      <x:c r="I289" s="20" t="str">
        <x:v>Plan-Year Dummy</x:v>
      </x:c>
      <x:c r="J289" s="20" t="str">
        <x:v>YES</x:v>
      </x:c>
    </x:row>
    <x:row r="290">
      <x:c r="A290" s="20" t="str">
        <x:v>LEG-014_VAL</x:v>
      </x:c>
      <x:c r="B290" s="20" t="n">
        <x:v>2023</x:v>
      </x:c>
      <x:c r="C290" s="20" t="str">
        <x:v>Jurídico</x:v>
      </x:c>
      <x:c r="D290" s="20" t="str">
        <x:v>LEG-014</x:v>
      </x:c>
      <x:c r="E290" s="20" t="str">
        <x:v>VAL</x:v>
      </x:c>
      <x:c r="F290" s="20" t="str">
        <x:v>Número de convenios de colaboración/acreditación formalizados con organismos elegibles</x:v>
      </x:c>
      <x:c r="G290" s="20" t="str">
        <x:v>#</x:v>
      </x:c>
      <x:c r="H290" s="20" t="n">
        <x:v>1</x:v>
      </x:c>
      <x:c r="I290" s="20" t="str">
        <x:v>Historical Dummy</x:v>
      </x:c>
      <x:c r="J290" s="20" t="str">
        <x:v>YES</x:v>
      </x:c>
    </x:row>
    <x:row r="291">
      <x:c r="A291" s="20" t="str">
        <x:v>LEG-014_VAL</x:v>
      </x:c>
      <x:c r="B291" s="20" t="n">
        <x:v>2024</x:v>
      </x:c>
      <x:c r="C291" s="20" t="str">
        <x:v>Jurídico</x:v>
      </x:c>
      <x:c r="D291" s="20" t="str">
        <x:v>LEG-014</x:v>
      </x:c>
      <x:c r="E291" s="20" t="str">
        <x:v>VAL</x:v>
      </x:c>
      <x:c r="F291" s="20" t="str">
        <x:v>Número de convenios de colaboración/acreditación formalizados con organismos elegibles</x:v>
      </x:c>
      <x:c r="G291" s="20" t="str">
        <x:v>#</x:v>
      </x:c>
      <x:c r="H291" s="20" t="n">
        <x:v>1</x:v>
      </x:c>
      <x:c r="I291" s="20" t="str">
        <x:v>Historical Dummy</x:v>
      </x:c>
      <x:c r="J291" s="20" t="str">
        <x:v>YES</x:v>
      </x:c>
    </x:row>
    <x:row r="292">
      <x:c r="A292" s="20" t="str">
        <x:v>LEG-014_VAL</x:v>
      </x:c>
      <x:c r="B292" s="20" t="n">
        <x:v>2025</x:v>
      </x:c>
      <x:c r="C292" s="20" t="str">
        <x:v>Jurídico</x:v>
      </x:c>
      <x:c r="D292" s="20" t="str">
        <x:v>LEG-014</x:v>
      </x:c>
      <x:c r="E292" s="20" t="str">
        <x:v>VAL</x:v>
      </x:c>
      <x:c r="F292" s="20" t="str">
        <x:v>Número de convenios de colaboración/acreditación formalizados con organismos elegibles</x:v>
      </x:c>
      <x:c r="G292" s="20" t="str">
        <x:v>#</x:v>
      </x:c>
      <x:c r="H292" s="20" t="n">
        <x:v>2</x:v>
      </x:c>
      <x:c r="I292" s="20" t="str">
        <x:v>Historical Dummy</x:v>
      </x:c>
      <x:c r="J292" s="20" t="str">
        <x:v>YES</x:v>
      </x:c>
    </x:row>
    <x:row r="293">
      <x:c r="A293" s="20" t="str">
        <x:v>LEG-014_VAL</x:v>
      </x:c>
      <x:c r="B293" s="20" t="n">
        <x:v>2026</x:v>
      </x:c>
      <x:c r="C293" s="20" t="str">
        <x:v>Jurídico</x:v>
      </x:c>
      <x:c r="D293" s="20" t="str">
        <x:v>LEG-014</x:v>
      </x:c>
      <x:c r="E293" s="20" t="str">
        <x:v>VAL</x:v>
      </x:c>
      <x:c r="F293" s="20" t="str">
        <x:v>Número de convenios de colaboración/acreditación formalizados con organismos elegibles</x:v>
      </x:c>
      <x:c r="G293" s="20" t="str">
        <x:v>#</x:v>
      </x:c>
      <x:c r="H293" s="20" t="n">
        <x:v>2</x:v>
      </x:c>
      <x:c r="I293" s="20" t="str">
        <x:v>Plan-Year Dummy</x:v>
      </x:c>
      <x:c r="J293" s="20" t="str">
        <x:v>YES</x:v>
      </x:c>
    </x:row>
    <x:row r="294">
      <x:c r="A294" s="20" t="str">
        <x:v>LEG-015_NUM</x:v>
      </x:c>
      <x:c r="B294" s="20" t="n">
        <x:v>2023</x:v>
      </x:c>
      <x:c r="C294" s="20" t="str">
        <x:v>Jurídico</x:v>
      </x:c>
      <x:c r="D294" s="20" t="str">
        <x:v>LEG-015</x:v>
      </x:c>
      <x:c r="E294" s="20" t="str">
        <x:v>NUM</x:v>
      </x:c>
      <x:c r="F294" s="20" t="str">
        <x:v>Proyectos OSC evaluados bajo reglas de operación vigentes</x:v>
      </x:c>
      <x:c r="G294" s="20" t="str">
        <x:v># / base</x:v>
      </x:c>
      <x:c r="H294" s="20" t="n">
        <x:v>84</x:v>
      </x:c>
      <x:c r="I294" s="20" t="str">
        <x:v>Historical Dummy</x:v>
      </x:c>
      <x:c r="J294" s="20" t="str">
        <x:v>YES</x:v>
      </x:c>
    </x:row>
    <x:row r="295">
      <x:c r="A295" s="20" t="str">
        <x:v>LEG-015_NUM</x:v>
      </x:c>
      <x:c r="B295" s="20" t="n">
        <x:v>2024</x:v>
      </x:c>
      <x:c r="C295" s="20" t="str">
        <x:v>Jurídico</x:v>
      </x:c>
      <x:c r="D295" s="20" t="str">
        <x:v>LEG-015</x:v>
      </x:c>
      <x:c r="E295" s="20" t="str">
        <x:v>NUM</x:v>
      </x:c>
      <x:c r="F295" s="20" t="str">
        <x:v>Proyectos OSC evaluados bajo reglas de operación vigentes</x:v>
      </x:c>
      <x:c r="G295" s="20" t="str">
        <x:v># / base</x:v>
      </x:c>
      <x:c r="H295" s="20" t="n">
        <x:v>96</x:v>
      </x:c>
      <x:c r="I295" s="20" t="str">
        <x:v>Historical Dummy</x:v>
      </x:c>
      <x:c r="J295" s="20" t="str">
        <x:v>YES</x:v>
      </x:c>
    </x:row>
    <x:row r="296">
      <x:c r="A296" s="20" t="str">
        <x:v>LEG-015_NUM</x:v>
      </x:c>
      <x:c r="B296" s="20" t="n">
        <x:v>2025</x:v>
      </x:c>
      <x:c r="C296" s="20" t="str">
        <x:v>Jurídico</x:v>
      </x:c>
      <x:c r="D296" s="20" t="str">
        <x:v>LEG-015</x:v>
      </x:c>
      <x:c r="E296" s="20" t="str">
        <x:v>NUM</x:v>
      </x:c>
      <x:c r="F296" s="20" t="str">
        <x:v>Proyectos OSC evaluados bajo reglas de operación vigentes</x:v>
      </x:c>
      <x:c r="G296" s="20" t="str">
        <x:v># / base</x:v>
      </x:c>
      <x:c r="H296" s="20" t="n">
        <x:v>109</x:v>
      </x:c>
      <x:c r="I296" s="20" t="str">
        <x:v>Historical Dummy</x:v>
      </x:c>
      <x:c r="J296" s="20" t="str">
        <x:v>YES</x:v>
      </x:c>
    </x:row>
    <x:row r="297">
      <x:c r="A297" s="20" t="str">
        <x:v>LEG-015_NUM</x:v>
      </x:c>
      <x:c r="B297" s="20" t="n">
        <x:v>2026</x:v>
      </x:c>
      <x:c r="C297" s="20" t="str">
        <x:v>Jurídico</x:v>
      </x:c>
      <x:c r="D297" s="20" t="str">
        <x:v>LEG-015</x:v>
      </x:c>
      <x:c r="E297" s="20" t="str">
        <x:v>NUM</x:v>
      </x:c>
      <x:c r="F297" s="20" t="str">
        <x:v>Proyectos OSC evaluados bajo reglas de operación vigentes</x:v>
      </x:c>
      <x:c r="G297" s="20" t="str">
        <x:v># / base</x:v>
      </x:c>
      <x:c r="H297" s="20" t="n">
        <x:v>125</x:v>
      </x:c>
      <x:c r="I297" s="20" t="str">
        <x:v>Plan-Year Dummy</x:v>
      </x:c>
      <x:c r="J297" s="20" t="str">
        <x:v>YES</x:v>
      </x:c>
    </x:row>
    <x:row r="298">
      <x:c r="A298" s="20" t="str">
        <x:v>LEG-015_DEN</x:v>
      </x:c>
      <x:c r="B298" s="20" t="n">
        <x:v>2023</x:v>
      </x:c>
      <x:c r="C298" s="20" t="str">
        <x:v>Jurídico</x:v>
      </x:c>
      <x:c r="D298" s="20" t="str">
        <x:v>LEG-015</x:v>
      </x:c>
      <x:c r="E298" s="20" t="str">
        <x:v>DEN</x:v>
      </x:c>
      <x:c r="F298" s="20" t="str">
        <x:v>proyectos OSC evaluados</x:v>
      </x:c>
      <x:c r="G298" s="20" t="str">
        <x:v># / base</x:v>
      </x:c>
      <x:c r="H298" s="20" t="n">
        <x:v>100</x:v>
      </x:c>
      <x:c r="I298" s="20" t="str">
        <x:v>Historical Dummy</x:v>
      </x:c>
      <x:c r="J298" s="20" t="str">
        <x:v>YES</x:v>
      </x:c>
    </x:row>
    <x:row r="299">
      <x:c r="A299" s="20" t="str">
        <x:v>LEG-015_DEN</x:v>
      </x:c>
      <x:c r="B299" s="20" t="n">
        <x:v>2024</x:v>
      </x:c>
      <x:c r="C299" s="20" t="str">
        <x:v>Jurídico</x:v>
      </x:c>
      <x:c r="D299" s="20" t="str">
        <x:v>LEG-015</x:v>
      </x:c>
      <x:c r="E299" s="20" t="str">
        <x:v>DEN</x:v>
      </x:c>
      <x:c r="F299" s="20" t="str">
        <x:v>proyectos OSC evaluados</x:v>
      </x:c>
      <x:c r="G299" s="20" t="str">
        <x:v># / base</x:v>
      </x:c>
      <x:c r="H299" s="20" t="n">
        <x:v>108</x:v>
      </x:c>
      <x:c r="I299" s="20" t="str">
        <x:v>Historical Dummy</x:v>
      </x:c>
      <x:c r="J299" s="20" t="str">
        <x:v>YES</x:v>
      </x:c>
    </x:row>
    <x:row r="300">
      <x:c r="A300" s="20" t="str">
        <x:v>LEG-015_DEN</x:v>
      </x:c>
      <x:c r="B300" s="20" t="n">
        <x:v>2025</x:v>
      </x:c>
      <x:c r="C300" s="20" t="str">
        <x:v>Jurídico</x:v>
      </x:c>
      <x:c r="D300" s="20" t="str">
        <x:v>LEG-015</x:v>
      </x:c>
      <x:c r="E300" s="20" t="str">
        <x:v>DEN</x:v>
      </x:c>
      <x:c r="F300" s="20" t="str">
        <x:v>proyectos OSC evaluados</x:v>
      </x:c>
      <x:c r="G300" s="20" t="str">
        <x:v># / base</x:v>
      </x:c>
      <x:c r="H300" s="20" t="n">
        <x:v>116</x:v>
      </x:c>
      <x:c r="I300" s="20" t="str">
        <x:v>Historical Dummy</x:v>
      </x:c>
      <x:c r="J300" s="20" t="str">
        <x:v>YES</x:v>
      </x:c>
    </x:row>
    <x:row r="301">
      <x:c r="A301" s="20" t="str">
        <x:v>LEG-015_DEN</x:v>
      </x:c>
      <x:c r="B301" s="20" t="n">
        <x:v>2026</x:v>
      </x:c>
      <x:c r="C301" s="20" t="str">
        <x:v>Jurídico</x:v>
      </x:c>
      <x:c r="D301" s="20" t="str">
        <x:v>LEG-015</x:v>
      </x:c>
      <x:c r="E301" s="20" t="str">
        <x:v>DEN</x:v>
      </x:c>
      <x:c r="F301" s="20" t="str">
        <x:v>proyectos OSC evaluados</x:v>
      </x:c>
      <x:c r="G301" s="20" t="str">
        <x:v># / base</x:v>
      </x:c>
      <x:c r="H301" s="20" t="n">
        <x:v>125</x:v>
      </x:c>
      <x:c r="I301" s="20" t="str">
        <x:v>Plan-Year Dummy</x:v>
      </x:c>
      <x:c r="J301" s="20" t="str">
        <x:v>YES</x:v>
      </x:c>
    </x:row>
    <x:row r="302">
      <x:c r="A302" s="20" t="str">
        <x:v>LEG-016_NUM</x:v>
      </x:c>
      <x:c r="B302" s="20" t="n">
        <x:v>2023</x:v>
      </x:c>
      <x:c r="C302" s="20" t="str">
        <x:v>Jurídico</x:v>
      </x:c>
      <x:c r="D302" s="20" t="str">
        <x:v>LEG-016</x:v>
      </x:c>
      <x:c r="E302" s="20" t="str">
        <x:v>NUM</x:v>
      </x:c>
      <x:c r="F302" s="20" t="str">
        <x:v>Donativos/proyectos con convenio firmado antes del desembolso</x:v>
      </x:c>
      <x:c r="G302" s="20" t="str">
        <x:v>Moneda</x:v>
      </x:c>
      <x:c r="H302" s="20" t="n">
        <x:v>59</x:v>
      </x:c>
      <x:c r="I302" s="20" t="str">
        <x:v>Historical Dummy</x:v>
      </x:c>
      <x:c r="J302" s="20" t="str">
        <x:v>YES</x:v>
      </x:c>
    </x:row>
    <x:row r="303">
      <x:c r="A303" s="20" t="str">
        <x:v>LEG-016_NUM</x:v>
      </x:c>
      <x:c r="B303" s="20" t="n">
        <x:v>2024</x:v>
      </x:c>
      <x:c r="C303" s="20" t="str">
        <x:v>Jurídico</x:v>
      </x:c>
      <x:c r="D303" s="20" t="str">
        <x:v>LEG-016</x:v>
      </x:c>
      <x:c r="E303" s="20" t="str">
        <x:v>NUM</x:v>
      </x:c>
      <x:c r="F303" s="20" t="str">
        <x:v>Donativos/proyectos con convenio firmado antes del desembolso</x:v>
      </x:c>
      <x:c r="G303" s="20" t="str">
        <x:v>Moneda</x:v>
      </x:c>
      <x:c r="H303" s="20" t="n">
        <x:v>68</x:v>
      </x:c>
      <x:c r="I303" s="20" t="str">
        <x:v>Historical Dummy</x:v>
      </x:c>
      <x:c r="J303" s="20" t="str">
        <x:v>YES</x:v>
      </x:c>
    </x:row>
    <x:row r="304">
      <x:c r="A304" s="20" t="str">
        <x:v>LEG-016_NUM</x:v>
      </x:c>
      <x:c r="B304" s="20" t="n">
        <x:v>2025</x:v>
      </x:c>
      <x:c r="C304" s="20" t="str">
        <x:v>Jurídico</x:v>
      </x:c>
      <x:c r="D304" s="20" t="str">
        <x:v>LEG-016</x:v>
      </x:c>
      <x:c r="E304" s="20" t="str">
        <x:v>NUM</x:v>
      </x:c>
      <x:c r="F304" s="20" t="str">
        <x:v>Donativos/proyectos con convenio firmado antes del desembolso</x:v>
      </x:c>
      <x:c r="G304" s="20" t="str">
        <x:v>Moneda</x:v>
      </x:c>
      <x:c r="H304" s="20" t="n">
        <x:v>76</x:v>
      </x:c>
      <x:c r="I304" s="20" t="str">
        <x:v>Historical Dummy</x:v>
      </x:c>
      <x:c r="J304" s="20" t="str">
        <x:v>YES</x:v>
      </x:c>
    </x:row>
    <x:row r="305">
      <x:c r="A305" s="20" t="str">
        <x:v>LEG-016_NUM</x:v>
      </x:c>
      <x:c r="B305" s="20" t="n">
        <x:v>2026</x:v>
      </x:c>
      <x:c r="C305" s="20" t="str">
        <x:v>Jurídico</x:v>
      </x:c>
      <x:c r="D305" s="20" t="str">
        <x:v>LEG-016</x:v>
      </x:c>
      <x:c r="E305" s="20" t="str">
        <x:v>NUM</x:v>
      </x:c>
      <x:c r="F305" s="20" t="str">
        <x:v>Donativos/proyectos con convenio firmado antes del desembolso</x:v>
      </x:c>
      <x:c r="G305" s="20" t="str">
        <x:v>Moneda</x:v>
      </x:c>
      <x:c r="H305" s="20" t="n">
        <x:v>88</x:v>
      </x:c>
      <x:c r="I305" s="20" t="str">
        <x:v>Plan-Year Dummy</x:v>
      </x:c>
      <x:c r="J305" s="20" t="str">
        <x:v>YES</x:v>
      </x:c>
    </x:row>
    <x:row r="306">
      <x:c r="A306" s="20" t="str">
        <x:v>LEG-016_DEN</x:v>
      </x:c>
      <x:c r="B306" s="20" t="n">
        <x:v>2023</x:v>
      </x:c>
      <x:c r="C306" s="20" t="str">
        <x:v>Jurídico</x:v>
      </x:c>
      <x:c r="D306" s="20" t="str">
        <x:v>LEG-016</x:v>
      </x:c>
      <x:c r="E306" s="20" t="str">
        <x:v>DEN</x:v>
      </x:c>
      <x:c r="F306" s="20" t="str">
        <x:v>donativos/proyectos aprobados</x:v>
      </x:c>
      <x:c r="G306" s="20" t="str">
        <x:v>Moneda</x:v>
      </x:c>
      <x:c r="H306" s="20" t="n">
        <x:v>70</x:v>
      </x:c>
      <x:c r="I306" s="20" t="str">
        <x:v>Historical Dummy</x:v>
      </x:c>
      <x:c r="J306" s="20" t="str">
        <x:v>YES</x:v>
      </x:c>
    </x:row>
    <x:row r="307">
      <x:c r="A307" s="20" t="str">
        <x:v>LEG-016_DEN</x:v>
      </x:c>
      <x:c r="B307" s="20" t="n">
        <x:v>2024</x:v>
      </x:c>
      <x:c r="C307" s="20" t="str">
        <x:v>Jurídico</x:v>
      </x:c>
      <x:c r="D307" s="20" t="str">
        <x:v>LEG-016</x:v>
      </x:c>
      <x:c r="E307" s="20" t="str">
        <x:v>DEN</x:v>
      </x:c>
      <x:c r="F307" s="20" t="str">
        <x:v>donativos/proyectos aprobados</x:v>
      </x:c>
      <x:c r="G307" s="20" t="str">
        <x:v>Moneda</x:v>
      </x:c>
      <x:c r="H307" s="20" t="n">
        <x:v>76</x:v>
      </x:c>
      <x:c r="I307" s="20" t="str">
        <x:v>Historical Dummy</x:v>
      </x:c>
      <x:c r="J307" s="20" t="str">
        <x:v>YES</x:v>
      </x:c>
    </x:row>
    <x:row r="308">
      <x:c r="A308" s="20" t="str">
        <x:v>LEG-016_DEN</x:v>
      </x:c>
      <x:c r="B308" s="20" t="n">
        <x:v>2025</x:v>
      </x:c>
      <x:c r="C308" s="20" t="str">
        <x:v>Jurídico</x:v>
      </x:c>
      <x:c r="D308" s="20" t="str">
        <x:v>LEG-016</x:v>
      </x:c>
      <x:c r="E308" s="20" t="str">
        <x:v>DEN</x:v>
      </x:c>
      <x:c r="F308" s="20" t="str">
        <x:v>donativos/proyectos aprobados</x:v>
      </x:c>
      <x:c r="G308" s="20" t="str">
        <x:v>Moneda</x:v>
      </x:c>
      <x:c r="H308" s="20" t="n">
        <x:v>81</x:v>
      </x:c>
      <x:c r="I308" s="20" t="str">
        <x:v>Historical Dummy</x:v>
      </x:c>
      <x:c r="J308" s="20" t="str">
        <x:v>YES</x:v>
      </x:c>
    </x:row>
    <x:row r="309">
      <x:c r="A309" s="20" t="str">
        <x:v>LEG-016_DEN</x:v>
      </x:c>
      <x:c r="B309" s="20" t="n">
        <x:v>2026</x:v>
      </x:c>
      <x:c r="C309" s="20" t="str">
        <x:v>Jurídico</x:v>
      </x:c>
      <x:c r="D309" s="20" t="str">
        <x:v>LEG-016</x:v>
      </x:c>
      <x:c r="E309" s="20" t="str">
        <x:v>DEN</x:v>
      </x:c>
      <x:c r="F309" s="20" t="str">
        <x:v>donativos/proyectos aprobados</x:v>
      </x:c>
      <x:c r="G309" s="20" t="str">
        <x:v>Moneda</x:v>
      </x:c>
      <x:c r="H309" s="20" t="n">
        <x:v>88</x:v>
      </x:c>
      <x:c r="I309" s="20" t="str">
        <x:v>Plan-Year Dummy</x:v>
      </x:c>
      <x:c r="J309" s="20" t="str">
        <x:v>YES</x:v>
      </x:c>
    </x:row>
    <x:row r="310">
      <x:c r="A310" s="20" t="str">
        <x:v>LEG-017_NUM</x:v>
      </x:c>
      <x:c r="B310" s="20" t="n">
        <x:v>2023</x:v>
      </x:c>
      <x:c r="C310" s="20" t="str">
        <x:v>Jurídico</x:v>
      </x:c>
      <x:c r="D310" s="20" t="str">
        <x:v>LEG-017</x:v>
      </x:c>
      <x:c r="E310" s="20" t="str">
        <x:v>NUM</x:v>
      </x:c>
      <x:c r="F310" s="20" t="str">
        <x:v>Proyectos apoyados con cierre operativo y financiero validado</x:v>
      </x:c>
      <x:c r="G310" s="20" t="str">
        <x:v># / base</x:v>
      </x:c>
      <x:c r="H310" s="20" t="n">
        <x:v>84</x:v>
      </x:c>
      <x:c r="I310" s="20" t="str">
        <x:v>Historical Dummy</x:v>
      </x:c>
      <x:c r="J310" s="20" t="str">
        <x:v>YES</x:v>
      </x:c>
    </x:row>
    <x:row r="311">
      <x:c r="A311" s="20" t="str">
        <x:v>LEG-017_NUM</x:v>
      </x:c>
      <x:c r="B311" s="20" t="n">
        <x:v>2024</x:v>
      </x:c>
      <x:c r="C311" s="20" t="str">
        <x:v>Jurídico</x:v>
      </x:c>
      <x:c r="D311" s="20" t="str">
        <x:v>LEG-017</x:v>
      </x:c>
      <x:c r="E311" s="20" t="str">
        <x:v>NUM</x:v>
      </x:c>
      <x:c r="F311" s="20" t="str">
        <x:v>Proyectos apoyados con cierre operativo y financiero validado</x:v>
      </x:c>
      <x:c r="G311" s="20" t="str">
        <x:v># / base</x:v>
      </x:c>
      <x:c r="H311" s="20" t="n">
        <x:v>96</x:v>
      </x:c>
      <x:c r="I311" s="20" t="str">
        <x:v>Historical Dummy</x:v>
      </x:c>
      <x:c r="J311" s="20" t="str">
        <x:v>YES</x:v>
      </x:c>
    </x:row>
    <x:row r="312">
      <x:c r="A312" s="20" t="str">
        <x:v>LEG-017_NUM</x:v>
      </x:c>
      <x:c r="B312" s="20" t="n">
        <x:v>2025</x:v>
      </x:c>
      <x:c r="C312" s="20" t="str">
        <x:v>Jurídico</x:v>
      </x:c>
      <x:c r="D312" s="20" t="str">
        <x:v>LEG-017</x:v>
      </x:c>
      <x:c r="E312" s="20" t="str">
        <x:v>NUM</x:v>
      </x:c>
      <x:c r="F312" s="20" t="str">
        <x:v>Proyectos apoyados con cierre operativo y financiero validado</x:v>
      </x:c>
      <x:c r="G312" s="20" t="str">
        <x:v># / base</x:v>
      </x:c>
      <x:c r="H312" s="20" t="n">
        <x:v>109</x:v>
      </x:c>
      <x:c r="I312" s="20" t="str">
        <x:v>Historical Dummy</x:v>
      </x:c>
      <x:c r="J312" s="20" t="str">
        <x:v>YES</x:v>
      </x:c>
    </x:row>
    <x:row r="313">
      <x:c r="A313" s="20" t="str">
        <x:v>LEG-017_NUM</x:v>
      </x:c>
      <x:c r="B313" s="20" t="n">
        <x:v>2026</x:v>
      </x:c>
      <x:c r="C313" s="20" t="str">
        <x:v>Jurídico</x:v>
      </x:c>
      <x:c r="D313" s="20" t="str">
        <x:v>LEG-017</x:v>
      </x:c>
      <x:c r="E313" s="20" t="str">
        <x:v>NUM</x:v>
      </x:c>
      <x:c r="F313" s="20" t="str">
        <x:v>Proyectos apoyados con cierre operativo y financiero validado</x:v>
      </x:c>
      <x:c r="G313" s="20" t="str">
        <x:v># / base</x:v>
      </x:c>
      <x:c r="H313" s="20" t="n">
        <x:v>125</x:v>
      </x:c>
      <x:c r="I313" s="20" t="str">
        <x:v>Plan-Year Dummy</x:v>
      </x:c>
      <x:c r="J313" s="20" t="str">
        <x:v>YES</x:v>
      </x:c>
    </x:row>
    <x:row r="314">
      <x:c r="A314" s="20" t="str">
        <x:v>LEG-017_DEN</x:v>
      </x:c>
      <x:c r="B314" s="20" t="n">
        <x:v>2023</x:v>
      </x:c>
      <x:c r="C314" s="20" t="str">
        <x:v>Jurídico</x:v>
      </x:c>
      <x:c r="D314" s="20" t="str">
        <x:v>LEG-017</x:v>
      </x:c>
      <x:c r="E314" s="20" t="str">
        <x:v>DEN</x:v>
      </x:c>
      <x:c r="F314" s="20" t="str">
        <x:v>proyectos apoyados concluidos</x:v>
      </x:c>
      <x:c r="G314" s="20" t="str">
        <x:v># / base</x:v>
      </x:c>
      <x:c r="H314" s="20" t="n">
        <x:v>100</x:v>
      </x:c>
      <x:c r="I314" s="20" t="str">
        <x:v>Historical Dummy</x:v>
      </x:c>
      <x:c r="J314" s="20" t="str">
        <x:v>YES</x:v>
      </x:c>
    </x:row>
    <x:row r="315">
      <x:c r="A315" s="20" t="str">
        <x:v>LEG-017_DEN</x:v>
      </x:c>
      <x:c r="B315" s="20" t="n">
        <x:v>2024</x:v>
      </x:c>
      <x:c r="C315" s="20" t="str">
        <x:v>Jurídico</x:v>
      </x:c>
      <x:c r="D315" s="20" t="str">
        <x:v>LEG-017</x:v>
      </x:c>
      <x:c r="E315" s="20" t="str">
        <x:v>DEN</x:v>
      </x:c>
      <x:c r="F315" s="20" t="str">
        <x:v>proyectos apoyados concluidos</x:v>
      </x:c>
      <x:c r="G315" s="20" t="str">
        <x:v># / base</x:v>
      </x:c>
      <x:c r="H315" s="20" t="n">
        <x:v>108</x:v>
      </x:c>
      <x:c r="I315" s="20" t="str">
        <x:v>Historical Dummy</x:v>
      </x:c>
      <x:c r="J315" s="20" t="str">
        <x:v>YES</x:v>
      </x:c>
    </x:row>
    <x:row r="316">
      <x:c r="A316" s="20" t="str">
        <x:v>LEG-017_DEN</x:v>
      </x:c>
      <x:c r="B316" s="20" t="n">
        <x:v>2025</x:v>
      </x:c>
      <x:c r="C316" s="20" t="str">
        <x:v>Jurídico</x:v>
      </x:c>
      <x:c r="D316" s="20" t="str">
        <x:v>LEG-017</x:v>
      </x:c>
      <x:c r="E316" s="20" t="str">
        <x:v>DEN</x:v>
      </x:c>
      <x:c r="F316" s="20" t="str">
        <x:v>proyectos apoyados concluidos</x:v>
      </x:c>
      <x:c r="G316" s="20" t="str">
        <x:v># / base</x:v>
      </x:c>
      <x:c r="H316" s="20" t="n">
        <x:v>116</x:v>
      </x:c>
      <x:c r="I316" s="20" t="str">
        <x:v>Historical Dummy</x:v>
      </x:c>
      <x:c r="J316" s="20" t="str">
        <x:v>YES</x:v>
      </x:c>
    </x:row>
    <x:row r="317">
      <x:c r="A317" s="20" t="str">
        <x:v>LEG-017_DEN</x:v>
      </x:c>
      <x:c r="B317" s="20" t="n">
        <x:v>2026</x:v>
      </x:c>
      <x:c r="C317" s="20" t="str">
        <x:v>Jurídico</x:v>
      </x:c>
      <x:c r="D317" s="20" t="str">
        <x:v>LEG-017</x:v>
      </x:c>
      <x:c r="E317" s="20" t="str">
        <x:v>DEN</x:v>
      </x:c>
      <x:c r="F317" s="20" t="str">
        <x:v>proyectos apoyados concluidos</x:v>
      </x:c>
      <x:c r="G317" s="20" t="str">
        <x:v># / base</x:v>
      </x:c>
      <x:c r="H317" s="20" t="n">
        <x:v>125</x:v>
      </x:c>
      <x:c r="I317" s="20" t="str">
        <x:v>Plan-Year Dummy</x:v>
      </x:c>
      <x:c r="J317" s="20" t="str">
        <x:v>YES</x:v>
      </x:c>
    </x:row>
    <x:row r="318">
      <x:c r="A318" s="20" t="str">
        <x:v>FND-001_VAL</x:v>
      </x:c>
      <x:c r="B318" s="20" t="n">
        <x:v>2023</x:v>
      </x:c>
      <x:c r="C318" s="20" t="str">
        <x:v>Procuración de Fondos</x:v>
      </x:c>
      <x:c r="D318" s="20" t="str">
        <x:v>FND-001</x:v>
      </x:c>
      <x:c r="E318" s="20" t="str">
        <x:v>VAL</x:v>
      </x:c>
      <x:c r="F318" s="20" t="str">
        <x:v>Suma de donativos efectivamente recibidos atribuibles a la campaña</x:v>
      </x:c>
      <x:c r="G318" s="20" t="str">
        <x:v>MXN</x:v>
      </x:c>
      <x:c r="H318" s="20" t="n">
        <x:v>27200</x:v>
      </x:c>
      <x:c r="I318" s="20" t="str">
        <x:v>Historical Dummy</x:v>
      </x:c>
      <x:c r="J318" s="20" t="str">
        <x:v>YES</x:v>
      </x:c>
    </x:row>
    <x:row r="319">
      <x:c r="A319" s="20" t="str">
        <x:v>FND-001_VAL</x:v>
      </x:c>
      <x:c r="B319" s="20" t="n">
        <x:v>2024</x:v>
      </x:c>
      <x:c r="C319" s="20" t="str">
        <x:v>Procuración de Fondos</x:v>
      </x:c>
      <x:c r="D319" s="20" t="str">
        <x:v>FND-001</x:v>
      </x:c>
      <x:c r="E319" s="20" t="str">
        <x:v>VAL</x:v>
      </x:c>
      <x:c r="F319" s="20" t="str">
        <x:v>Suma de donativos efectivamente recibidos atribuibles a la campaña</x:v>
      </x:c>
      <x:c r="G319" s="20" t="str">
        <x:v>MXN</x:v>
      </x:c>
      <x:c r="H319" s="20" t="n">
        <x:v>31200</x:v>
      </x:c>
      <x:c r="I319" s="20" t="str">
        <x:v>Historical Dummy</x:v>
      </x:c>
      <x:c r="J319" s="20" t="str">
        <x:v>YES</x:v>
      </x:c>
    </x:row>
    <x:row r="320">
      <x:c r="A320" s="20" t="str">
        <x:v>FND-001_VAL</x:v>
      </x:c>
      <x:c r="B320" s="20" t="n">
        <x:v>2025</x:v>
      </x:c>
      <x:c r="C320" s="20" t="str">
        <x:v>Procuración de Fondos</x:v>
      </x:c>
      <x:c r="D320" s="20" t="str">
        <x:v>FND-001</x:v>
      </x:c>
      <x:c r="E320" s="20" t="str">
        <x:v>VAL</x:v>
      </x:c>
      <x:c r="F320" s="20" t="str">
        <x:v>Suma de donativos efectivamente recibidos atribuibles a la campaña</x:v>
      </x:c>
      <x:c r="G320" s="20" t="str">
        <x:v>MXN</x:v>
      </x:c>
      <x:c r="H320" s="20" t="n">
        <x:v>35600</x:v>
      </x:c>
      <x:c r="I320" s="20" t="str">
        <x:v>Historical Dummy</x:v>
      </x:c>
      <x:c r="J320" s="20" t="str">
        <x:v>YES</x:v>
      </x:c>
    </x:row>
    <x:row r="321">
      <x:c r="A321" s="20" t="str">
        <x:v>FND-001_VAL</x:v>
      </x:c>
      <x:c r="B321" s="20" t="n">
        <x:v>2026</x:v>
      </x:c>
      <x:c r="C321" s="20" t="str">
        <x:v>Procuración de Fondos</x:v>
      </x:c>
      <x:c r="D321" s="20" t="str">
        <x:v>FND-001</x:v>
      </x:c>
      <x:c r="E321" s="20" t="str">
        <x:v>VAL</x:v>
      </x:c>
      <x:c r="F321" s="20" t="str">
        <x:v>Suma de donativos efectivamente recibidos atribuibles a la campaña</x:v>
      </x:c>
      <x:c r="G321" s="20" t="str">
        <x:v>MXN</x:v>
      </x:c>
      <x:c r="H321" s="20" t="n">
        <x:v>40800</x:v>
      </x:c>
      <x:c r="I321" s="20" t="str">
        <x:v>Plan-Year Dummy</x:v>
      </x:c>
      <x:c r="J321" s="20" t="str">
        <x:v>YES</x:v>
      </x:c>
    </x:row>
    <x:row r="322">
      <x:c r="A322" s="20" t="str">
        <x:v>FND-002_VAL</x:v>
      </x:c>
      <x:c r="B322" s="20" t="n">
        <x:v>2023</x:v>
      </x:c>
      <x:c r="C322" s="20" t="str">
        <x:v>Procuración de Fondos</x:v>
      </x:c>
      <x:c r="D322" s="20" t="str">
        <x:v>FND-002</x:v>
      </x:c>
      <x:c r="E322" s="20" t="str">
        <x:v>VAL</x:v>
      </x:c>
      <x:c r="F322" s="20" t="str">
        <x:v>Suma de donativos efectivamente recibidos en la campaña México</x:v>
      </x:c>
      <x:c r="G322" s="20" t="str">
        <x:v>MXN</x:v>
      </x:c>
      <x:c r="H322" s="20" t="n">
        <x:v>359984</x:v>
      </x:c>
      <x:c r="I322" s="20" t="str">
        <x:v>Historical Dummy</x:v>
      </x:c>
      <x:c r="J322" s="20" t="str">
        <x:v>YES</x:v>
      </x:c>
    </x:row>
    <x:row r="323">
      <x:c r="A323" s="20" t="str">
        <x:v>FND-002_VAL</x:v>
      </x:c>
      <x:c r="B323" s="20" t="n">
        <x:v>2024</x:v>
      </x:c>
      <x:c r="C323" s="20" t="str">
        <x:v>Procuración de Fondos</x:v>
      </x:c>
      <x:c r="D323" s="20" t="str">
        <x:v>FND-002</x:v>
      </x:c>
      <x:c r="E323" s="20" t="str">
        <x:v>VAL</x:v>
      </x:c>
      <x:c r="F323" s="20" t="str">
        <x:v>Suma de donativos efectivamente recibidos en la campaña México</x:v>
      </x:c>
      <x:c r="G323" s="20" t="str">
        <x:v>MXN</x:v>
      </x:c>
      <x:c r="H323" s="20" t="n">
        <x:v>359989</x:v>
      </x:c>
      <x:c r="I323" s="20" t="str">
        <x:v>Historical Dummy</x:v>
      </x:c>
      <x:c r="J323" s="20" t="str">
        <x:v>YES</x:v>
      </x:c>
    </x:row>
    <x:row r="324">
      <x:c r="A324" s="20" t="str">
        <x:v>FND-002_VAL</x:v>
      </x:c>
      <x:c r="B324" s="20" t="n">
        <x:v>2025</x:v>
      </x:c>
      <x:c r="C324" s="20" t="str">
        <x:v>Procuración de Fondos</x:v>
      </x:c>
      <x:c r="D324" s="20" t="str">
        <x:v>FND-002</x:v>
      </x:c>
      <x:c r="E324" s="20" t="str">
        <x:v>VAL</x:v>
      </x:c>
      <x:c r="F324" s="20" t="str">
        <x:v>Suma de donativos efectivamente recibidos en la campaña México</x:v>
      </x:c>
      <x:c r="G324" s="20" t="str">
        <x:v>MXN</x:v>
      </x:c>
      <x:c r="H324" s="20" t="n">
        <x:v>359994</x:v>
      </x:c>
      <x:c r="I324" s="20" t="str">
        <x:v>Historical Dummy</x:v>
      </x:c>
      <x:c r="J324" s="20" t="str">
        <x:v>YES</x:v>
      </x:c>
    </x:row>
    <x:row r="325">
      <x:c r="A325" s="20" t="str">
        <x:v>FND-002_VAL</x:v>
      </x:c>
      <x:c r="B325" s="20" t="n">
        <x:v>2026</x:v>
      </x:c>
      <x:c r="C325" s="20" t="str">
        <x:v>Procuración de Fondos</x:v>
      </x:c>
      <x:c r="D325" s="20" t="str">
        <x:v>FND-002</x:v>
      </x:c>
      <x:c r="E325" s="20" t="str">
        <x:v>VAL</x:v>
      </x:c>
      <x:c r="F325" s="20" t="str">
        <x:v>Suma de donativos efectivamente recibidos en la campaña México</x:v>
      </x:c>
      <x:c r="G325" s="20" t="str">
        <x:v>MXN</x:v>
      </x:c>
      <x:c r="H325" s="20" t="n">
        <x:v>100</x:v>
      </x:c>
      <x:c r="I325" s="20" t="str">
        <x:v>Plan-Year Dummy</x:v>
      </x:c>
      <x:c r="J325" s="20" t="str">
        <x:v>YES</x:v>
      </x:c>
    </x:row>
    <x:row r="326">
      <x:c r="A326" s="20" t="str">
        <x:v>FND-003_VAL</x:v>
      </x:c>
      <x:c r="B326" s="20" t="n">
        <x:v>2023</x:v>
      </x:c>
      <x:c r="C326" s="20" t="str">
        <x:v>Procuración de Fondos</x:v>
      </x:c>
      <x:c r="D326" s="20" t="str">
        <x:v>FND-003</x:v>
      </x:c>
      <x:c r="E326" s="20" t="str">
        <x:v>VAL</x:v>
      </x:c>
      <x:c r="F326" s="20" t="str">
        <x:v>Suma de donativos efectivamente recibidos en la campaña USA</x:v>
      </x:c>
      <x:c r="G326" s="20" t="str">
        <x:v>USD</x:v>
      </x:c>
      <x:c r="H326" s="20" t="n">
        <x:v>29984</x:v>
      </x:c>
      <x:c r="I326" s="20" t="str">
        <x:v>Historical Dummy</x:v>
      </x:c>
      <x:c r="J326" s="20" t="str">
        <x:v>YES</x:v>
      </x:c>
    </x:row>
    <x:row r="327">
      <x:c r="A327" s="20" t="str">
        <x:v>FND-003_VAL</x:v>
      </x:c>
      <x:c r="B327" s="20" t="n">
        <x:v>2024</x:v>
      </x:c>
      <x:c r="C327" s="20" t="str">
        <x:v>Procuración de Fondos</x:v>
      </x:c>
      <x:c r="D327" s="20" t="str">
        <x:v>FND-003</x:v>
      </x:c>
      <x:c r="E327" s="20" t="str">
        <x:v>VAL</x:v>
      </x:c>
      <x:c r="F327" s="20" t="str">
        <x:v>Suma de donativos efectivamente recibidos en la campaña USA</x:v>
      </x:c>
      <x:c r="G327" s="20" t="str">
        <x:v>USD</x:v>
      </x:c>
      <x:c r="H327" s="20" t="n">
        <x:v>29989</x:v>
      </x:c>
      <x:c r="I327" s="20" t="str">
        <x:v>Historical Dummy</x:v>
      </x:c>
      <x:c r="J327" s="20" t="str">
        <x:v>YES</x:v>
      </x:c>
    </x:row>
    <x:row r="328">
      <x:c r="A328" s="20" t="str">
        <x:v>FND-003_VAL</x:v>
      </x:c>
      <x:c r="B328" s="20" t="n">
        <x:v>2025</x:v>
      </x:c>
      <x:c r="C328" s="20" t="str">
        <x:v>Procuración de Fondos</x:v>
      </x:c>
      <x:c r="D328" s="20" t="str">
        <x:v>FND-003</x:v>
      </x:c>
      <x:c r="E328" s="20" t="str">
        <x:v>VAL</x:v>
      </x:c>
      <x:c r="F328" s="20" t="str">
        <x:v>Suma de donativos efectivamente recibidos en la campaña USA</x:v>
      </x:c>
      <x:c r="G328" s="20" t="str">
        <x:v>USD</x:v>
      </x:c>
      <x:c r="H328" s="20" t="n">
        <x:v>29994</x:v>
      </x:c>
      <x:c r="I328" s="20" t="str">
        <x:v>Historical Dummy</x:v>
      </x:c>
      <x:c r="J328" s="20" t="str">
        <x:v>YES</x:v>
      </x:c>
    </x:row>
    <x:row r="329">
      <x:c r="A329" s="20" t="str">
        <x:v>FND-003_VAL</x:v>
      </x:c>
      <x:c r="B329" s="20" t="n">
        <x:v>2026</x:v>
      </x:c>
      <x:c r="C329" s="20" t="str">
        <x:v>Procuración de Fondos</x:v>
      </x:c>
      <x:c r="D329" s="20" t="str">
        <x:v>FND-003</x:v>
      </x:c>
      <x:c r="E329" s="20" t="str">
        <x:v>VAL</x:v>
      </x:c>
      <x:c r="F329" s="20" t="str">
        <x:v>Suma de donativos efectivamente recibidos en la campaña USA</x:v>
      </x:c>
      <x:c r="G329" s="20" t="str">
        <x:v>USD</x:v>
      </x:c>
      <x:c r="H329" s="20" t="n">
        <x:v>100</x:v>
      </x:c>
      <x:c r="I329" s="20" t="str">
        <x:v>Plan-Year Dummy</x:v>
      </x:c>
      <x:c r="J329" s="20" t="str">
        <x:v>YES</x:v>
      </x:c>
    </x:row>
    <x:row r="330">
      <x:c r="A330" s="20" t="str">
        <x:v>FND-004_VAL</x:v>
      </x:c>
      <x:c r="B330" s="20" t="n">
        <x:v>2023</x:v>
      </x:c>
      <x:c r="C330" s="20" t="str">
        <x:v>Procuración de Fondos</x:v>
      </x:c>
      <x:c r="D330" s="20" t="str">
        <x:v>FND-004</x:v>
      </x:c>
      <x:c r="E330" s="20" t="str">
        <x:v>VAL</x:v>
      </x:c>
      <x:c r="F330" s="20" t="str">
        <x:v>Suma de donativos efectivamente recibidos en la campaña Perú</x:v>
      </x:c>
      <x:c r="G330" s="20" t="str">
        <x:v>USD</x:v>
      </x:c>
      <x:c r="H330" s="20" t="n">
        <x:v>2984</x:v>
      </x:c>
      <x:c r="I330" s="20" t="str">
        <x:v>Historical Dummy</x:v>
      </x:c>
      <x:c r="J330" s="20" t="str">
        <x:v>YES</x:v>
      </x:c>
    </x:row>
    <x:row r="331">
      <x:c r="A331" s="20" t="str">
        <x:v>FND-004_VAL</x:v>
      </x:c>
      <x:c r="B331" s="20" t="n">
        <x:v>2024</x:v>
      </x:c>
      <x:c r="C331" s="20" t="str">
        <x:v>Procuración de Fondos</x:v>
      </x:c>
      <x:c r="D331" s="20" t="str">
        <x:v>FND-004</x:v>
      </x:c>
      <x:c r="E331" s="20" t="str">
        <x:v>VAL</x:v>
      </x:c>
      <x:c r="F331" s="20" t="str">
        <x:v>Suma de donativos efectivamente recibidos en la campaña Perú</x:v>
      </x:c>
      <x:c r="G331" s="20" t="str">
        <x:v>USD</x:v>
      </x:c>
      <x:c r="H331" s="20" t="n">
        <x:v>2989</x:v>
      </x:c>
      <x:c r="I331" s="20" t="str">
        <x:v>Historical Dummy</x:v>
      </x:c>
      <x:c r="J331" s="20" t="str">
        <x:v>YES</x:v>
      </x:c>
    </x:row>
    <x:row r="332">
      <x:c r="A332" s="20" t="str">
        <x:v>FND-004_VAL</x:v>
      </x:c>
      <x:c r="B332" s="20" t="n">
        <x:v>2025</x:v>
      </x:c>
      <x:c r="C332" s="20" t="str">
        <x:v>Procuración de Fondos</x:v>
      </x:c>
      <x:c r="D332" s="20" t="str">
        <x:v>FND-004</x:v>
      </x:c>
      <x:c r="E332" s="20" t="str">
        <x:v>VAL</x:v>
      </x:c>
      <x:c r="F332" s="20" t="str">
        <x:v>Suma de donativos efectivamente recibidos en la campaña Perú</x:v>
      </x:c>
      <x:c r="G332" s="20" t="str">
        <x:v>USD</x:v>
      </x:c>
      <x:c r="H332" s="20" t="n">
        <x:v>2994</x:v>
      </x:c>
      <x:c r="I332" s="20" t="str">
        <x:v>Historical Dummy</x:v>
      </x:c>
      <x:c r="J332" s="20" t="str">
        <x:v>YES</x:v>
      </x:c>
    </x:row>
    <x:row r="333">
      <x:c r="A333" s="20" t="str">
        <x:v>FND-004_VAL</x:v>
      </x:c>
      <x:c r="B333" s="20" t="n">
        <x:v>2026</x:v>
      </x:c>
      <x:c r="C333" s="20" t="str">
        <x:v>Procuración de Fondos</x:v>
      </x:c>
      <x:c r="D333" s="20" t="str">
        <x:v>FND-004</x:v>
      </x:c>
      <x:c r="E333" s="20" t="str">
        <x:v>VAL</x:v>
      </x:c>
      <x:c r="F333" s="20" t="str">
        <x:v>Suma de donativos efectivamente recibidos en la campaña Perú</x:v>
      </x:c>
      <x:c r="G333" s="20" t="str">
        <x:v>USD</x:v>
      </x:c>
      <x:c r="H333" s="20" t="n">
        <x:v>100</x:v>
      </x:c>
      <x:c r="I333" s="20" t="str">
        <x:v>Plan-Year Dummy</x:v>
      </x:c>
      <x:c r="J333" s="20" t="str">
        <x:v>YES</x:v>
      </x:c>
    </x:row>
    <x:row r="334">
      <x:c r="A334" s="20" t="str">
        <x:v>FND-005_NUM</x:v>
      </x:c>
      <x:c r="B334" s="20" t="n">
        <x:v>2023</x:v>
      </x:c>
      <x:c r="C334" s="20" t="str">
        <x:v>Procuración de Fondos</x:v>
      </x:c>
      <x:c r="D334" s="20" t="str">
        <x:v>FND-005</x:v>
      </x:c>
      <x:c r="E334" s="20" t="str">
        <x:v>NUM</x:v>
      </x:c>
      <x:c r="F334" s="20" t="str">
        <x:v>Unidades vendidas</x:v>
      </x:c>
      <x:c r="G334" s="20" t="str">
        <x:v># / base</x:v>
      </x:c>
      <x:c r="H334" s="20" t="n">
        <x:v>84</x:v>
      </x:c>
      <x:c r="I334" s="20" t="str">
        <x:v>Historical Dummy</x:v>
      </x:c>
      <x:c r="J334" s="20" t="str">
        <x:v>YES</x:v>
      </x:c>
    </x:row>
    <x:row r="335">
      <x:c r="A335" s="20" t="str">
        <x:v>FND-005_NUM</x:v>
      </x:c>
      <x:c r="B335" s="20" t="n">
        <x:v>2024</x:v>
      </x:c>
      <x:c r="C335" s="20" t="str">
        <x:v>Procuración de Fondos</x:v>
      </x:c>
      <x:c r="D335" s="20" t="str">
        <x:v>FND-005</x:v>
      </x:c>
      <x:c r="E335" s="20" t="str">
        <x:v>NUM</x:v>
      </x:c>
      <x:c r="F335" s="20" t="str">
        <x:v>Unidades vendidas</x:v>
      </x:c>
      <x:c r="G335" s="20" t="str">
        <x:v># / base</x:v>
      </x:c>
      <x:c r="H335" s="20" t="n">
        <x:v>96</x:v>
      </x:c>
      <x:c r="I335" s="20" t="str">
        <x:v>Historical Dummy</x:v>
      </x:c>
      <x:c r="J335" s="20" t="str">
        <x:v>YES</x:v>
      </x:c>
    </x:row>
    <x:row r="336">
      <x:c r="A336" s="20" t="str">
        <x:v>FND-005_NUM</x:v>
      </x:c>
      <x:c r="B336" s="20" t="n">
        <x:v>2025</x:v>
      </x:c>
      <x:c r="C336" s="20" t="str">
        <x:v>Procuración de Fondos</x:v>
      </x:c>
      <x:c r="D336" s="20" t="str">
        <x:v>FND-005</x:v>
      </x:c>
      <x:c r="E336" s="20" t="str">
        <x:v>NUM</x:v>
      </x:c>
      <x:c r="F336" s="20" t="str">
        <x:v>Unidades vendidas</x:v>
      </x:c>
      <x:c r="G336" s="20" t="str">
        <x:v># / base</x:v>
      </x:c>
      <x:c r="H336" s="20" t="n">
        <x:v>109</x:v>
      </x:c>
      <x:c r="I336" s="20" t="str">
        <x:v>Historical Dummy</x:v>
      </x:c>
      <x:c r="J336" s="20" t="str">
        <x:v>YES</x:v>
      </x:c>
    </x:row>
    <x:row r="337">
      <x:c r="A337" s="20" t="str">
        <x:v>FND-005_NUM</x:v>
      </x:c>
      <x:c r="B337" s="20" t="n">
        <x:v>2026</x:v>
      </x:c>
      <x:c r="C337" s="20" t="str">
        <x:v>Procuración de Fondos</x:v>
      </x:c>
      <x:c r="D337" s="20" t="str">
        <x:v>FND-005</x:v>
      </x:c>
      <x:c r="E337" s="20" t="str">
        <x:v>NUM</x:v>
      </x:c>
      <x:c r="F337" s="20" t="str">
        <x:v>Unidades vendidas</x:v>
      </x:c>
      <x:c r="G337" s="20" t="str">
        <x:v># / base</x:v>
      </x:c>
      <x:c r="H337" s="20" t="n">
        <x:v>125</x:v>
      </x:c>
      <x:c r="I337" s="20" t="str">
        <x:v>Plan-Year Dummy</x:v>
      </x:c>
      <x:c r="J337" s="20" t="str">
        <x:v>YES</x:v>
      </x:c>
    </x:row>
    <x:row r="338">
      <x:c r="A338" s="20" t="str">
        <x:v>FND-005_DEN</x:v>
      </x:c>
      <x:c r="B338" s="20" t="n">
        <x:v>2023</x:v>
      </x:c>
      <x:c r="C338" s="20" t="str">
        <x:v>Procuración de Fondos</x:v>
      </x:c>
      <x:c r="D338" s="20" t="str">
        <x:v>FND-005</x:v>
      </x:c>
      <x:c r="E338" s="20" t="str">
        <x:v>DEN</x:v>
      </x:c>
      <x:c r="F338" s="20" t="str">
        <x:v>unidades producidas disponibles para venta</x:v>
      </x:c>
      <x:c r="G338" s="20" t="str">
        <x:v># / base</x:v>
      </x:c>
      <x:c r="H338" s="20" t="n">
        <x:v>100</x:v>
      </x:c>
      <x:c r="I338" s="20" t="str">
        <x:v>Historical Dummy</x:v>
      </x:c>
      <x:c r="J338" s="20" t="str">
        <x:v>YES</x:v>
      </x:c>
    </x:row>
    <x:row r="339">
      <x:c r="A339" s="20" t="str">
        <x:v>FND-005_DEN</x:v>
      </x:c>
      <x:c r="B339" s="20" t="n">
        <x:v>2024</x:v>
      </x:c>
      <x:c r="C339" s="20" t="str">
        <x:v>Procuración de Fondos</x:v>
      </x:c>
      <x:c r="D339" s="20" t="str">
        <x:v>FND-005</x:v>
      </x:c>
      <x:c r="E339" s="20" t="str">
        <x:v>DEN</x:v>
      </x:c>
      <x:c r="F339" s="20" t="str">
        <x:v>unidades producidas disponibles para venta</x:v>
      </x:c>
      <x:c r="G339" s="20" t="str">
        <x:v># / base</x:v>
      </x:c>
      <x:c r="H339" s="20" t="n">
        <x:v>108</x:v>
      </x:c>
      <x:c r="I339" s="20" t="str">
        <x:v>Historical Dummy</x:v>
      </x:c>
      <x:c r="J339" s="20" t="str">
        <x:v>YES</x:v>
      </x:c>
    </x:row>
    <x:row r="340">
      <x:c r="A340" s="20" t="str">
        <x:v>FND-005_DEN</x:v>
      </x:c>
      <x:c r="B340" s="20" t="n">
        <x:v>2025</x:v>
      </x:c>
      <x:c r="C340" s="20" t="str">
        <x:v>Procuración de Fondos</x:v>
      </x:c>
      <x:c r="D340" s="20" t="str">
        <x:v>FND-005</x:v>
      </x:c>
      <x:c r="E340" s="20" t="str">
        <x:v>DEN</x:v>
      </x:c>
      <x:c r="F340" s="20" t="str">
        <x:v>unidades producidas disponibles para venta</x:v>
      </x:c>
      <x:c r="G340" s="20" t="str">
        <x:v># / base</x:v>
      </x:c>
      <x:c r="H340" s="20" t="n">
        <x:v>116</x:v>
      </x:c>
      <x:c r="I340" s="20" t="str">
        <x:v>Historical Dummy</x:v>
      </x:c>
      <x:c r="J340" s="20" t="str">
        <x:v>YES</x:v>
      </x:c>
    </x:row>
    <x:row r="341">
      <x:c r="A341" s="20" t="str">
        <x:v>FND-005_DEN</x:v>
      </x:c>
      <x:c r="B341" s="20" t="n">
        <x:v>2026</x:v>
      </x:c>
      <x:c r="C341" s="20" t="str">
        <x:v>Procuración de Fondos</x:v>
      </x:c>
      <x:c r="D341" s="20" t="str">
        <x:v>FND-005</x:v>
      </x:c>
      <x:c r="E341" s="20" t="str">
        <x:v>DEN</x:v>
      </x:c>
      <x:c r="F341" s="20" t="str">
        <x:v>unidades producidas disponibles para venta</x:v>
      </x:c>
      <x:c r="G341" s="20" t="str">
        <x:v># / base</x:v>
      </x:c>
      <x:c r="H341" s="20" t="n">
        <x:v>125</x:v>
      </x:c>
      <x:c r="I341" s="20" t="str">
        <x:v>Plan-Year Dummy</x:v>
      </x:c>
      <x:c r="J341" s="20" t="str">
        <x:v>YES</x:v>
      </x:c>
    </x:row>
    <x:row r="342">
      <x:c r="A342" s="20" t="str">
        <x:v>FND-006_VAL</x:v>
      </x:c>
      <x:c r="B342" s="20" t="n">
        <x:v>2023</x:v>
      </x:c>
      <x:c r="C342" s="20" t="str">
        <x:v>Procuración de Fondos</x:v>
      </x:c>
      <x:c r="D342" s="20" t="str">
        <x:v>FND-006</x:v>
      </x:c>
      <x:c r="E342" s="20" t="str">
        <x:v>VAL</x:v>
      </x:c>
      <x:c r="F342" s="20" t="str">
        <x:v>Número de personas que inician una donación recurrente activa en USA durante 2026</x:v>
      </x:c>
      <x:c r="G342" s="20" t="str">
        <x:v>#</x:v>
      </x:c>
      <x:c r="H342" s="20" t="n">
        <x:v>57</x:v>
      </x:c>
      <x:c r="I342" s="20" t="str">
        <x:v>Historical Dummy</x:v>
      </x:c>
      <x:c r="J342" s="20" t="str">
        <x:v>YES</x:v>
      </x:c>
    </x:row>
    <x:row r="343">
      <x:c r="A343" s="20" t="str">
        <x:v>FND-006_VAL</x:v>
      </x:c>
      <x:c r="B343" s="20" t="n">
        <x:v>2024</x:v>
      </x:c>
      <x:c r="C343" s="20" t="str">
        <x:v>Procuración de Fondos</x:v>
      </x:c>
      <x:c r="D343" s="20" t="str">
        <x:v>FND-006</x:v>
      </x:c>
      <x:c r="E343" s="20" t="str">
        <x:v>VAL</x:v>
      </x:c>
      <x:c r="F343" s="20" t="str">
        <x:v>Número de personas que inician una donación recurrente activa en USA durante 2026</x:v>
      </x:c>
      <x:c r="G343" s="20" t="str">
        <x:v>#</x:v>
      </x:c>
      <x:c r="H343" s="20" t="n">
        <x:v>62</x:v>
      </x:c>
      <x:c r="I343" s="20" t="str">
        <x:v>Historical Dummy</x:v>
      </x:c>
      <x:c r="J343" s="20" t="str">
        <x:v>YES</x:v>
      </x:c>
    </x:row>
    <x:row r="344">
      <x:c r="A344" s="20" t="str">
        <x:v>FND-006_VAL</x:v>
      </x:c>
      <x:c r="B344" s="20" t="n">
        <x:v>2025</x:v>
      </x:c>
      <x:c r="C344" s="20" t="str">
        <x:v>Procuración de Fondos</x:v>
      </x:c>
      <x:c r="D344" s="20" t="str">
        <x:v>FND-006</x:v>
      </x:c>
      <x:c r="E344" s="20" t="str">
        <x:v>VAL</x:v>
      </x:c>
      <x:c r="F344" s="20" t="str">
        <x:v>Número de personas que inician una donación recurrente activa en USA durante 2026</x:v>
      </x:c>
      <x:c r="G344" s="20" t="str">
        <x:v>#</x:v>
      </x:c>
      <x:c r="H344" s="20" t="n">
        <x:v>67</x:v>
      </x:c>
      <x:c r="I344" s="20" t="str">
        <x:v>Historical Dummy</x:v>
      </x:c>
      <x:c r="J344" s="20" t="str">
        <x:v>YES</x:v>
      </x:c>
    </x:row>
    <x:row r="345">
      <x:c r="A345" s="20" t="str">
        <x:v>FND-006_VAL</x:v>
      </x:c>
      <x:c r="B345" s="20" t="n">
        <x:v>2026</x:v>
      </x:c>
      <x:c r="C345" s="20" t="str">
        <x:v>Procuración de Fondos</x:v>
      </x:c>
      <x:c r="D345" s="20" t="str">
        <x:v>FND-006</x:v>
      </x:c>
      <x:c r="E345" s="20" t="str">
        <x:v>VAL</x:v>
      </x:c>
      <x:c r="F345" s="20" t="str">
        <x:v>Número de personas que inician una donación recurrente activa en USA durante 2026</x:v>
      </x:c>
      <x:c r="G345" s="20" t="str">
        <x:v>#</x:v>
      </x:c>
      <x:c r="H345" s="20" t="n">
        <x:v>73</x:v>
      </x:c>
      <x:c r="I345" s="20" t="str">
        <x:v>Plan-Year Dummy</x:v>
      </x:c>
      <x:c r="J345" s="20" t="str">
        <x:v>YES</x:v>
      </x:c>
    </x:row>
    <x:row r="346">
      <x:c r="A346" s="20" t="str">
        <x:v>FND-007_VAL</x:v>
      </x:c>
      <x:c r="B346" s="20" t="n">
        <x:v>2023</x:v>
      </x:c>
      <x:c r="C346" s="20" t="str">
        <x:v>Procuración de Fondos</x:v>
      </x:c>
      <x:c r="D346" s="20" t="str">
        <x:v>FND-007</x:v>
      </x:c>
      <x:c r="E346" s="20" t="str">
        <x:v>VAL</x:v>
      </x:c>
      <x:c r="F346" s="20" t="str">
        <x:v>Número de personas que inician una donación recurrente activa en México durante 2026</x:v>
      </x:c>
      <x:c r="G346" s="20" t="str">
        <x:v>#</x:v>
      </x:c>
      <x:c r="H346" s="20" t="n">
        <x:v>10</x:v>
      </x:c>
      <x:c r="I346" s="20" t="str">
        <x:v>Historical Dummy</x:v>
      </x:c>
      <x:c r="J346" s="20" t="str">
        <x:v>YES</x:v>
      </x:c>
    </x:row>
    <x:row r="347">
      <x:c r="A347" s="20" t="str">
        <x:v>FND-007_VAL</x:v>
      </x:c>
      <x:c r="B347" s="20" t="n">
        <x:v>2024</x:v>
      </x:c>
      <x:c r="C347" s="20" t="str">
        <x:v>Procuración de Fondos</x:v>
      </x:c>
      <x:c r="D347" s="20" t="str">
        <x:v>FND-007</x:v>
      </x:c>
      <x:c r="E347" s="20" t="str">
        <x:v>VAL</x:v>
      </x:c>
      <x:c r="F347" s="20" t="str">
        <x:v>Número de personas que inician una donación recurrente activa en México durante 2026</x:v>
      </x:c>
      <x:c r="G347" s="20" t="str">
        <x:v>#</x:v>
      </x:c>
      <x:c r="H347" s="20" t="n">
        <x:v>12</x:v>
      </x:c>
      <x:c r="I347" s="20" t="str">
        <x:v>Historical Dummy</x:v>
      </x:c>
      <x:c r="J347" s="20" t="str">
        <x:v>YES</x:v>
      </x:c>
    </x:row>
    <x:row r="348">
      <x:c r="A348" s="20" t="str">
        <x:v>FND-007_VAL</x:v>
      </x:c>
      <x:c r="B348" s="20" t="n">
        <x:v>2025</x:v>
      </x:c>
      <x:c r="C348" s="20" t="str">
        <x:v>Procuración de Fondos</x:v>
      </x:c>
      <x:c r="D348" s="20" t="str">
        <x:v>FND-007</x:v>
      </x:c>
      <x:c r="E348" s="20" t="str">
        <x:v>VAL</x:v>
      </x:c>
      <x:c r="F348" s="20" t="str">
        <x:v>Número de personas que inician una donación recurrente activa en México durante 2026</x:v>
      </x:c>
      <x:c r="G348" s="20" t="str">
        <x:v>#</x:v>
      </x:c>
      <x:c r="H348" s="20" t="n">
        <x:v>14</x:v>
      </x:c>
      <x:c r="I348" s="20" t="str">
        <x:v>Historical Dummy</x:v>
      </x:c>
      <x:c r="J348" s="20" t="str">
        <x:v>YES</x:v>
      </x:c>
    </x:row>
    <x:row r="349">
      <x:c r="A349" s="20" t="str">
        <x:v>FND-007_VAL</x:v>
      </x:c>
      <x:c r="B349" s="20" t="n">
        <x:v>2026</x:v>
      </x:c>
      <x:c r="C349" s="20" t="str">
        <x:v>Procuración de Fondos</x:v>
      </x:c>
      <x:c r="D349" s="20" t="str">
        <x:v>FND-007</x:v>
      </x:c>
      <x:c r="E349" s="20" t="str">
        <x:v>VAL</x:v>
      </x:c>
      <x:c r="F349" s="20" t="str">
        <x:v>Número de personas que inician una donación recurrente activa en México durante 2026</x:v>
      </x:c>
      <x:c r="G349" s="20" t="str">
        <x:v>#</x:v>
      </x:c>
      <x:c r="H349" s="20" t="n">
        <x:v>15</x:v>
      </x:c>
      <x:c r="I349" s="20" t="str">
        <x:v>Plan-Year Dummy</x:v>
      </x:c>
      <x:c r="J349" s="20" t="str">
        <x:v>YES</x:v>
      </x:c>
    </x:row>
    <x:row r="350">
      <x:c r="A350" s="20" t="str">
        <x:v>FND-008_VAL</x:v>
      </x:c>
      <x:c r="B350" s="20" t="n">
        <x:v>2023</x:v>
      </x:c>
      <x:c r="C350" s="20" t="str">
        <x:v>Procuración de Fondos</x:v>
      </x:c>
      <x:c r="D350" s="20" t="str">
        <x:v>FND-008</x:v>
      </x:c>
      <x:c r="E350" s="20" t="str">
        <x:v>VAL</x:v>
      </x:c>
      <x:c r="F350" s="20" t="str">
        <x:v>Nuevos donantes con recurrencia activa y primer cobro exitoso</x:v>
      </x:c>
      <x:c r="G350" s="20" t="str">
        <x:v>#</x:v>
      </x:c>
      <x:c r="H350" s="20" t="n">
        <x:v>4</x:v>
      </x:c>
      <x:c r="I350" s="20" t="str">
        <x:v>Historical Dummy</x:v>
      </x:c>
      <x:c r="J350" s="20" t="str">
        <x:v>YES</x:v>
      </x:c>
    </x:row>
    <x:row r="351">
      <x:c r="A351" s="20" t="str">
        <x:v>FND-008_VAL</x:v>
      </x:c>
      <x:c r="B351" s="20" t="n">
        <x:v>2024</x:v>
      </x:c>
      <x:c r="C351" s="20" t="str">
        <x:v>Procuración de Fondos</x:v>
      </x:c>
      <x:c r="D351" s="20" t="str">
        <x:v>FND-008</x:v>
      </x:c>
      <x:c r="E351" s="20" t="str">
        <x:v>VAL</x:v>
      </x:c>
      <x:c r="F351" s="20" t="str">
        <x:v>Nuevos donantes con recurrencia activa y primer cobro exitoso</x:v>
      </x:c>
      <x:c r="G351" s="20" t="str">
        <x:v>#</x:v>
      </x:c>
      <x:c r="H351" s="20" t="n">
        <x:v>6</x:v>
      </x:c>
      <x:c r="I351" s="20" t="str">
        <x:v>Historical Dummy</x:v>
      </x:c>
      <x:c r="J351" s="20" t="str">
        <x:v>YES</x:v>
      </x:c>
    </x:row>
    <x:row r="352">
      <x:c r="A352" s="20" t="str">
        <x:v>FND-008_VAL</x:v>
      </x:c>
      <x:c r="B352" s="20" t="n">
        <x:v>2025</x:v>
      </x:c>
      <x:c r="C352" s="20" t="str">
        <x:v>Procuración de Fondos</x:v>
      </x:c>
      <x:c r="D352" s="20" t="str">
        <x:v>FND-008</x:v>
      </x:c>
      <x:c r="E352" s="20" t="str">
        <x:v>VAL</x:v>
      </x:c>
      <x:c r="F352" s="20" t="str">
        <x:v>Nuevos donantes con recurrencia activa y primer cobro exitoso</x:v>
      </x:c>
      <x:c r="G352" s="20" t="str">
        <x:v>#</x:v>
      </x:c>
      <x:c r="H352" s="20" t="n">
        <x:v>7</x:v>
      </x:c>
      <x:c r="I352" s="20" t="str">
        <x:v>Historical Dummy</x:v>
      </x:c>
      <x:c r="J352" s="20" t="str">
        <x:v>YES</x:v>
      </x:c>
    </x:row>
    <x:row r="353">
      <x:c r="A353" s="20" t="str">
        <x:v>FND-008_VAL</x:v>
      </x:c>
      <x:c r="B353" s="20" t="n">
        <x:v>2026</x:v>
      </x:c>
      <x:c r="C353" s="20" t="str">
        <x:v>Procuración de Fondos</x:v>
      </x:c>
      <x:c r="D353" s="20" t="str">
        <x:v>FND-008</x:v>
      </x:c>
      <x:c r="E353" s="20" t="str">
        <x:v>VAL</x:v>
      </x:c>
      <x:c r="F353" s="20" t="str">
        <x:v>Nuevos donantes con recurrencia activa y primer cobro exitoso</x:v>
      </x:c>
      <x:c r="G353" s="20" t="str">
        <x:v>#</x:v>
      </x:c>
      <x:c r="H353" s="20" t="n">
        <x:v>8</x:v>
      </x:c>
      <x:c r="I353" s="20" t="str">
        <x:v>Plan-Year Dummy</x:v>
      </x:c>
      <x:c r="J353" s="20" t="str">
        <x:v>YES</x:v>
      </x:c>
    </x:row>
    <x:row r="354">
      <x:c r="A354" s="20" t="str">
        <x:v>FND-009_VAL</x:v>
      </x:c>
      <x:c r="B354" s="20" t="n">
        <x:v>2023</x:v>
      </x:c>
      <x:c r="C354" s="20" t="str">
        <x:v>Procuración de Fondos</x:v>
      </x:c>
      <x:c r="D354" s="20" t="str">
        <x:v>FND-009</x:v>
      </x:c>
      <x:c r="E354" s="20" t="str">
        <x:v>VAL</x:v>
      </x:c>
      <x:c r="F354" s="20" t="str">
        <x:v>Nuevos donantes con recurrencia activa y primer cobro exitoso</x:v>
      </x:c>
      <x:c r="G354" s="20" t="str">
        <x:v>#</x:v>
      </x:c>
      <x:c r="H354" s="20" t="n">
        <x:v>2</x:v>
      </x:c>
      <x:c r="I354" s="20" t="str">
        <x:v>Historical Dummy</x:v>
      </x:c>
      <x:c r="J354" s="20" t="str">
        <x:v>YES</x:v>
      </x:c>
    </x:row>
    <x:row r="355">
      <x:c r="A355" s="20" t="str">
        <x:v>FND-009_VAL</x:v>
      </x:c>
      <x:c r="B355" s="20" t="n">
        <x:v>2024</x:v>
      </x:c>
      <x:c r="C355" s="20" t="str">
        <x:v>Procuración de Fondos</x:v>
      </x:c>
      <x:c r="D355" s="20" t="str">
        <x:v>FND-009</x:v>
      </x:c>
      <x:c r="E355" s="20" t="str">
        <x:v>VAL</x:v>
      </x:c>
      <x:c r="F355" s="20" t="str">
        <x:v>Nuevos donantes con recurrencia activa y primer cobro exitoso</x:v>
      </x:c>
      <x:c r="G355" s="20" t="str">
        <x:v>#</x:v>
      </x:c>
      <x:c r="H355" s="20" t="n">
        <x:v>4</x:v>
      </x:c>
      <x:c r="I355" s="20" t="str">
        <x:v>Historical Dummy</x:v>
      </x:c>
      <x:c r="J355" s="20" t="str">
        <x:v>YES</x:v>
      </x:c>
    </x:row>
    <x:row r="356">
      <x:c r="A356" s="20" t="str">
        <x:v>FND-009_VAL</x:v>
      </x:c>
      <x:c r="B356" s="20" t="n">
        <x:v>2025</x:v>
      </x:c>
      <x:c r="C356" s="20" t="str">
        <x:v>Procuración de Fondos</x:v>
      </x:c>
      <x:c r="D356" s="20" t="str">
        <x:v>FND-009</x:v>
      </x:c>
      <x:c r="E356" s="20" t="str">
        <x:v>VAL</x:v>
      </x:c>
      <x:c r="F356" s="20" t="str">
        <x:v>Nuevos donantes con recurrencia activa y primer cobro exitoso</x:v>
      </x:c>
      <x:c r="G356" s="20" t="str">
        <x:v>#</x:v>
      </x:c>
      <x:c r="H356" s="20" t="n">
        <x:v>4</x:v>
      </x:c>
      <x:c r="I356" s="20" t="str">
        <x:v>Historical Dummy</x:v>
      </x:c>
      <x:c r="J356" s="20" t="str">
        <x:v>YES</x:v>
      </x:c>
    </x:row>
    <x:row r="357">
      <x:c r="A357" s="20" t="str">
        <x:v>FND-009_VAL</x:v>
      </x:c>
      <x:c r="B357" s="20" t="n">
        <x:v>2026</x:v>
      </x:c>
      <x:c r="C357" s="20" t="str">
        <x:v>Procuración de Fondos</x:v>
      </x:c>
      <x:c r="D357" s="20" t="str">
        <x:v>FND-009</x:v>
      </x:c>
      <x:c r="E357" s="20" t="str">
        <x:v>VAL</x:v>
      </x:c>
      <x:c r="F357" s="20" t="str">
        <x:v>Nuevos donantes con recurrencia activa y primer cobro exitoso</x:v>
      </x:c>
      <x:c r="G357" s="20" t="str">
        <x:v>#</x:v>
      </x:c>
      <x:c r="H357" s="20" t="n">
        <x:v>5</x:v>
      </x:c>
      <x:c r="I357" s="20" t="str">
        <x:v>Plan-Year Dummy</x:v>
      </x:c>
      <x:c r="J357" s="20" t="str">
        <x:v>YES</x:v>
      </x:c>
    </x:row>
    <x:row r="358">
      <x:c r="A358" s="20" t="str">
        <x:v>FND-010_VAL</x:v>
      </x:c>
      <x:c r="B358" s="20" t="n">
        <x:v>2023</x:v>
      </x:c>
      <x:c r="C358" s="20" t="str">
        <x:v>Procuración de Fondos</x:v>
      </x:c>
      <x:c r="D358" s="20" t="str">
        <x:v>FND-010</x:v>
      </x:c>
      <x:c r="E358" s="20" t="str">
        <x:v>VAL</x:v>
      </x:c>
      <x:c r="F358" s="20" t="str">
        <x:v>Número de voluntarios staff participantes por evento</x:v>
      </x:c>
      <x:c r="G358" s="20" t="str">
        <x:v>#</x:v>
      </x:c>
      <x:c r="H358" s="20" t="n">
        <x:v>16</x:v>
      </x:c>
      <x:c r="I358" s="20" t="str">
        <x:v>Historical Dummy</x:v>
      </x:c>
      <x:c r="J358" s="20" t="str">
        <x:v>YES</x:v>
      </x:c>
    </x:row>
    <x:row r="359">
      <x:c r="A359" s="20" t="str">
        <x:v>FND-010_VAL</x:v>
      </x:c>
      <x:c r="B359" s="20" t="n">
        <x:v>2024</x:v>
      </x:c>
      <x:c r="C359" s="20" t="str">
        <x:v>Procuración de Fondos</x:v>
      </x:c>
      <x:c r="D359" s="20" t="str">
        <x:v>FND-010</x:v>
      </x:c>
      <x:c r="E359" s="20" t="str">
        <x:v>VAL</x:v>
      </x:c>
      <x:c r="F359" s="20" t="str">
        <x:v>Número de voluntarios staff participantes por evento</x:v>
      </x:c>
      <x:c r="G359" s="20" t="str">
        <x:v>#</x:v>
      </x:c>
      <x:c r="H359" s="20" t="n">
        <x:v>20</x:v>
      </x:c>
      <x:c r="I359" s="20" t="str">
        <x:v>Historical Dummy</x:v>
      </x:c>
      <x:c r="J359" s="20" t="str">
        <x:v>YES</x:v>
      </x:c>
    </x:row>
    <x:row r="360">
      <x:c r="A360" s="20" t="str">
        <x:v>FND-010_VAL</x:v>
      </x:c>
      <x:c r="B360" s="20" t="n">
        <x:v>2025</x:v>
      </x:c>
      <x:c r="C360" s="20" t="str">
        <x:v>Procuración de Fondos</x:v>
      </x:c>
      <x:c r="D360" s="20" t="str">
        <x:v>FND-010</x:v>
      </x:c>
      <x:c r="E360" s="20" t="str">
        <x:v>VAL</x:v>
      </x:c>
      <x:c r="F360" s="20" t="str">
        <x:v>Número de voluntarios staff participantes por evento</x:v>
      </x:c>
      <x:c r="G360" s="20" t="str">
        <x:v>#</x:v>
      </x:c>
      <x:c r="H360" s="20" t="n">
        <x:v>22</x:v>
      </x:c>
      <x:c r="I360" s="20" t="str">
        <x:v>Historical Dummy</x:v>
      </x:c>
      <x:c r="J360" s="20" t="str">
        <x:v>YES</x:v>
      </x:c>
    </x:row>
    <x:row r="361">
      <x:c r="A361" s="20" t="str">
        <x:v>FND-010_VAL</x:v>
      </x:c>
      <x:c r="B361" s="20" t="n">
        <x:v>2026</x:v>
      </x:c>
      <x:c r="C361" s="20" t="str">
        <x:v>Procuración de Fondos</x:v>
      </x:c>
      <x:c r="D361" s="20" t="str">
        <x:v>FND-010</x:v>
      </x:c>
      <x:c r="E361" s="20" t="str">
        <x:v>VAL</x:v>
      </x:c>
      <x:c r="F361" s="20" t="str">
        <x:v>Número de voluntarios staff participantes por evento</x:v>
      </x:c>
      <x:c r="G361" s="20" t="str">
        <x:v>#</x:v>
      </x:c>
      <x:c r="H361" s="20" t="n">
        <x:v>26</x:v>
      </x:c>
      <x:c r="I361" s="20" t="str">
        <x:v>Plan-Year Dummy</x:v>
      </x:c>
      <x:c r="J361" s="20" t="str">
        <x:v>YES</x:v>
      </x:c>
    </x:row>
    <x:row r="362">
      <x:c r="A362" s="20" t="str">
        <x:v>FND-011_NUM</x:v>
      </x:c>
      <x:c r="B362" s="20" t="n">
        <x:v>2023</x:v>
      </x:c>
      <x:c r="C362" s="20" t="str">
        <x:v>Procuración de Fondos</x:v>
      </x:c>
      <x:c r="D362" s="20" t="str">
        <x:v>FND-011</x:v>
      </x:c>
      <x:c r="E362" s="20" t="str">
        <x:v>NUM</x:v>
      </x:c>
      <x:c r="F362" s="20" t="str">
        <x:v>Nuevos donantes recurrentes atribuibles al voluntariado</x:v>
      </x:c>
      <x:c r="G362" s="20" t="str">
        <x:v># / base</x:v>
      </x:c>
      <x:c r="H362" s="20" t="n">
        <x:v>5</x:v>
      </x:c>
      <x:c r="I362" s="20" t="str">
        <x:v>Historical Dummy</x:v>
      </x:c>
      <x:c r="J362" s="20" t="str">
        <x:v>YES</x:v>
      </x:c>
    </x:row>
    <x:row r="363">
      <x:c r="A363" s="20" t="str">
        <x:v>FND-011_NUM</x:v>
      </x:c>
      <x:c r="B363" s="20" t="n">
        <x:v>2024</x:v>
      </x:c>
      <x:c r="C363" s="20" t="str">
        <x:v>Procuración de Fondos</x:v>
      </x:c>
      <x:c r="D363" s="20" t="str">
        <x:v>FND-011</x:v>
      </x:c>
      <x:c r="E363" s="20" t="str">
        <x:v>NUM</x:v>
      </x:c>
      <x:c r="F363" s="20" t="str">
        <x:v>Nuevos donantes recurrentes atribuibles al voluntariado</x:v>
      </x:c>
      <x:c r="G363" s="20" t="str">
        <x:v># / base</x:v>
      </x:c>
      <x:c r="H363" s="20" t="n">
        <x:v>6</x:v>
      </x:c>
      <x:c r="I363" s="20" t="str">
        <x:v>Historical Dummy</x:v>
      </x:c>
      <x:c r="J363" s="20" t="str">
        <x:v>YES</x:v>
      </x:c>
    </x:row>
    <x:row r="364">
      <x:c r="A364" s="20" t="str">
        <x:v>FND-011_NUM</x:v>
      </x:c>
      <x:c r="B364" s="20" t="n">
        <x:v>2025</x:v>
      </x:c>
      <x:c r="C364" s="20" t="str">
        <x:v>Procuración de Fondos</x:v>
      </x:c>
      <x:c r="D364" s="20" t="str">
        <x:v>FND-011</x:v>
      </x:c>
      <x:c r="E364" s="20" t="str">
        <x:v>NUM</x:v>
      </x:c>
      <x:c r="F364" s="20" t="str">
        <x:v>Nuevos donantes recurrentes atribuibles al voluntariado</x:v>
      </x:c>
      <x:c r="G364" s="20" t="str">
        <x:v># / base</x:v>
      </x:c>
      <x:c r="H364" s="20" t="n">
        <x:v>8</x:v>
      </x:c>
      <x:c r="I364" s="20" t="str">
        <x:v>Historical Dummy</x:v>
      </x:c>
      <x:c r="J364" s="20" t="str">
        <x:v>YES</x:v>
      </x:c>
    </x:row>
    <x:row r="365">
      <x:c r="A365" s="20" t="str">
        <x:v>FND-011_NUM</x:v>
      </x:c>
      <x:c r="B365" s="20" t="n">
        <x:v>2026</x:v>
      </x:c>
      <x:c r="C365" s="20" t="str">
        <x:v>Procuración de Fondos</x:v>
      </x:c>
      <x:c r="D365" s="20" t="str">
        <x:v>FND-011</x:v>
      </x:c>
      <x:c r="E365" s="20" t="str">
        <x:v>NUM</x:v>
      </x:c>
      <x:c r="F365" s="20" t="str">
        <x:v>Nuevos donantes recurrentes atribuibles al voluntariado</x:v>
      </x:c>
      <x:c r="G365" s="20" t="str">
        <x:v># / base</x:v>
      </x:c>
      <x:c r="H365" s="20" t="n">
        <x:v>9</x:v>
      </x:c>
      <x:c r="I365" s="20" t="str">
        <x:v>Plan-Year Dummy</x:v>
      </x:c>
      <x:c r="J365" s="20" t="str">
        <x:v>YES</x:v>
      </x:c>
    </x:row>
    <x:row r="366">
      <x:c r="A366" s="20" t="str">
        <x:v>FND-011_DEN</x:v>
      </x:c>
      <x:c r="B366" s="20" t="n">
        <x:v>2023</x:v>
      </x:c>
      <x:c r="C366" s="20" t="str">
        <x:v>Procuración de Fondos</x:v>
      </x:c>
      <x:c r="D366" s="20" t="str">
        <x:v>FND-011</x:v>
      </x:c>
      <x:c r="E366" s="20" t="str">
        <x:v>DEN</x:v>
      </x:c>
      <x:c r="F366" s="20" t="str">
        <x:v>participantes elegibles del voluntariado</x:v>
      </x:c>
      <x:c r="G366" s="20" t="str">
        <x:v># / base</x:v>
      </x:c>
      <x:c r="H366" s="20" t="n">
        <x:v>180</x:v>
      </x:c>
      <x:c r="I366" s="20" t="str">
        <x:v>Historical Dummy</x:v>
      </x:c>
      <x:c r="J366" s="20" t="str">
        <x:v>YES</x:v>
      </x:c>
    </x:row>
    <x:row r="367">
      <x:c r="A367" s="20" t="str">
        <x:v>FND-011_DEN</x:v>
      </x:c>
      <x:c r="B367" s="20" t="n">
        <x:v>2024</x:v>
      </x:c>
      <x:c r="C367" s="20" t="str">
        <x:v>Procuración de Fondos</x:v>
      </x:c>
      <x:c r="D367" s="20" t="str">
        <x:v>FND-011</x:v>
      </x:c>
      <x:c r="E367" s="20" t="str">
        <x:v>DEN</x:v>
      </x:c>
      <x:c r="F367" s="20" t="str">
        <x:v>participantes elegibles del voluntariado</x:v>
      </x:c>
      <x:c r="G367" s="20" t="str">
        <x:v># / base</x:v>
      </x:c>
      <x:c r="H367" s="20" t="n">
        <x:v>194</x:v>
      </x:c>
      <x:c r="I367" s="20" t="str">
        <x:v>Historical Dummy</x:v>
      </x:c>
      <x:c r="J367" s="20" t="str">
        <x:v>YES</x:v>
      </x:c>
    </x:row>
    <x:row r="368">
      <x:c r="A368" s="20" t="str">
        <x:v>FND-011_DEN</x:v>
      </x:c>
      <x:c r="B368" s="20" t="n">
        <x:v>2025</x:v>
      </x:c>
      <x:c r="C368" s="20" t="str">
        <x:v>Procuración de Fondos</x:v>
      </x:c>
      <x:c r="D368" s="20" t="str">
        <x:v>FND-011</x:v>
      </x:c>
      <x:c r="E368" s="20" t="str">
        <x:v>DEN</x:v>
      </x:c>
      <x:c r="F368" s="20" t="str">
        <x:v>participantes elegibles del voluntariado</x:v>
      </x:c>
      <x:c r="G368" s="20" t="str">
        <x:v># / base</x:v>
      </x:c>
      <x:c r="H368" s="20" t="n">
        <x:v>209</x:v>
      </x:c>
      <x:c r="I368" s="20" t="str">
        <x:v>Historical Dummy</x:v>
      </x:c>
      <x:c r="J368" s="20" t="str">
        <x:v>YES</x:v>
      </x:c>
    </x:row>
    <x:row r="369">
      <x:c r="A369" s="20" t="str">
        <x:v>FND-011_DEN</x:v>
      </x:c>
      <x:c r="B369" s="20" t="n">
        <x:v>2026</x:v>
      </x:c>
      <x:c r="C369" s="20" t="str">
        <x:v>Procuración de Fondos</x:v>
      </x:c>
      <x:c r="D369" s="20" t="str">
        <x:v>FND-011</x:v>
      </x:c>
      <x:c r="E369" s="20" t="str">
        <x:v>DEN</x:v>
      </x:c>
      <x:c r="F369" s="20" t="str">
        <x:v>participantes elegibles del voluntariado</x:v>
      </x:c>
      <x:c r="G369" s="20" t="str">
        <x:v># / base</x:v>
      </x:c>
      <x:c r="H369" s="20" t="n">
        <x:v>225</x:v>
      </x:c>
      <x:c r="I369" s="20" t="str">
        <x:v>Plan-Year Dummy</x:v>
      </x:c>
      <x:c r="J369" s="20" t="str">
        <x:v>YES</x:v>
      </x:c>
    </x:row>
    <x:row r="370">
      <x:c r="A370" s="20" t="str">
        <x:v>FND-012_VAL</x:v>
      </x:c>
      <x:c r="B370" s="20" t="n">
        <x:v>2023</x:v>
      </x:c>
      <x:c r="C370" s="20" t="str">
        <x:v>Procuración de Fondos</x:v>
      </x:c>
      <x:c r="D370" s="20" t="str">
        <x:v>FND-012</x:v>
      </x:c>
      <x:c r="E370" s="20" t="str">
        <x:v>VAL</x:v>
      </x:c>
      <x:c r="F370" s="20" t="str">
        <x:v>Número de EOS participantes en la actividad de voluntariado</x:v>
      </x:c>
      <x:c r="G370" s="20" t="str">
        <x:v>#</x:v>
      </x:c>
      <x:c r="H370" s="20" t="n">
        <x:v>10</x:v>
      </x:c>
      <x:c r="I370" s="20" t="str">
        <x:v>Historical Dummy</x:v>
      </x:c>
      <x:c r="J370" s="20" t="str">
        <x:v>YES</x:v>
      </x:c>
    </x:row>
    <x:row r="371">
      <x:c r="A371" s="20" t="str">
        <x:v>FND-012_VAL</x:v>
      </x:c>
      <x:c r="B371" s="20" t="n">
        <x:v>2024</x:v>
      </x:c>
      <x:c r="C371" s="20" t="str">
        <x:v>Procuración de Fondos</x:v>
      </x:c>
      <x:c r="D371" s="20" t="str">
        <x:v>FND-012</x:v>
      </x:c>
      <x:c r="E371" s="20" t="str">
        <x:v>VAL</x:v>
      </x:c>
      <x:c r="F371" s="20" t="str">
        <x:v>Número de EOS participantes en la actividad de voluntariado</x:v>
      </x:c>
      <x:c r="G371" s="20" t="str">
        <x:v>#</x:v>
      </x:c>
      <x:c r="H371" s="20" t="n">
        <x:v>12</x:v>
      </x:c>
      <x:c r="I371" s="20" t="str">
        <x:v>Historical Dummy</x:v>
      </x:c>
      <x:c r="J371" s="20" t="str">
        <x:v>YES</x:v>
      </x:c>
    </x:row>
    <x:row r="372">
      <x:c r="A372" s="20" t="str">
        <x:v>FND-012_VAL</x:v>
      </x:c>
      <x:c r="B372" s="20" t="n">
        <x:v>2025</x:v>
      </x:c>
      <x:c r="C372" s="20" t="str">
        <x:v>Procuración de Fondos</x:v>
      </x:c>
      <x:c r="D372" s="20" t="str">
        <x:v>FND-012</x:v>
      </x:c>
      <x:c r="E372" s="20" t="str">
        <x:v>VAL</x:v>
      </x:c>
      <x:c r="F372" s="20" t="str">
        <x:v>Número de EOS participantes en la actividad de voluntariado</x:v>
      </x:c>
      <x:c r="G372" s="20" t="str">
        <x:v>#</x:v>
      </x:c>
      <x:c r="H372" s="20" t="n">
        <x:v>14</x:v>
      </x:c>
      <x:c r="I372" s="20" t="str">
        <x:v>Historical Dummy</x:v>
      </x:c>
      <x:c r="J372" s="20" t="str">
        <x:v>YES</x:v>
      </x:c>
    </x:row>
    <x:row r="373">
      <x:c r="A373" s="20" t="str">
        <x:v>FND-012_VAL</x:v>
      </x:c>
      <x:c r="B373" s="20" t="n">
        <x:v>2026</x:v>
      </x:c>
      <x:c r="C373" s="20" t="str">
        <x:v>Procuración de Fondos</x:v>
      </x:c>
      <x:c r="D373" s="20" t="str">
        <x:v>FND-012</x:v>
      </x:c>
      <x:c r="E373" s="20" t="str">
        <x:v>VAL</x:v>
      </x:c>
      <x:c r="F373" s="20" t="str">
        <x:v>Número de EOS participantes en la actividad de voluntariado</x:v>
      </x:c>
      <x:c r="G373" s="20" t="str">
        <x:v>#</x:v>
      </x:c>
      <x:c r="H373" s="20" t="n">
        <x:v>15</x:v>
      </x:c>
      <x:c r="I373" s="20" t="str">
        <x:v>Plan-Year Dummy</x:v>
      </x:c>
      <x:c r="J373" s="20" t="str">
        <x:v>YES</x:v>
      </x:c>
    </x:row>
    <x:row r="374">
      <x:c r="A374" s="20" t="str">
        <x:v>FND-013_VAL</x:v>
      </x:c>
      <x:c r="B374" s="20" t="n">
        <x:v>2023</x:v>
      </x:c>
      <x:c r="C374" s="20" t="str">
        <x:v>Procuración de Fondos</x:v>
      </x:c>
      <x:c r="D374" s="20" t="str">
        <x:v>FND-013</x:v>
      </x:c>
      <x:c r="E374" s="20" t="str">
        <x:v>VAL</x:v>
      </x:c>
      <x:c r="F374" s="20" t="str">
        <x:v>Nuevos donantes recurrentes en Perú atribuibles a la activación EOS</x:v>
      </x:c>
      <x:c r="G374" s="20" t="str">
        <x:v>#</x:v>
      </x:c>
      <x:c r="H374" s="20" t="n">
        <x:v>1</x:v>
      </x:c>
      <x:c r="I374" s="20" t="str">
        <x:v>Historical Dummy</x:v>
      </x:c>
      <x:c r="J374" s="20" t="str">
        <x:v>YES</x:v>
      </x:c>
    </x:row>
    <x:row r="375">
      <x:c r="A375" s="20" t="str">
        <x:v>FND-013_VAL</x:v>
      </x:c>
      <x:c r="B375" s="20" t="n">
        <x:v>2024</x:v>
      </x:c>
      <x:c r="C375" s="20" t="str">
        <x:v>Procuración de Fondos</x:v>
      </x:c>
      <x:c r="D375" s="20" t="str">
        <x:v>FND-013</x:v>
      </x:c>
      <x:c r="E375" s="20" t="str">
        <x:v>VAL</x:v>
      </x:c>
      <x:c r="F375" s="20" t="str">
        <x:v>Nuevos donantes recurrentes en Perú atribuibles a la activación EOS</x:v>
      </x:c>
      <x:c r="G375" s="20" t="str">
        <x:v>#</x:v>
      </x:c>
      <x:c r="H375" s="20" t="n">
        <x:v>1</x:v>
      </x:c>
      <x:c r="I375" s="20" t="str">
        <x:v>Historical Dummy</x:v>
      </x:c>
      <x:c r="J375" s="20" t="str">
        <x:v>YES</x:v>
      </x:c>
    </x:row>
    <x:row r="376">
      <x:c r="A376" s="20" t="str">
        <x:v>FND-013_VAL</x:v>
      </x:c>
      <x:c r="B376" s="20" t="n">
        <x:v>2025</x:v>
      </x:c>
      <x:c r="C376" s="20" t="str">
        <x:v>Procuración de Fondos</x:v>
      </x:c>
      <x:c r="D376" s="20" t="str">
        <x:v>FND-013</x:v>
      </x:c>
      <x:c r="E376" s="20" t="str">
        <x:v>VAL</x:v>
      </x:c>
      <x:c r="F376" s="20" t="str">
        <x:v>Nuevos donantes recurrentes en Perú atribuibles a la activación EOS</x:v>
      </x:c>
      <x:c r="G376" s="20" t="str">
        <x:v>#</x:v>
      </x:c>
      <x:c r="H376" s="20" t="n">
        <x:v>2</x:v>
      </x:c>
      <x:c r="I376" s="20" t="str">
        <x:v>Historical Dummy</x:v>
      </x:c>
      <x:c r="J376" s="20" t="str">
        <x:v>YES</x:v>
      </x:c>
    </x:row>
    <x:row r="377">
      <x:c r="A377" s="20" t="str">
        <x:v>FND-013_VAL</x:v>
      </x:c>
      <x:c r="B377" s="20" t="n">
        <x:v>2026</x:v>
      </x:c>
      <x:c r="C377" s="20" t="str">
        <x:v>Procuración de Fondos</x:v>
      </x:c>
      <x:c r="D377" s="20" t="str">
        <x:v>FND-013</x:v>
      </x:c>
      <x:c r="E377" s="20" t="str">
        <x:v>VAL</x:v>
      </x:c>
      <x:c r="F377" s="20" t="str">
        <x:v>Nuevos donantes recurrentes en Perú atribuibles a la activación EOS</x:v>
      </x:c>
      <x:c r="G377" s="20" t="str">
        <x:v>#</x:v>
      </x:c>
      <x:c r="H377" s="20" t="n">
        <x:v>2</x:v>
      </x:c>
      <x:c r="I377" s="20" t="str">
        <x:v>Plan-Year Dummy</x:v>
      </x:c>
      <x:c r="J377" s="20" t="str">
        <x:v>YES</x:v>
      </x:c>
    </x:row>
    <x:row r="378">
      <x:c r="A378" s="20" t="str">
        <x:v>FND-014_VAL</x:v>
      </x:c>
      <x:c r="B378" s="20" t="n">
        <x:v>2023</x:v>
      </x:c>
      <x:c r="C378" s="20" t="str">
        <x:v>Procuración de Fondos</x:v>
      </x:c>
      <x:c r="D378" s="20" t="str">
        <x:v>FND-014</x:v>
      </x:c>
      <x:c r="E378" s="20" t="str">
        <x:v>VAL</x:v>
      </x:c>
      <x:c r="F378" s="20" t="str">
        <x:v>Nuevos donantes recurrentes en Colombia atribuibles a la activación EOS</x:v>
      </x:c>
      <x:c r="G378" s="20" t="str">
        <x:v>#</x:v>
      </x:c>
      <x:c r="H378" s="20" t="n">
        <x:v>1</x:v>
      </x:c>
      <x:c r="I378" s="20" t="str">
        <x:v>Historical Dummy</x:v>
      </x:c>
      <x:c r="J378" s="20" t="str">
        <x:v>YES</x:v>
      </x:c>
    </x:row>
    <x:row r="379">
      <x:c r="A379" s="20" t="str">
        <x:v>FND-014_VAL</x:v>
      </x:c>
      <x:c r="B379" s="20" t="n">
        <x:v>2024</x:v>
      </x:c>
      <x:c r="C379" s="20" t="str">
        <x:v>Procuración de Fondos</x:v>
      </x:c>
      <x:c r="D379" s="20" t="str">
        <x:v>FND-014</x:v>
      </x:c>
      <x:c r="E379" s="20" t="str">
        <x:v>VAL</x:v>
      </x:c>
      <x:c r="F379" s="20" t="str">
        <x:v>Nuevos donantes recurrentes en Colombia atribuibles a la activación EOS</x:v>
      </x:c>
      <x:c r="G379" s="20" t="str">
        <x:v>#</x:v>
      </x:c>
      <x:c r="H379" s="20" t="n">
        <x:v>1</x:v>
      </x:c>
      <x:c r="I379" s="20" t="str">
        <x:v>Historical Dummy</x:v>
      </x:c>
      <x:c r="J379" s="20" t="str">
        <x:v>YES</x:v>
      </x:c>
    </x:row>
    <x:row r="380">
      <x:c r="A380" s="20" t="str">
        <x:v>FND-014_VAL</x:v>
      </x:c>
      <x:c r="B380" s="20" t="n">
        <x:v>2025</x:v>
      </x:c>
      <x:c r="C380" s="20" t="str">
        <x:v>Procuración de Fondos</x:v>
      </x:c>
      <x:c r="D380" s="20" t="str">
        <x:v>FND-014</x:v>
      </x:c>
      <x:c r="E380" s="20" t="str">
        <x:v>VAL</x:v>
      </x:c>
      <x:c r="F380" s="20" t="str">
        <x:v>Nuevos donantes recurrentes en Colombia atribuibles a la activación EOS</x:v>
      </x:c>
      <x:c r="G380" s="20" t="str">
        <x:v>#</x:v>
      </x:c>
      <x:c r="H380" s="20" t="n">
        <x:v>2</x:v>
      </x:c>
      <x:c r="I380" s="20" t="str">
        <x:v>Historical Dummy</x:v>
      </x:c>
      <x:c r="J380" s="20" t="str">
        <x:v>YES</x:v>
      </x:c>
    </x:row>
    <x:row r="381">
      <x:c r="A381" s="20" t="str">
        <x:v>FND-014_VAL</x:v>
      </x:c>
      <x:c r="B381" s="20" t="n">
        <x:v>2026</x:v>
      </x:c>
      <x:c r="C381" s="20" t="str">
        <x:v>Procuración de Fondos</x:v>
      </x:c>
      <x:c r="D381" s="20" t="str">
        <x:v>FND-014</x:v>
      </x:c>
      <x:c r="E381" s="20" t="str">
        <x:v>VAL</x:v>
      </x:c>
      <x:c r="F381" s="20" t="str">
        <x:v>Nuevos donantes recurrentes en Colombia atribuibles a la activación EOS</x:v>
      </x:c>
      <x:c r="G381" s="20" t="str">
        <x:v>#</x:v>
      </x:c>
      <x:c r="H381" s="20" t="n">
        <x:v>2</x:v>
      </x:c>
      <x:c r="I381" s="20" t="str">
        <x:v>Plan-Year Dummy</x:v>
      </x:c>
      <x:c r="J381" s="20" t="str">
        <x:v>YES</x:v>
      </x:c>
    </x:row>
    <x:row r="382">
      <x:c r="A382" s="20" t="str">
        <x:v>FND-015_VAL</x:v>
      </x:c>
      <x:c r="B382" s="20" t="n">
        <x:v>2023</x:v>
      </x:c>
      <x:c r="C382" s="20" t="str">
        <x:v>Procuración de Fondos</x:v>
      </x:c>
      <x:c r="D382" s="20" t="str">
        <x:v>FND-015</x:v>
      </x:c>
      <x:c r="E382" s="20" t="str">
        <x:v>VAL</x:v>
      </x:c>
      <x:c r="F382" s="20" t="str">
        <x:v>Nuevos donantes recurrentes en México atribuibles a activación EOS</x:v>
      </x:c>
      <x:c r="G382" s="20" t="str">
        <x:v>#</x:v>
      </x:c>
      <x:c r="H382" s="20" t="n">
        <x:v>53</x:v>
      </x:c>
      <x:c r="I382" s="20" t="str">
        <x:v>Historical Dummy</x:v>
      </x:c>
      <x:c r="J382" s="20" t="str">
        <x:v>YES</x:v>
      </x:c>
    </x:row>
    <x:row r="383">
      <x:c r="A383" s="20" t="str">
        <x:v>FND-015_VAL</x:v>
      </x:c>
      <x:c r="B383" s="20" t="n">
        <x:v>2024</x:v>
      </x:c>
      <x:c r="C383" s="20" t="str">
        <x:v>Procuración de Fondos</x:v>
      </x:c>
      <x:c r="D383" s="20" t="str">
        <x:v>FND-015</x:v>
      </x:c>
      <x:c r="E383" s="20" t="str">
        <x:v>VAL</x:v>
      </x:c>
      <x:c r="F383" s="20" t="str">
        <x:v>Nuevos donantes recurrentes en México atribuibles a activación EOS</x:v>
      </x:c>
      <x:c r="G383" s="20" t="str">
        <x:v>#</x:v>
      </x:c>
      <x:c r="H383" s="20" t="n">
        <x:v>58</x:v>
      </x:c>
      <x:c r="I383" s="20" t="str">
        <x:v>Historical Dummy</x:v>
      </x:c>
      <x:c r="J383" s="20" t="str">
        <x:v>YES</x:v>
      </x:c>
    </x:row>
    <x:row r="384">
      <x:c r="A384" s="20" t="str">
        <x:v>FND-015_VAL</x:v>
      </x:c>
      <x:c r="B384" s="20" t="n">
        <x:v>2025</x:v>
      </x:c>
      <x:c r="C384" s="20" t="str">
        <x:v>Procuración de Fondos</x:v>
      </x:c>
      <x:c r="D384" s="20" t="str">
        <x:v>FND-015</x:v>
      </x:c>
      <x:c r="E384" s="20" t="str">
        <x:v>VAL</x:v>
      </x:c>
      <x:c r="F384" s="20" t="str">
        <x:v>Nuevos donantes recurrentes en México atribuibles a activación EOS</x:v>
      </x:c>
      <x:c r="G384" s="20" t="str">
        <x:v>#</x:v>
      </x:c>
      <x:c r="H384" s="20" t="n">
        <x:v>63</x:v>
      </x:c>
      <x:c r="I384" s="20" t="str">
        <x:v>Historical Dummy</x:v>
      </x:c>
      <x:c r="J384" s="20" t="str">
        <x:v>YES</x:v>
      </x:c>
    </x:row>
    <x:row r="385">
      <x:c r="A385" s="20" t="str">
        <x:v>FND-015_VAL</x:v>
      </x:c>
      <x:c r="B385" s="20" t="n">
        <x:v>2026</x:v>
      </x:c>
      <x:c r="C385" s="20" t="str">
        <x:v>Procuración de Fondos</x:v>
      </x:c>
      <x:c r="D385" s="20" t="str">
        <x:v>FND-015</x:v>
      </x:c>
      <x:c r="E385" s="20" t="str">
        <x:v>VAL</x:v>
      </x:c>
      <x:c r="F385" s="20" t="str">
        <x:v>Nuevos donantes recurrentes en México atribuibles a activación EOS</x:v>
      </x:c>
      <x:c r="G385" s="20" t="str">
        <x:v>#</x:v>
      </x:c>
      <x:c r="H385" s="20" t="n">
        <x:v>69</x:v>
      </x:c>
      <x:c r="I385" s="20" t="str">
        <x:v>Plan-Year Dummy</x:v>
      </x:c>
      <x:c r="J385" s="20" t="str">
        <x:v>YES</x:v>
      </x:c>
    </x:row>
    <x:row r="386">
      <x:c r="A386" s="20" t="str">
        <x:v>FND-016_VAL</x:v>
      </x:c>
      <x:c r="B386" s="20" t="n">
        <x:v>2023</x:v>
      </x:c>
      <x:c r="C386" s="20" t="str">
        <x:v>Procuración de Fondos</x:v>
      </x:c>
      <x:c r="D386" s="20" t="str">
        <x:v>FND-016</x:v>
      </x:c>
      <x:c r="E386" s="20" t="str">
        <x:v>VAL</x:v>
      </x:c>
      <x:c r="F386" s="20" t="str">
        <x:v>Número de alianzas nuevas formalizadas con plan de activación y responsable</x:v>
      </x:c>
      <x:c r="G386" s="20" t="str">
        <x:v>#</x:v>
      </x:c>
      <x:c r="H386" s="20" t="n">
        <x:v>2</x:v>
      </x:c>
      <x:c r="I386" s="20" t="str">
        <x:v>Historical Dummy</x:v>
      </x:c>
      <x:c r="J386" s="20" t="str">
        <x:v>YES</x:v>
      </x:c>
    </x:row>
    <x:row r="387">
      <x:c r="A387" s="20" t="str">
        <x:v>FND-016_VAL</x:v>
      </x:c>
      <x:c r="B387" s="20" t="n">
        <x:v>2024</x:v>
      </x:c>
      <x:c r="C387" s="20" t="str">
        <x:v>Procuración de Fondos</x:v>
      </x:c>
      <x:c r="D387" s="20" t="str">
        <x:v>FND-016</x:v>
      </x:c>
      <x:c r="E387" s="20" t="str">
        <x:v>VAL</x:v>
      </x:c>
      <x:c r="F387" s="20" t="str">
        <x:v>Número de alianzas nuevas formalizadas con plan de activación y responsable</x:v>
      </x:c>
      <x:c r="G387" s="20" t="str">
        <x:v>#</x:v>
      </x:c>
      <x:c r="H387" s="20" t="n">
        <x:v>3</x:v>
      </x:c>
      <x:c r="I387" s="20" t="str">
        <x:v>Historical Dummy</x:v>
      </x:c>
      <x:c r="J387" s="20" t="str">
        <x:v>YES</x:v>
      </x:c>
    </x:row>
    <x:row r="388">
      <x:c r="A388" s="20" t="str">
        <x:v>FND-016_VAL</x:v>
      </x:c>
      <x:c r="B388" s="20" t="n">
        <x:v>2025</x:v>
      </x:c>
      <x:c r="C388" s="20" t="str">
        <x:v>Procuración de Fondos</x:v>
      </x:c>
      <x:c r="D388" s="20" t="str">
        <x:v>FND-016</x:v>
      </x:c>
      <x:c r="E388" s="20" t="str">
        <x:v>VAL</x:v>
      </x:c>
      <x:c r="F388" s="20" t="str">
        <x:v>Número de alianzas nuevas formalizadas con plan de activación y responsable</x:v>
      </x:c>
      <x:c r="G388" s="20" t="str">
        <x:v>#</x:v>
      </x:c>
      <x:c r="H388" s="20" t="n">
        <x:v>3</x:v>
      </x:c>
      <x:c r="I388" s="20" t="str">
        <x:v>Historical Dummy</x:v>
      </x:c>
      <x:c r="J388" s="20" t="str">
        <x:v>YES</x:v>
      </x:c>
    </x:row>
    <x:row r="389">
      <x:c r="A389" s="20" t="str">
        <x:v>FND-016_VAL</x:v>
      </x:c>
      <x:c r="B389" s="20" t="n">
        <x:v>2026</x:v>
      </x:c>
      <x:c r="C389" s="20" t="str">
        <x:v>Procuración de Fondos</x:v>
      </x:c>
      <x:c r="D389" s="20" t="str">
        <x:v>FND-016</x:v>
      </x:c>
      <x:c r="E389" s="20" t="str">
        <x:v>VAL</x:v>
      </x:c>
      <x:c r="F389" s="20" t="str">
        <x:v>Número de alianzas nuevas formalizadas con plan de activación y responsable</x:v>
      </x:c>
      <x:c r="G389" s="20" t="str">
        <x:v>#</x:v>
      </x:c>
      <x:c r="H389" s="20" t="n">
        <x:v>4</x:v>
      </x:c>
      <x:c r="I389" s="20" t="str">
        <x:v>Plan-Year Dummy</x:v>
      </x:c>
      <x:c r="J389" s="20" t="str">
        <x:v>YES</x:v>
      </x:c>
    </x:row>
    <x:row r="390">
      <x:c r="A390" s="20" t="str">
        <x:v>FND-017_VAL</x:v>
      </x:c>
      <x:c r="B390" s="20" t="n">
        <x:v>2023</x:v>
      </x:c>
      <x:c r="C390" s="20" t="str">
        <x:v>Procuración de Fondos</x:v>
      </x:c>
      <x:c r="D390" s="20" t="str">
        <x:v>FND-017</x:v>
      </x:c>
      <x:c r="E390" s="20" t="str">
        <x:v>VAL</x:v>
      </x:c>
      <x:c r="F390" s="20" t="str">
        <x:v>Suma de fondos efectivamente recibidos por la subasta</x:v>
      </x:c>
      <x:c r="G390" s="20" t="str">
        <x:v>MXN</x:v>
      </x:c>
      <x:c r="H390" s="20" t="n">
        <x:v>1599984</x:v>
      </x:c>
      <x:c r="I390" s="20" t="str">
        <x:v>Historical Dummy</x:v>
      </x:c>
      <x:c r="J390" s="20" t="str">
        <x:v>YES</x:v>
      </x:c>
    </x:row>
    <x:row r="391">
      <x:c r="A391" s="20" t="str">
        <x:v>FND-017_VAL</x:v>
      </x:c>
      <x:c r="B391" s="20" t="n">
        <x:v>2024</x:v>
      </x:c>
      <x:c r="C391" s="20" t="str">
        <x:v>Procuración de Fondos</x:v>
      </x:c>
      <x:c r="D391" s="20" t="str">
        <x:v>FND-017</x:v>
      </x:c>
      <x:c r="E391" s="20" t="str">
        <x:v>VAL</x:v>
      </x:c>
      <x:c r="F391" s="20" t="str">
        <x:v>Suma de fondos efectivamente recibidos por la subasta</x:v>
      </x:c>
      <x:c r="G391" s="20" t="str">
        <x:v>MXN</x:v>
      </x:c>
      <x:c r="H391" s="20" t="n">
        <x:v>1599989</x:v>
      </x:c>
      <x:c r="I391" s="20" t="str">
        <x:v>Historical Dummy</x:v>
      </x:c>
      <x:c r="J391" s="20" t="str">
        <x:v>YES</x:v>
      </x:c>
    </x:row>
    <x:row r="392">
      <x:c r="A392" s="20" t="str">
        <x:v>FND-017_VAL</x:v>
      </x:c>
      <x:c r="B392" s="20" t="n">
        <x:v>2025</x:v>
      </x:c>
      <x:c r="C392" s="20" t="str">
        <x:v>Procuración de Fondos</x:v>
      </x:c>
      <x:c r="D392" s="20" t="str">
        <x:v>FND-017</x:v>
      </x:c>
      <x:c r="E392" s="20" t="str">
        <x:v>VAL</x:v>
      </x:c>
      <x:c r="F392" s="20" t="str">
        <x:v>Suma de fondos efectivamente recibidos por la subasta</x:v>
      </x:c>
      <x:c r="G392" s="20" t="str">
        <x:v>MXN</x:v>
      </x:c>
      <x:c r="H392" s="20" t="n">
        <x:v>1599994</x:v>
      </x:c>
      <x:c r="I392" s="20" t="str">
        <x:v>Historical Dummy</x:v>
      </x:c>
      <x:c r="J392" s="20" t="str">
        <x:v>YES</x:v>
      </x:c>
    </x:row>
    <x:row r="393">
      <x:c r="A393" s="20" t="str">
        <x:v>FND-017_VAL</x:v>
      </x:c>
      <x:c r="B393" s="20" t="n">
        <x:v>2026</x:v>
      </x:c>
      <x:c r="C393" s="20" t="str">
        <x:v>Procuración de Fondos</x:v>
      </x:c>
      <x:c r="D393" s="20" t="str">
        <x:v>FND-017</x:v>
      </x:c>
      <x:c r="E393" s="20" t="str">
        <x:v>VAL</x:v>
      </x:c>
      <x:c r="F393" s="20" t="str">
        <x:v>Suma de fondos efectivamente recibidos por la subasta</x:v>
      </x:c>
      <x:c r="G393" s="20" t="str">
        <x:v>MXN</x:v>
      </x:c>
      <x:c r="H393" s="20" t="n">
        <x:v>100</x:v>
      </x:c>
      <x:c r="I393" s="20" t="str">
        <x:v>Plan-Year Dummy</x:v>
      </x:c>
      <x:c r="J393" s="20" t="str">
        <x:v>YES</x:v>
      </x:c>
    </x:row>
    <x:row r="394">
      <x:c r="A394" s="20" t="str">
        <x:v>MKT-001_NUM</x:v>
      </x:c>
      <x:c r="B394" s="20" t="n">
        <x:v>2023</x:v>
      </x:c>
      <x:c r="C394" s="20" t="str">
        <x:v>Marketing y Comunicación</x:v>
      </x:c>
      <x:c r="D394" s="20" t="str">
        <x:v>MKT-001</x:v>
      </x:c>
      <x:c r="E394" s="20" t="str">
        <x:v>NUM</x:v>
      </x:c>
      <x:c r="F394" s="20" t="str">
        <x:v>Piezas/campañas auditadas que cumplen lineamientos vigentes</x:v>
      </x:c>
      <x:c r="G394" s="20" t="str">
        <x:v># / base</x:v>
      </x:c>
      <x:c r="H394" s="20" t="n">
        <x:v>95</x:v>
      </x:c>
      <x:c r="I394" s="20" t="str">
        <x:v>Historical Dummy</x:v>
      </x:c>
      <x:c r="J394" s="20" t="str">
        <x:v>YES</x:v>
      </x:c>
    </x:row>
    <x:row r="395">
      <x:c r="A395" s="20" t="str">
        <x:v>MKT-001_NUM</x:v>
      </x:c>
      <x:c r="B395" s="20" t="n">
        <x:v>2024</x:v>
      </x:c>
      <x:c r="C395" s="20" t="str">
        <x:v>Marketing y Comunicación</x:v>
      </x:c>
      <x:c r="D395" s="20" t="str">
        <x:v>MKT-001</x:v>
      </x:c>
      <x:c r="E395" s="20" t="str">
        <x:v>NUM</x:v>
      </x:c>
      <x:c r="F395" s="20" t="str">
        <x:v>Piezas/campañas auditadas que cumplen lineamientos vigentes</x:v>
      </x:c>
      <x:c r="G395" s="20" t="str">
        <x:v># / base</x:v>
      </x:c>
      <x:c r="H395" s="20" t="n">
        <x:v>109</x:v>
      </x:c>
      <x:c r="I395" s="20" t="str">
        <x:v>Historical Dummy</x:v>
      </x:c>
      <x:c r="J395" s="20" t="str">
        <x:v>YES</x:v>
      </x:c>
    </x:row>
    <x:row r="396">
      <x:c r="A396" s="20" t="str">
        <x:v>MKT-001_NUM</x:v>
      </x:c>
      <x:c r="B396" s="20" t="n">
        <x:v>2025</x:v>
      </x:c>
      <x:c r="C396" s="20" t="str">
        <x:v>Marketing y Comunicación</x:v>
      </x:c>
      <x:c r="D396" s="20" t="str">
        <x:v>MKT-001</x:v>
      </x:c>
      <x:c r="E396" s="20" t="str">
        <x:v>NUM</x:v>
      </x:c>
      <x:c r="F396" s="20" t="str">
        <x:v>Piezas/campañas auditadas que cumplen lineamientos vigentes</x:v>
      </x:c>
      <x:c r="G396" s="20" t="str">
        <x:v># / base</x:v>
      </x:c>
      <x:c r="H396" s="20" t="n">
        <x:v>124</x:v>
      </x:c>
      <x:c r="I396" s="20" t="str">
        <x:v>Historical Dummy</x:v>
      </x:c>
      <x:c r="J396" s="20" t="str">
        <x:v>YES</x:v>
      </x:c>
    </x:row>
    <x:row r="397">
      <x:c r="A397" s="20" t="str">
        <x:v>MKT-001_NUM</x:v>
      </x:c>
      <x:c r="B397" s="20" t="n">
        <x:v>2026</x:v>
      </x:c>
      <x:c r="C397" s="20" t="str">
        <x:v>Marketing y Comunicación</x:v>
      </x:c>
      <x:c r="D397" s="20" t="str">
        <x:v>MKT-001</x:v>
      </x:c>
      <x:c r="E397" s="20" t="str">
        <x:v>NUM</x:v>
      </x:c>
      <x:c r="F397" s="20" t="str">
        <x:v>Piezas/campañas auditadas que cumplen lineamientos vigentes</x:v>
      </x:c>
      <x:c r="G397" s="20" t="str">
        <x:v># / base</x:v>
      </x:c>
      <x:c r="H397" s="20" t="n">
        <x:v>144</x:v>
      </x:c>
      <x:c r="I397" s="20" t="str">
        <x:v>Plan-Year Dummy</x:v>
      </x:c>
      <x:c r="J397" s="20" t="str">
        <x:v>YES</x:v>
      </x:c>
    </x:row>
    <x:row r="398">
      <x:c r="A398" s="20" t="str">
        <x:v>MKT-001_DEN</x:v>
      </x:c>
      <x:c r="B398" s="20" t="n">
        <x:v>2023</x:v>
      </x:c>
      <x:c r="C398" s="20" t="str">
        <x:v>Marketing y Comunicación</x:v>
      </x:c>
      <x:c r="D398" s="20" t="str">
        <x:v>MKT-001</x:v>
      </x:c>
      <x:c r="E398" s="20" t="str">
        <x:v>DEN</x:v>
      </x:c>
      <x:c r="F398" s="20" t="str">
        <x:v>piezas/campañas auditadas</x:v>
      </x:c>
      <x:c r="G398" s="20" t="str">
        <x:v># / base</x:v>
      </x:c>
      <x:c r="H398" s="20" t="n">
        <x:v>120</x:v>
      </x:c>
      <x:c r="I398" s="20" t="str">
        <x:v>Historical Dummy</x:v>
      </x:c>
      <x:c r="J398" s="20" t="str">
        <x:v>YES</x:v>
      </x:c>
    </x:row>
    <x:row r="399">
      <x:c r="A399" s="20" t="str">
        <x:v>MKT-001_DEN</x:v>
      </x:c>
      <x:c r="B399" s="20" t="n">
        <x:v>2024</x:v>
      </x:c>
      <x:c r="C399" s="20" t="str">
        <x:v>Marketing y Comunicación</x:v>
      </x:c>
      <x:c r="D399" s="20" t="str">
        <x:v>MKT-001</x:v>
      </x:c>
      <x:c r="E399" s="20" t="str">
        <x:v>DEN</x:v>
      </x:c>
      <x:c r="F399" s="20" t="str">
        <x:v>piezas/campañas auditadas</x:v>
      </x:c>
      <x:c r="G399" s="20" t="str">
        <x:v># / base</x:v>
      </x:c>
      <x:c r="H399" s="20" t="n">
        <x:v>130</x:v>
      </x:c>
      <x:c r="I399" s="20" t="str">
        <x:v>Historical Dummy</x:v>
      </x:c>
      <x:c r="J399" s="20" t="str">
        <x:v>YES</x:v>
      </x:c>
    </x:row>
    <x:row r="400">
      <x:c r="A400" s="20" t="str">
        <x:v>MKT-001_DEN</x:v>
      </x:c>
      <x:c r="B400" s="20" t="n">
        <x:v>2025</x:v>
      </x:c>
      <x:c r="C400" s="20" t="str">
        <x:v>Marketing y Comunicación</x:v>
      </x:c>
      <x:c r="D400" s="20" t="str">
        <x:v>MKT-001</x:v>
      </x:c>
      <x:c r="E400" s="20" t="str">
        <x:v>DEN</x:v>
      </x:c>
      <x:c r="F400" s="20" t="str">
        <x:v>piezas/campañas auditadas</x:v>
      </x:c>
      <x:c r="G400" s="20" t="str">
        <x:v># / base</x:v>
      </x:c>
      <x:c r="H400" s="20" t="n">
        <x:v>139</x:v>
      </x:c>
      <x:c r="I400" s="20" t="str">
        <x:v>Historical Dummy</x:v>
      </x:c>
      <x:c r="J400" s="20" t="str">
        <x:v>YES</x:v>
      </x:c>
    </x:row>
    <x:row r="401">
      <x:c r="A401" s="20" t="str">
        <x:v>MKT-001_DEN</x:v>
      </x:c>
      <x:c r="B401" s="20" t="n">
        <x:v>2026</x:v>
      </x:c>
      <x:c r="C401" s="20" t="str">
        <x:v>Marketing y Comunicación</x:v>
      </x:c>
      <x:c r="D401" s="20" t="str">
        <x:v>MKT-001</x:v>
      </x:c>
      <x:c r="E401" s="20" t="str">
        <x:v>DEN</x:v>
      </x:c>
      <x:c r="F401" s="20" t="str">
        <x:v>piezas/campañas auditadas</x:v>
      </x:c>
      <x:c r="G401" s="20" t="str">
        <x:v># / base</x:v>
      </x:c>
      <x:c r="H401" s="20" t="n">
        <x:v>150</x:v>
      </x:c>
      <x:c r="I401" s="20" t="str">
        <x:v>Plan-Year Dummy</x:v>
      </x:c>
      <x:c r="J401" s="20" t="str">
        <x:v>YES</x:v>
      </x:c>
    </x:row>
    <x:row r="402">
      <x:c r="A402" s="20" t="str">
        <x:v>MKT-002_NUM</x:v>
      </x:c>
      <x:c r="B402" s="20" t="n">
        <x:v>2023</x:v>
      </x:c>
      <x:c r="C402" s="20" t="str">
        <x:v>Marketing y Comunicación</x:v>
      </x:c>
      <x:c r="D402" s="20" t="str">
        <x:v>MKT-002</x:v>
      </x:c>
      <x:c r="E402" s="20" t="str">
        <x:v>NUM</x:v>
      </x:c>
      <x:c r="F402" s="20" t="str">
        <x:v>Acciones de mejora cerradas dentro del plazo</x:v>
      </x:c>
      <x:c r="G402" s="20" t="str">
        <x:v># / base</x:v>
      </x:c>
      <x:c r="H402" s="20" t="n">
        <x:v>30</x:v>
      </x:c>
      <x:c r="I402" s="20" t="str">
        <x:v>Historical Dummy</x:v>
      </x:c>
      <x:c r="J402" s="20" t="str">
        <x:v>YES</x:v>
      </x:c>
    </x:row>
    <x:row r="403">
      <x:c r="A403" s="20" t="str">
        <x:v>MKT-002_NUM</x:v>
      </x:c>
      <x:c r="B403" s="20" t="n">
        <x:v>2024</x:v>
      </x:c>
      <x:c r="C403" s="20" t="str">
        <x:v>Marketing y Comunicación</x:v>
      </x:c>
      <x:c r="D403" s="20" t="str">
        <x:v>MKT-002</x:v>
      </x:c>
      <x:c r="E403" s="20" t="str">
        <x:v>NUM</x:v>
      </x:c>
      <x:c r="F403" s="20" t="str">
        <x:v>Acciones de mejora cerradas dentro del plazo</x:v>
      </x:c>
      <x:c r="G403" s="20" t="str">
        <x:v># / base</x:v>
      </x:c>
      <x:c r="H403" s="20" t="n">
        <x:v>35</x:v>
      </x:c>
      <x:c r="I403" s="20" t="str">
        <x:v>Historical Dummy</x:v>
      </x:c>
      <x:c r="J403" s="20" t="str">
        <x:v>YES</x:v>
      </x:c>
    </x:row>
    <x:row r="404">
      <x:c r="A404" s="20" t="str">
        <x:v>MKT-002_NUM</x:v>
      </x:c>
      <x:c r="B404" s="20" t="n">
        <x:v>2025</x:v>
      </x:c>
      <x:c r="C404" s="20" t="str">
        <x:v>Marketing y Comunicación</x:v>
      </x:c>
      <x:c r="D404" s="20" t="str">
        <x:v>MKT-002</x:v>
      </x:c>
      <x:c r="E404" s="20" t="str">
        <x:v>NUM</x:v>
      </x:c>
      <x:c r="F404" s="20" t="str">
        <x:v>Acciones de mejora cerradas dentro del plazo</x:v>
      </x:c>
      <x:c r="G404" s="20" t="str">
        <x:v># / base</x:v>
      </x:c>
      <x:c r="H404" s="20" t="n">
        <x:v>40</x:v>
      </x:c>
      <x:c r="I404" s="20" t="str">
        <x:v>Historical Dummy</x:v>
      </x:c>
      <x:c r="J404" s="20" t="str">
        <x:v>YES</x:v>
      </x:c>
    </x:row>
    <x:row r="405">
      <x:c r="A405" s="20" t="str">
        <x:v>MKT-002_NUM</x:v>
      </x:c>
      <x:c r="B405" s="20" t="n">
        <x:v>2026</x:v>
      </x:c>
      <x:c r="C405" s="20" t="str">
        <x:v>Marketing y Comunicación</x:v>
      </x:c>
      <x:c r="D405" s="20" t="str">
        <x:v>MKT-002</x:v>
      </x:c>
      <x:c r="E405" s="20" t="str">
        <x:v>NUM</x:v>
      </x:c>
      <x:c r="F405" s="20" t="str">
        <x:v>Acciones de mejora cerradas dentro del plazo</x:v>
      </x:c>
      <x:c r="G405" s="20" t="str">
        <x:v># / base</x:v>
      </x:c>
      <x:c r="H405" s="20" t="n">
        <x:v>46</x:v>
      </x:c>
      <x:c r="I405" s="20" t="str">
        <x:v>Plan-Year Dummy</x:v>
      </x:c>
      <x:c r="J405" s="20" t="str">
        <x:v>YES</x:v>
      </x:c>
    </x:row>
    <x:row r="406">
      <x:c r="A406" s="20" t="str">
        <x:v>MKT-002_DEN</x:v>
      </x:c>
      <x:c r="B406" s="20" t="n">
        <x:v>2023</x:v>
      </x:c>
      <x:c r="C406" s="20" t="str">
        <x:v>Marketing y Comunicación</x:v>
      </x:c>
      <x:c r="D406" s="20" t="str">
        <x:v>MKT-002</x:v>
      </x:c>
      <x:c r="E406" s="20" t="str">
        <x:v>DEN</x:v>
      </x:c>
      <x:c r="F406" s="20" t="str">
        <x:v>acciones comprometidas en informes bimestrales</x:v>
      </x:c>
      <x:c r="G406" s="20" t="str">
        <x:v># / base</x:v>
      </x:c>
      <x:c r="H406" s="20" t="n">
        <x:v>45</x:v>
      </x:c>
      <x:c r="I406" s="20" t="str">
        <x:v>Historical Dummy</x:v>
      </x:c>
      <x:c r="J406" s="20" t="str">
        <x:v>YES</x:v>
      </x:c>
    </x:row>
    <x:row r="407">
      <x:c r="A407" s="20" t="str">
        <x:v>MKT-002_DEN</x:v>
      </x:c>
      <x:c r="B407" s="20" t="n">
        <x:v>2024</x:v>
      </x:c>
      <x:c r="C407" s="20" t="str">
        <x:v>Marketing y Comunicación</x:v>
      </x:c>
      <x:c r="D407" s="20" t="str">
        <x:v>MKT-002</x:v>
      </x:c>
      <x:c r="E407" s="20" t="str">
        <x:v>DEN</x:v>
      </x:c>
      <x:c r="F407" s="20" t="str">
        <x:v>acciones comprometidas en informes bimestrales</x:v>
      </x:c>
      <x:c r="G407" s="20" t="str">
        <x:v># / base</x:v>
      </x:c>
      <x:c r="H407" s="20" t="n">
        <x:v>49</x:v>
      </x:c>
      <x:c r="I407" s="20" t="str">
        <x:v>Historical Dummy</x:v>
      </x:c>
      <x:c r="J407" s="20" t="str">
        <x:v>YES</x:v>
      </x:c>
    </x:row>
    <x:row r="408">
      <x:c r="A408" s="20" t="str">
        <x:v>MKT-002_DEN</x:v>
      </x:c>
      <x:c r="B408" s="20" t="n">
        <x:v>2025</x:v>
      </x:c>
      <x:c r="C408" s="20" t="str">
        <x:v>Marketing y Comunicación</x:v>
      </x:c>
      <x:c r="D408" s="20" t="str">
        <x:v>MKT-002</x:v>
      </x:c>
      <x:c r="E408" s="20" t="str">
        <x:v>DEN</x:v>
      </x:c>
      <x:c r="F408" s="20" t="str">
        <x:v>acciones comprometidas en informes bimestrales</x:v>
      </x:c>
      <x:c r="G408" s="20" t="str">
        <x:v># / base</x:v>
      </x:c>
      <x:c r="H408" s="20" t="n">
        <x:v>52</x:v>
      </x:c>
      <x:c r="I408" s="20" t="str">
        <x:v>Historical Dummy</x:v>
      </x:c>
      <x:c r="J408" s="20" t="str">
        <x:v>YES</x:v>
      </x:c>
    </x:row>
    <x:row r="409">
      <x:c r="A409" s="20" t="str">
        <x:v>MKT-002_DEN</x:v>
      </x:c>
      <x:c r="B409" s="20" t="n">
        <x:v>2026</x:v>
      </x:c>
      <x:c r="C409" s="20" t="str">
        <x:v>Marketing y Comunicación</x:v>
      </x:c>
      <x:c r="D409" s="20" t="str">
        <x:v>MKT-002</x:v>
      </x:c>
      <x:c r="E409" s="20" t="str">
        <x:v>DEN</x:v>
      </x:c>
      <x:c r="F409" s="20" t="str">
        <x:v>acciones comprometidas en informes bimestrales</x:v>
      </x:c>
      <x:c r="G409" s="20" t="str">
        <x:v># / base</x:v>
      </x:c>
      <x:c r="H409" s="20" t="n">
        <x:v>56</x:v>
      </x:c>
      <x:c r="I409" s="20" t="str">
        <x:v>Plan-Year Dummy</x:v>
      </x:c>
      <x:c r="J409" s="20" t="str">
        <x:v>YES</x:v>
      </x:c>
    </x:row>
    <x:row r="410">
      <x:c r="A410" s="20" t="str">
        <x:v>MKT-003_NUM</x:v>
      </x:c>
      <x:c r="B410" s="20" t="n">
        <x:v>2023</x:v>
      </x:c>
      <x:c r="C410" s="20" t="str">
        <x:v>Marketing y Comunicación</x:v>
      </x:c>
      <x:c r="D410" s="20" t="str">
        <x:v>MKT-003</x:v>
      </x:c>
      <x:c r="E410" s="20" t="str">
        <x:v>NUM</x:v>
      </x:c>
      <x:c r="F410" s="20" t="str">
        <x:v>KPIs digitales prioritarios que alcanzan su meta</x:v>
      </x:c>
      <x:c r="G410" s="20" t="str">
        <x:v># / base</x:v>
      </x:c>
      <x:c r="H410" s="20" t="n">
        <x:v>84</x:v>
      </x:c>
      <x:c r="I410" s="20" t="str">
        <x:v>Historical Dummy</x:v>
      </x:c>
      <x:c r="J410" s="20" t="str">
        <x:v>YES</x:v>
      </x:c>
    </x:row>
    <x:row r="411">
      <x:c r="A411" s="20" t="str">
        <x:v>MKT-003_NUM</x:v>
      </x:c>
      <x:c r="B411" s="20" t="n">
        <x:v>2024</x:v>
      </x:c>
      <x:c r="C411" s="20" t="str">
        <x:v>Marketing y Comunicación</x:v>
      </x:c>
      <x:c r="D411" s="20" t="str">
        <x:v>MKT-003</x:v>
      </x:c>
      <x:c r="E411" s="20" t="str">
        <x:v>NUM</x:v>
      </x:c>
      <x:c r="F411" s="20" t="str">
        <x:v>KPIs digitales prioritarios que alcanzan su meta</x:v>
      </x:c>
      <x:c r="G411" s="20" t="str">
        <x:v># / base</x:v>
      </x:c>
      <x:c r="H411" s="20" t="n">
        <x:v>96</x:v>
      </x:c>
      <x:c r="I411" s="20" t="str">
        <x:v>Historical Dummy</x:v>
      </x:c>
      <x:c r="J411" s="20" t="str">
        <x:v>YES</x:v>
      </x:c>
    </x:row>
    <x:row r="412">
      <x:c r="A412" s="20" t="str">
        <x:v>MKT-003_NUM</x:v>
      </x:c>
      <x:c r="B412" s="20" t="n">
        <x:v>2025</x:v>
      </x:c>
      <x:c r="C412" s="20" t="str">
        <x:v>Marketing y Comunicación</x:v>
      </x:c>
      <x:c r="D412" s="20" t="str">
        <x:v>MKT-003</x:v>
      </x:c>
      <x:c r="E412" s="20" t="str">
        <x:v>NUM</x:v>
      </x:c>
      <x:c r="F412" s="20" t="str">
        <x:v>KPIs digitales prioritarios que alcanzan su meta</x:v>
      </x:c>
      <x:c r="G412" s="20" t="str">
        <x:v># / base</x:v>
      </x:c>
      <x:c r="H412" s="20" t="n">
        <x:v>109</x:v>
      </x:c>
      <x:c r="I412" s="20" t="str">
        <x:v>Historical Dummy</x:v>
      </x:c>
      <x:c r="J412" s="20" t="str">
        <x:v>YES</x:v>
      </x:c>
    </x:row>
    <x:row r="413">
      <x:c r="A413" s="20" t="str">
        <x:v>MKT-003_NUM</x:v>
      </x:c>
      <x:c r="B413" s="20" t="n">
        <x:v>2026</x:v>
      </x:c>
      <x:c r="C413" s="20" t="str">
        <x:v>Marketing y Comunicación</x:v>
      </x:c>
      <x:c r="D413" s="20" t="str">
        <x:v>MKT-003</x:v>
      </x:c>
      <x:c r="E413" s="20" t="str">
        <x:v>NUM</x:v>
      </x:c>
      <x:c r="F413" s="20" t="str">
        <x:v>KPIs digitales prioritarios que alcanzan su meta</x:v>
      </x:c>
      <x:c r="G413" s="20" t="str">
        <x:v># / base</x:v>
      </x:c>
      <x:c r="H413" s="20" t="n">
        <x:v>125</x:v>
      </x:c>
      <x:c r="I413" s="20" t="str">
        <x:v>Plan-Year Dummy</x:v>
      </x:c>
      <x:c r="J413" s="20" t="str">
        <x:v>YES</x:v>
      </x:c>
    </x:row>
    <x:row r="414">
      <x:c r="A414" s="20" t="str">
        <x:v>MKT-003_DEN</x:v>
      </x:c>
      <x:c r="B414" s="20" t="n">
        <x:v>2023</x:v>
      </x:c>
      <x:c r="C414" s="20" t="str">
        <x:v>Marketing y Comunicación</x:v>
      </x:c>
      <x:c r="D414" s="20" t="str">
        <x:v>MKT-003</x:v>
      </x:c>
      <x:c r="E414" s="20" t="str">
        <x:v>DEN</x:v>
      </x:c>
      <x:c r="F414" s="20" t="str">
        <x:v>KPIs digitales prioritarios definidos</x:v>
      </x:c>
      <x:c r="G414" s="20" t="str">
        <x:v># / base</x:v>
      </x:c>
      <x:c r="H414" s="20" t="n">
        <x:v>100</x:v>
      </x:c>
      <x:c r="I414" s="20" t="str">
        <x:v>Historical Dummy</x:v>
      </x:c>
      <x:c r="J414" s="20" t="str">
        <x:v>YES</x:v>
      </x:c>
    </x:row>
    <x:row r="415">
      <x:c r="A415" s="20" t="str">
        <x:v>MKT-003_DEN</x:v>
      </x:c>
      <x:c r="B415" s="20" t="n">
        <x:v>2024</x:v>
      </x:c>
      <x:c r="C415" s="20" t="str">
        <x:v>Marketing y Comunicación</x:v>
      </x:c>
      <x:c r="D415" s="20" t="str">
        <x:v>MKT-003</x:v>
      </x:c>
      <x:c r="E415" s="20" t="str">
        <x:v>DEN</x:v>
      </x:c>
      <x:c r="F415" s="20" t="str">
        <x:v>KPIs digitales prioritarios definidos</x:v>
      </x:c>
      <x:c r="G415" s="20" t="str">
        <x:v># / base</x:v>
      </x:c>
      <x:c r="H415" s="20" t="n">
        <x:v>108</x:v>
      </x:c>
      <x:c r="I415" s="20" t="str">
        <x:v>Historical Dummy</x:v>
      </x:c>
      <x:c r="J415" s="20" t="str">
        <x:v>YES</x:v>
      </x:c>
    </x:row>
    <x:row r="416">
      <x:c r="A416" s="20" t="str">
        <x:v>MKT-003_DEN</x:v>
      </x:c>
      <x:c r="B416" s="20" t="n">
        <x:v>2025</x:v>
      </x:c>
      <x:c r="C416" s="20" t="str">
        <x:v>Marketing y Comunicación</x:v>
      </x:c>
      <x:c r="D416" s="20" t="str">
        <x:v>MKT-003</x:v>
      </x:c>
      <x:c r="E416" s="20" t="str">
        <x:v>DEN</x:v>
      </x:c>
      <x:c r="F416" s="20" t="str">
        <x:v>KPIs digitales prioritarios definidos</x:v>
      </x:c>
      <x:c r="G416" s="20" t="str">
        <x:v># / base</x:v>
      </x:c>
      <x:c r="H416" s="20" t="n">
        <x:v>116</x:v>
      </x:c>
      <x:c r="I416" s="20" t="str">
        <x:v>Historical Dummy</x:v>
      </x:c>
      <x:c r="J416" s="20" t="str">
        <x:v>YES</x:v>
      </x:c>
    </x:row>
    <x:row r="417">
      <x:c r="A417" s="20" t="str">
        <x:v>MKT-003_DEN</x:v>
      </x:c>
      <x:c r="B417" s="20" t="n">
        <x:v>2026</x:v>
      </x:c>
      <x:c r="C417" s="20" t="str">
        <x:v>Marketing y Comunicación</x:v>
      </x:c>
      <x:c r="D417" s="20" t="str">
        <x:v>MKT-003</x:v>
      </x:c>
      <x:c r="E417" s="20" t="str">
        <x:v>DEN</x:v>
      </x:c>
      <x:c r="F417" s="20" t="str">
        <x:v>KPIs digitales prioritarios definidos</x:v>
      </x:c>
      <x:c r="G417" s="20" t="str">
        <x:v># / base</x:v>
      </x:c>
      <x:c r="H417" s="20" t="n">
        <x:v>125</x:v>
      </x:c>
      <x:c r="I417" s="20" t="str">
        <x:v>Plan-Year Dummy</x:v>
      </x:c>
      <x:c r="J417" s="20" t="str">
        <x:v>YES</x:v>
      </x:c>
    </x:row>
    <x:row r="418">
      <x:c r="A418" s="20" t="str">
        <x:v>MKT-004_NUM</x:v>
      </x:c>
      <x:c r="B418" s="20" t="n">
        <x:v>2023</x:v>
      </x:c>
      <x:c r="C418" s="20" t="str">
        <x:v>Marketing y Comunicación</x:v>
      </x:c>
      <x:c r="D418" s="20" t="str">
        <x:v>MKT-004</x:v>
      </x:c>
      <x:c r="E418" s="20" t="str">
        <x:v>NUM</x:v>
      </x:c>
      <x:c r="F418" s="20" t="str">
        <x:v>Compromisos de sesiones de feedback cerrados en fecha</x:v>
      </x:c>
      <x:c r="G418" s="20" t="str">
        <x:v>días</x:v>
      </x:c>
      <x:c r="H418" s="20" t="n">
        <x:v>91</x:v>
      </x:c>
      <x:c r="I418" s="20" t="str">
        <x:v>Historical Dummy</x:v>
      </x:c>
      <x:c r="J418" s="20" t="str">
        <x:v>YES</x:v>
      </x:c>
    </x:row>
    <x:row r="419">
      <x:c r="A419" s="20" t="str">
        <x:v>MKT-004_NUM</x:v>
      </x:c>
      <x:c r="B419" s="20" t="n">
        <x:v>2024</x:v>
      </x:c>
      <x:c r="C419" s="20" t="str">
        <x:v>Marketing y Comunicación</x:v>
      </x:c>
      <x:c r="D419" s="20" t="str">
        <x:v>MKT-004</x:v>
      </x:c>
      <x:c r="E419" s="20" t="str">
        <x:v>NUM</x:v>
      </x:c>
      <x:c r="F419" s="20" t="str">
        <x:v>Compromisos de sesiones de feedback cerrados en fecha</x:v>
      </x:c>
      <x:c r="G419" s="20" t="str">
        <x:v>días</x:v>
      </x:c>
      <x:c r="H419" s="20" t="n">
        <x:v>105</x:v>
      </x:c>
      <x:c r="I419" s="20" t="str">
        <x:v>Historical Dummy</x:v>
      </x:c>
      <x:c r="J419" s="20" t="str">
        <x:v>YES</x:v>
      </x:c>
    </x:row>
    <x:row r="420">
      <x:c r="A420" s="20" t="str">
        <x:v>MKT-004_NUM</x:v>
      </x:c>
      <x:c r="B420" s="20" t="n">
        <x:v>2025</x:v>
      </x:c>
      <x:c r="C420" s="20" t="str">
        <x:v>Marketing y Comunicación</x:v>
      </x:c>
      <x:c r="D420" s="20" t="str">
        <x:v>MKT-004</x:v>
      </x:c>
      <x:c r="E420" s="20" t="str">
        <x:v>NUM</x:v>
      </x:c>
      <x:c r="F420" s="20" t="str">
        <x:v>Compromisos de sesiones de feedback cerrados en fecha</x:v>
      </x:c>
      <x:c r="G420" s="20" t="str">
        <x:v>días</x:v>
      </x:c>
      <x:c r="H420" s="20" t="n">
        <x:v>120</x:v>
      </x:c>
      <x:c r="I420" s="20" t="str">
        <x:v>Historical Dummy</x:v>
      </x:c>
      <x:c r="J420" s="20" t="str">
        <x:v>YES</x:v>
      </x:c>
    </x:row>
    <x:row r="421">
      <x:c r="A421" s="20" t="str">
        <x:v>MKT-004_NUM</x:v>
      </x:c>
      <x:c r="B421" s="20" t="n">
        <x:v>2026</x:v>
      </x:c>
      <x:c r="C421" s="20" t="str">
        <x:v>Marketing y Comunicación</x:v>
      </x:c>
      <x:c r="D421" s="20" t="str">
        <x:v>MKT-004</x:v>
      </x:c>
      <x:c r="E421" s="20" t="str">
        <x:v>NUM</x:v>
      </x:c>
      <x:c r="F421" s="20" t="str">
        <x:v>Compromisos de sesiones de feedback cerrados en fecha</x:v>
      </x:c>
      <x:c r="G421" s="20" t="str">
        <x:v>días</x:v>
      </x:c>
      <x:c r="H421" s="20" t="n">
        <x:v>138</x:v>
      </x:c>
      <x:c r="I421" s="20" t="str">
        <x:v>Plan-Year Dummy</x:v>
      </x:c>
      <x:c r="J421" s="20" t="str">
        <x:v>YES</x:v>
      </x:c>
    </x:row>
    <x:row r="422">
      <x:c r="A422" s="20" t="str">
        <x:v>MKT-004_DEN</x:v>
      </x:c>
      <x:c r="B422" s="20" t="n">
        <x:v>2023</x:v>
      </x:c>
      <x:c r="C422" s="20" t="str">
        <x:v>Marketing y Comunicación</x:v>
      </x:c>
      <x:c r="D422" s="20" t="str">
        <x:v>MKT-004</x:v>
      </x:c>
      <x:c r="E422" s="20" t="str">
        <x:v>DEN</x:v>
      </x:c>
      <x:c r="F422" s="20" t="str">
        <x:v>compromisos acordados</x:v>
      </x:c>
      <x:c r="G422" s="20" t="str">
        <x:v># / base</x:v>
      </x:c>
      <x:c r="H422" s="20" t="n">
        <x:v>120</x:v>
      </x:c>
      <x:c r="I422" s="20" t="str">
        <x:v>Historical Dummy</x:v>
      </x:c>
      <x:c r="J422" s="20" t="str">
        <x:v>YES</x:v>
      </x:c>
    </x:row>
    <x:row r="423">
      <x:c r="A423" s="20" t="str">
        <x:v>MKT-004_DEN</x:v>
      </x:c>
      <x:c r="B423" s="20" t="n">
        <x:v>2024</x:v>
      </x:c>
      <x:c r="C423" s="20" t="str">
        <x:v>Marketing y Comunicación</x:v>
      </x:c>
      <x:c r="D423" s="20" t="str">
        <x:v>MKT-004</x:v>
      </x:c>
      <x:c r="E423" s="20" t="str">
        <x:v>DEN</x:v>
      </x:c>
      <x:c r="F423" s="20" t="str">
        <x:v>compromisos acordados</x:v>
      </x:c>
      <x:c r="G423" s="20" t="str">
        <x:v># / base</x:v>
      </x:c>
      <x:c r="H423" s="20" t="n">
        <x:v>130</x:v>
      </x:c>
      <x:c r="I423" s="20" t="str">
        <x:v>Historical Dummy</x:v>
      </x:c>
      <x:c r="J423" s="20" t="str">
        <x:v>YES</x:v>
      </x:c>
    </x:row>
    <x:row r="424">
      <x:c r="A424" s="20" t="str">
        <x:v>MKT-004_DEN</x:v>
      </x:c>
      <x:c r="B424" s="20" t="n">
        <x:v>2025</x:v>
      </x:c>
      <x:c r="C424" s="20" t="str">
        <x:v>Marketing y Comunicación</x:v>
      </x:c>
      <x:c r="D424" s="20" t="str">
        <x:v>MKT-004</x:v>
      </x:c>
      <x:c r="E424" s="20" t="str">
        <x:v>DEN</x:v>
      </x:c>
      <x:c r="F424" s="20" t="str">
        <x:v>compromisos acordados</x:v>
      </x:c>
      <x:c r="G424" s="20" t="str">
        <x:v># / base</x:v>
      </x:c>
      <x:c r="H424" s="20" t="n">
        <x:v>139</x:v>
      </x:c>
      <x:c r="I424" s="20" t="str">
        <x:v>Historical Dummy</x:v>
      </x:c>
      <x:c r="J424" s="20" t="str">
        <x:v>YES</x:v>
      </x:c>
    </x:row>
    <x:row r="425">
      <x:c r="A425" s="20" t="str">
        <x:v>MKT-004_DEN</x:v>
      </x:c>
      <x:c r="B425" s="20" t="n">
        <x:v>2026</x:v>
      </x:c>
      <x:c r="C425" s="20" t="str">
        <x:v>Marketing y Comunicación</x:v>
      </x:c>
      <x:c r="D425" s="20" t="str">
        <x:v>MKT-004</x:v>
      </x:c>
      <x:c r="E425" s="20" t="str">
        <x:v>DEN</x:v>
      </x:c>
      <x:c r="F425" s="20" t="str">
        <x:v>compromisos acordados</x:v>
      </x:c>
      <x:c r="G425" s="20" t="str">
        <x:v># / base</x:v>
      </x:c>
      <x:c r="H425" s="20" t="n">
        <x:v>150</x:v>
      </x:c>
      <x:c r="I425" s="20" t="str">
        <x:v>Plan-Year Dummy</x:v>
      </x:c>
      <x:c r="J425" s="20" t="str">
        <x:v>YES</x:v>
      </x:c>
    </x:row>
    <x:row r="426">
      <x:c r="A426" s="20" t="str">
        <x:v>MKT-007_NUM</x:v>
      </x:c>
      <x:c r="B426" s="20" t="n">
        <x:v>2023</x:v>
      </x:c>
      <x:c r="C426" s="20" t="str">
        <x:v>Marketing y Comunicación</x:v>
      </x:c>
      <x:c r="D426" s="20" t="str">
        <x:v>MKT-007</x:v>
      </x:c>
      <x:c r="E426" s="20" t="str">
        <x:v>NUM</x:v>
      </x:c>
      <x:c r="F426" s="20" t="str">
        <x:v>Embajadores confirmados que realizan al menos una activación verificable</x:v>
      </x:c>
      <x:c r="G426" s="20" t="str">
        <x:v># / base</x:v>
      </x:c>
      <x:c r="H426" s="20" t="n">
        <x:v>12</x:v>
      </x:c>
      <x:c r="I426" s="20" t="str">
        <x:v>Historical Dummy</x:v>
      </x:c>
      <x:c r="J426" s="20" t="str">
        <x:v>YES</x:v>
      </x:c>
    </x:row>
    <x:row r="427">
      <x:c r="A427" s="20" t="str">
        <x:v>MKT-007_NUM</x:v>
      </x:c>
      <x:c r="B427" s="20" t="n">
        <x:v>2024</x:v>
      </x:c>
      <x:c r="C427" s="20" t="str">
        <x:v>Marketing y Comunicación</x:v>
      </x:c>
      <x:c r="D427" s="20" t="str">
        <x:v>MKT-007</x:v>
      </x:c>
      <x:c r="E427" s="20" t="str">
        <x:v>NUM</x:v>
      </x:c>
      <x:c r="F427" s="20" t="str">
        <x:v>Embajadores confirmados que realizan al menos una activación verificable</x:v>
      </x:c>
      <x:c r="G427" s="20" t="str">
        <x:v># / base</x:v>
      </x:c>
      <x:c r="H427" s="20" t="n">
        <x:v>13</x:v>
      </x:c>
      <x:c r="I427" s="20" t="str">
        <x:v>Historical Dummy</x:v>
      </x:c>
      <x:c r="J427" s="20" t="str">
        <x:v>YES</x:v>
      </x:c>
    </x:row>
    <x:row r="428">
      <x:c r="A428" s="20" t="str">
        <x:v>MKT-007_NUM</x:v>
      </x:c>
      <x:c r="B428" s="20" t="n">
        <x:v>2025</x:v>
      </x:c>
      <x:c r="C428" s="20" t="str">
        <x:v>Marketing y Comunicación</x:v>
      </x:c>
      <x:c r="D428" s="20" t="str">
        <x:v>MKT-007</x:v>
      </x:c>
      <x:c r="E428" s="20" t="str">
        <x:v>NUM</x:v>
      </x:c>
      <x:c r="F428" s="20" t="str">
        <x:v>Embajadores confirmados que realizan al menos una activación verificable</x:v>
      </x:c>
      <x:c r="G428" s="20" t="str">
        <x:v># / base</x:v>
      </x:c>
      <x:c r="H428" s="20" t="n">
        <x:v>15</x:v>
      </x:c>
      <x:c r="I428" s="20" t="str">
        <x:v>Historical Dummy</x:v>
      </x:c>
      <x:c r="J428" s="20" t="str">
        <x:v>YES</x:v>
      </x:c>
    </x:row>
    <x:row r="429">
      <x:c r="A429" s="20" t="str">
        <x:v>MKT-007_NUM</x:v>
      </x:c>
      <x:c r="B429" s="20" t="n">
        <x:v>2026</x:v>
      </x:c>
      <x:c r="C429" s="20" t="str">
        <x:v>Marketing y Comunicación</x:v>
      </x:c>
      <x:c r="D429" s="20" t="str">
        <x:v>MKT-007</x:v>
      </x:c>
      <x:c r="E429" s="20" t="str">
        <x:v>NUM</x:v>
      </x:c>
      <x:c r="F429" s="20" t="str">
        <x:v>Embajadores confirmados que realizan al menos una activación verificable</x:v>
      </x:c>
      <x:c r="G429" s="20" t="str">
        <x:v># / base</x:v>
      </x:c>
      <x:c r="H429" s="20" t="n">
        <x:v>18</x:v>
      </x:c>
      <x:c r="I429" s="20" t="str">
        <x:v>Plan-Year Dummy</x:v>
      </x:c>
      <x:c r="J429" s="20" t="str">
        <x:v>YES</x:v>
      </x:c>
    </x:row>
    <x:row r="430">
      <x:c r="A430" s="20" t="str">
        <x:v>MKT-007_DEN</x:v>
      </x:c>
      <x:c r="B430" s="20" t="n">
        <x:v>2023</x:v>
      </x:c>
      <x:c r="C430" s="20" t="str">
        <x:v>Marketing y Comunicación</x:v>
      </x:c>
      <x:c r="D430" s="20" t="str">
        <x:v>MKT-007</x:v>
      </x:c>
      <x:c r="E430" s="20" t="str">
        <x:v>DEN</x:v>
      </x:c>
      <x:c r="F430" s="20" t="str">
        <x:v>embajadores comprometidos</x:v>
      </x:c>
      <x:c r="G430" s="20" t="str">
        <x:v># / base</x:v>
      </x:c>
      <x:c r="H430" s="20" t="n">
        <x:v>14</x:v>
      </x:c>
      <x:c r="I430" s="20" t="str">
        <x:v>Historical Dummy</x:v>
      </x:c>
      <x:c r="J430" s="20" t="str">
        <x:v>YES</x:v>
      </x:c>
    </x:row>
    <x:row r="431">
      <x:c r="A431" s="20" t="str">
        <x:v>MKT-007_DEN</x:v>
      </x:c>
      <x:c r="B431" s="20" t="n">
        <x:v>2024</x:v>
      </x:c>
      <x:c r="C431" s="20" t="str">
        <x:v>Marketing y Comunicación</x:v>
      </x:c>
      <x:c r="D431" s="20" t="str">
        <x:v>MKT-007</x:v>
      </x:c>
      <x:c r="E431" s="20" t="str">
        <x:v>DEN</x:v>
      </x:c>
      <x:c r="F431" s="20" t="str">
        <x:v>embajadores comprometidos</x:v>
      </x:c>
      <x:c r="G431" s="20" t="str">
        <x:v># / base</x:v>
      </x:c>
      <x:c r="H431" s="20" t="n">
        <x:v>15</x:v>
      </x:c>
      <x:c r="I431" s="20" t="str">
        <x:v>Historical Dummy</x:v>
      </x:c>
      <x:c r="J431" s="20" t="str">
        <x:v>YES</x:v>
      </x:c>
    </x:row>
    <x:row r="432">
      <x:c r="A432" s="20" t="str">
        <x:v>MKT-007_DEN</x:v>
      </x:c>
      <x:c r="B432" s="20" t="n">
        <x:v>2025</x:v>
      </x:c>
      <x:c r="C432" s="20" t="str">
        <x:v>Marketing y Comunicación</x:v>
      </x:c>
      <x:c r="D432" s="20" t="str">
        <x:v>MKT-007</x:v>
      </x:c>
      <x:c r="E432" s="20" t="str">
        <x:v>DEN</x:v>
      </x:c>
      <x:c r="F432" s="20" t="str">
        <x:v>embajadores comprometidos</x:v>
      </x:c>
      <x:c r="G432" s="20" t="str">
        <x:v># / base</x:v>
      </x:c>
      <x:c r="H432" s="20" t="n">
        <x:v>16</x:v>
      </x:c>
      <x:c r="I432" s="20" t="str">
        <x:v>Historical Dummy</x:v>
      </x:c>
      <x:c r="J432" s="20" t="str">
        <x:v>YES</x:v>
      </x:c>
    </x:row>
    <x:row r="433">
      <x:c r="A433" s="20" t="str">
        <x:v>MKT-007_DEN</x:v>
      </x:c>
      <x:c r="B433" s="20" t="n">
        <x:v>2026</x:v>
      </x:c>
      <x:c r="C433" s="20" t="str">
        <x:v>Marketing y Comunicación</x:v>
      </x:c>
      <x:c r="D433" s="20" t="str">
        <x:v>MKT-007</x:v>
      </x:c>
      <x:c r="E433" s="20" t="str">
        <x:v>DEN</x:v>
      </x:c>
      <x:c r="F433" s="20" t="str">
        <x:v>embajadores comprometidos</x:v>
      </x:c>
      <x:c r="G433" s="20" t="str">
        <x:v># / base</x:v>
      </x:c>
      <x:c r="H433" s="20" t="n">
        <x:v>18</x:v>
      </x:c>
      <x:c r="I433" s="20" t="str">
        <x:v>Plan-Year Dummy</x:v>
      </x:c>
      <x:c r="J433" s="20" t="str">
        <x:v>YES</x:v>
      </x:c>
    </x:row>
    <x:row r="434">
      <x:c r="A434" s="20" t="str">
        <x:v>MKT-008_NUM</x:v>
      </x:c>
      <x:c r="B434" s="20" t="n">
        <x:v>2023</x:v>
      </x:c>
      <x:c r="C434" s="20" t="str">
        <x:v>Marketing y Comunicación</x:v>
      </x:c>
      <x:c r="D434" s="20" t="str">
        <x:v>MKT-008</x:v>
      </x:c>
      <x:c r="E434" s="20" t="str">
        <x:v>NUM</x:v>
      </x:c>
      <x:c r="F434" s="20" t="str">
        <x:v>Activos/canales ejecutados conforme al plan</x:v>
      </x:c>
      <x:c r="G434" s="20" t="str">
        <x:v># / base</x:v>
      </x:c>
      <x:c r="H434" s="20" t="n">
        <x:v>84</x:v>
      </x:c>
      <x:c r="I434" s="20" t="str">
        <x:v>Historical Dummy</x:v>
      </x:c>
      <x:c r="J434" s="20" t="str">
        <x:v>YES</x:v>
      </x:c>
    </x:row>
    <x:row r="435">
      <x:c r="A435" s="20" t="str">
        <x:v>MKT-008_NUM</x:v>
      </x:c>
      <x:c r="B435" s="20" t="n">
        <x:v>2024</x:v>
      </x:c>
      <x:c r="C435" s="20" t="str">
        <x:v>Marketing y Comunicación</x:v>
      </x:c>
      <x:c r="D435" s="20" t="str">
        <x:v>MKT-008</x:v>
      </x:c>
      <x:c r="E435" s="20" t="str">
        <x:v>NUM</x:v>
      </x:c>
      <x:c r="F435" s="20" t="str">
        <x:v>Activos/canales ejecutados conforme al plan</x:v>
      </x:c>
      <x:c r="G435" s="20" t="str">
        <x:v># / base</x:v>
      </x:c>
      <x:c r="H435" s="20" t="n">
        <x:v>96</x:v>
      </x:c>
      <x:c r="I435" s="20" t="str">
        <x:v>Historical Dummy</x:v>
      </x:c>
      <x:c r="J435" s="20" t="str">
        <x:v>YES</x:v>
      </x:c>
    </x:row>
    <x:row r="436">
      <x:c r="A436" s="20" t="str">
        <x:v>MKT-008_NUM</x:v>
      </x:c>
      <x:c r="B436" s="20" t="n">
        <x:v>2025</x:v>
      </x:c>
      <x:c r="C436" s="20" t="str">
        <x:v>Marketing y Comunicación</x:v>
      </x:c>
      <x:c r="D436" s="20" t="str">
        <x:v>MKT-008</x:v>
      </x:c>
      <x:c r="E436" s="20" t="str">
        <x:v>NUM</x:v>
      </x:c>
      <x:c r="F436" s="20" t="str">
        <x:v>Activos/canales ejecutados conforme al plan</x:v>
      </x:c>
      <x:c r="G436" s="20" t="str">
        <x:v># / base</x:v>
      </x:c>
      <x:c r="H436" s="20" t="n">
        <x:v>109</x:v>
      </x:c>
      <x:c r="I436" s="20" t="str">
        <x:v>Historical Dummy</x:v>
      </x:c>
      <x:c r="J436" s="20" t="str">
        <x:v>YES</x:v>
      </x:c>
    </x:row>
    <x:row r="437">
      <x:c r="A437" s="20" t="str">
        <x:v>MKT-008_NUM</x:v>
      </x:c>
      <x:c r="B437" s="20" t="n">
        <x:v>2026</x:v>
      </x:c>
      <x:c r="C437" s="20" t="str">
        <x:v>Marketing y Comunicación</x:v>
      </x:c>
      <x:c r="D437" s="20" t="str">
        <x:v>MKT-008</x:v>
      </x:c>
      <x:c r="E437" s="20" t="str">
        <x:v>NUM</x:v>
      </x:c>
      <x:c r="F437" s="20" t="str">
        <x:v>Activos/canales ejecutados conforme al plan</x:v>
      </x:c>
      <x:c r="G437" s="20" t="str">
        <x:v># / base</x:v>
      </x:c>
      <x:c r="H437" s="20" t="n">
        <x:v>125</x:v>
      </x:c>
      <x:c r="I437" s="20" t="str">
        <x:v>Plan-Year Dummy</x:v>
      </x:c>
      <x:c r="J437" s="20" t="str">
        <x:v>YES</x:v>
      </x:c>
    </x:row>
    <x:row r="438">
      <x:c r="A438" s="20" t="str">
        <x:v>MKT-008_DEN</x:v>
      </x:c>
      <x:c r="B438" s="20" t="n">
        <x:v>2023</x:v>
      </x:c>
      <x:c r="C438" s="20" t="str">
        <x:v>Marketing y Comunicación</x:v>
      </x:c>
      <x:c r="D438" s="20" t="str">
        <x:v>MKT-008</x:v>
      </x:c>
      <x:c r="E438" s="20" t="str">
        <x:v>DEN</x:v>
      </x:c>
      <x:c r="F438" s="20" t="str">
        <x:v>activos/canales planificados</x:v>
      </x:c>
      <x:c r="G438" s="20" t="str">
        <x:v># / base</x:v>
      </x:c>
      <x:c r="H438" s="20" t="n">
        <x:v>100</x:v>
      </x:c>
      <x:c r="I438" s="20" t="str">
        <x:v>Historical Dummy</x:v>
      </x:c>
      <x:c r="J438" s="20" t="str">
        <x:v>YES</x:v>
      </x:c>
    </x:row>
    <x:row r="439">
      <x:c r="A439" s="20" t="str">
        <x:v>MKT-008_DEN</x:v>
      </x:c>
      <x:c r="B439" s="20" t="n">
        <x:v>2024</x:v>
      </x:c>
      <x:c r="C439" s="20" t="str">
        <x:v>Marketing y Comunicación</x:v>
      </x:c>
      <x:c r="D439" s="20" t="str">
        <x:v>MKT-008</x:v>
      </x:c>
      <x:c r="E439" s="20" t="str">
        <x:v>DEN</x:v>
      </x:c>
      <x:c r="F439" s="20" t="str">
        <x:v>activos/canales planificados</x:v>
      </x:c>
      <x:c r="G439" s="20" t="str">
        <x:v># / base</x:v>
      </x:c>
      <x:c r="H439" s="20" t="n">
        <x:v>108</x:v>
      </x:c>
      <x:c r="I439" s="20" t="str">
        <x:v>Historical Dummy</x:v>
      </x:c>
      <x:c r="J439" s="20" t="str">
        <x:v>YES</x:v>
      </x:c>
    </x:row>
    <x:row r="440">
      <x:c r="A440" s="20" t="str">
        <x:v>MKT-008_DEN</x:v>
      </x:c>
      <x:c r="B440" s="20" t="n">
        <x:v>2025</x:v>
      </x:c>
      <x:c r="C440" s="20" t="str">
        <x:v>Marketing y Comunicación</x:v>
      </x:c>
      <x:c r="D440" s="20" t="str">
        <x:v>MKT-008</x:v>
      </x:c>
      <x:c r="E440" s="20" t="str">
        <x:v>DEN</x:v>
      </x:c>
      <x:c r="F440" s="20" t="str">
        <x:v>activos/canales planificados</x:v>
      </x:c>
      <x:c r="G440" s="20" t="str">
        <x:v># / base</x:v>
      </x:c>
      <x:c r="H440" s="20" t="n">
        <x:v>116</x:v>
      </x:c>
      <x:c r="I440" s="20" t="str">
        <x:v>Historical Dummy</x:v>
      </x:c>
      <x:c r="J440" s="20" t="str">
        <x:v>YES</x:v>
      </x:c>
    </x:row>
    <x:row r="441">
      <x:c r="A441" s="20" t="str">
        <x:v>MKT-008_DEN</x:v>
      </x:c>
      <x:c r="B441" s="20" t="n">
        <x:v>2026</x:v>
      </x:c>
      <x:c r="C441" s="20" t="str">
        <x:v>Marketing y Comunicación</x:v>
      </x:c>
      <x:c r="D441" s="20" t="str">
        <x:v>MKT-008</x:v>
      </x:c>
      <x:c r="E441" s="20" t="str">
        <x:v>DEN</x:v>
      </x:c>
      <x:c r="F441" s="20" t="str">
        <x:v>activos/canales planificados</x:v>
      </x:c>
      <x:c r="G441" s="20" t="str">
        <x:v># / base</x:v>
      </x:c>
      <x:c r="H441" s="20" t="n">
        <x:v>125</x:v>
      </x:c>
      <x:c r="I441" s="20" t="str">
        <x:v>Plan-Year Dummy</x:v>
      </x:c>
      <x:c r="J441" s="20" t="str">
        <x:v>YES</x:v>
      </x:c>
    </x:row>
    <x:row r="442">
      <x:c r="A442" s="20" t="str">
        <x:v>MKT-009_NUM</x:v>
      </x:c>
      <x:c r="B442" s="20" t="n">
        <x:v>2023</x:v>
      </x:c>
      <x:c r="C442" s="20" t="str">
        <x:v>Marketing y Comunicación</x:v>
      </x:c>
      <x:c r="D442" s="20" t="str">
        <x:v>MKT-009</x:v>
      </x:c>
      <x:c r="E442" s="20" t="str">
        <x:v>NUM</x:v>
      </x:c>
      <x:c r="F442" s="20" t="str">
        <x:v>Publicaciones internacionales realizadas en fecha</x:v>
      </x:c>
      <x:c r="G442" s="20" t="str">
        <x:v>días</x:v>
      </x:c>
      <x:c r="H442" s="20" t="n">
        <x:v>101</x:v>
      </x:c>
      <x:c r="I442" s="20" t="str">
        <x:v>Historical Dummy</x:v>
      </x:c>
      <x:c r="J442" s="20" t="str">
        <x:v>YES</x:v>
      </x:c>
    </x:row>
    <x:row r="443">
      <x:c r="A443" s="20" t="str">
        <x:v>MKT-009_NUM</x:v>
      </x:c>
      <x:c r="B443" s="20" t="n">
        <x:v>2024</x:v>
      </x:c>
      <x:c r="C443" s="20" t="str">
        <x:v>Marketing y Comunicación</x:v>
      </x:c>
      <x:c r="D443" s="20" t="str">
        <x:v>MKT-009</x:v>
      </x:c>
      <x:c r="E443" s="20" t="str">
        <x:v>NUM</x:v>
      </x:c>
      <x:c r="F443" s="20" t="str">
        <x:v>Publicaciones internacionales realizadas en fecha</x:v>
      </x:c>
      <x:c r="G443" s="20" t="str">
        <x:v>días</x:v>
      </x:c>
      <x:c r="H443" s="20" t="n">
        <x:v>116</x:v>
      </x:c>
      <x:c r="I443" s="20" t="str">
        <x:v>Historical Dummy</x:v>
      </x:c>
      <x:c r="J443" s="20" t="str">
        <x:v>YES</x:v>
      </x:c>
    </x:row>
    <x:row r="444">
      <x:c r="A444" s="20" t="str">
        <x:v>MKT-009_NUM</x:v>
      </x:c>
      <x:c r="B444" s="20" t="n">
        <x:v>2025</x:v>
      </x:c>
      <x:c r="C444" s="20" t="str">
        <x:v>Marketing y Comunicación</x:v>
      </x:c>
      <x:c r="D444" s="20" t="str">
        <x:v>MKT-009</x:v>
      </x:c>
      <x:c r="E444" s="20" t="str">
        <x:v>NUM</x:v>
      </x:c>
      <x:c r="F444" s="20" t="str">
        <x:v>Publicaciones internacionales realizadas en fecha</x:v>
      </x:c>
      <x:c r="G444" s="20" t="str">
        <x:v>días</x:v>
      </x:c>
      <x:c r="H444" s="20" t="n">
        <x:v>131</x:v>
      </x:c>
      <x:c r="I444" s="20" t="str">
        <x:v>Historical Dummy</x:v>
      </x:c>
      <x:c r="J444" s="20" t="str">
        <x:v>YES</x:v>
      </x:c>
    </x:row>
    <x:row r="445">
      <x:c r="A445" s="20" t="str">
        <x:v>MKT-009_NUM</x:v>
      </x:c>
      <x:c r="B445" s="20" t="n">
        <x:v>2026</x:v>
      </x:c>
      <x:c r="C445" s="20" t="str">
        <x:v>Marketing y Comunicación</x:v>
      </x:c>
      <x:c r="D445" s="20" t="str">
        <x:v>MKT-009</x:v>
      </x:c>
      <x:c r="E445" s="20" t="str">
        <x:v>NUM</x:v>
      </x:c>
      <x:c r="F445" s="20" t="str">
        <x:v>Publicaciones internacionales realizadas en fecha</x:v>
      </x:c>
      <x:c r="G445" s="20" t="str">
        <x:v>días</x:v>
      </x:c>
      <x:c r="H445" s="20" t="n">
        <x:v>150</x:v>
      </x:c>
      <x:c r="I445" s="20" t="str">
        <x:v>Plan-Year Dummy</x:v>
      </x:c>
      <x:c r="J445" s="20" t="str">
        <x:v>YES</x:v>
      </x:c>
    </x:row>
    <x:row r="446">
      <x:c r="A446" s="20" t="str">
        <x:v>MKT-009_DEN</x:v>
      </x:c>
      <x:c r="B446" s="20" t="n">
        <x:v>2023</x:v>
      </x:c>
      <x:c r="C446" s="20" t="str">
        <x:v>Marketing y Comunicación</x:v>
      </x:c>
      <x:c r="D446" s="20" t="str">
        <x:v>MKT-009</x:v>
      </x:c>
      <x:c r="E446" s="20" t="str">
        <x:v>DEN</x:v>
      </x:c>
      <x:c r="F446" s="20" t="str">
        <x:v>publicaciones planificadas</x:v>
      </x:c>
      <x:c r="G446" s="20" t="str">
        <x:v># / base</x:v>
      </x:c>
      <x:c r="H446" s="20" t="n">
        <x:v>120</x:v>
      </x:c>
      <x:c r="I446" s="20" t="str">
        <x:v>Historical Dummy</x:v>
      </x:c>
      <x:c r="J446" s="20" t="str">
        <x:v>YES</x:v>
      </x:c>
    </x:row>
    <x:row r="447">
      <x:c r="A447" s="20" t="str">
        <x:v>MKT-009_DEN</x:v>
      </x:c>
      <x:c r="B447" s="20" t="n">
        <x:v>2024</x:v>
      </x:c>
      <x:c r="C447" s="20" t="str">
        <x:v>Marketing y Comunicación</x:v>
      </x:c>
      <x:c r="D447" s="20" t="str">
        <x:v>MKT-009</x:v>
      </x:c>
      <x:c r="E447" s="20" t="str">
        <x:v>DEN</x:v>
      </x:c>
      <x:c r="F447" s="20" t="str">
        <x:v>publicaciones planificadas</x:v>
      </x:c>
      <x:c r="G447" s="20" t="str">
        <x:v># / base</x:v>
      </x:c>
      <x:c r="H447" s="20" t="n">
        <x:v>130</x:v>
      </x:c>
      <x:c r="I447" s="20" t="str">
        <x:v>Historical Dummy</x:v>
      </x:c>
      <x:c r="J447" s="20" t="str">
        <x:v>YES</x:v>
      </x:c>
    </x:row>
    <x:row r="448">
      <x:c r="A448" s="20" t="str">
        <x:v>MKT-009_DEN</x:v>
      </x:c>
      <x:c r="B448" s="20" t="n">
        <x:v>2025</x:v>
      </x:c>
      <x:c r="C448" s="20" t="str">
        <x:v>Marketing y Comunicación</x:v>
      </x:c>
      <x:c r="D448" s="20" t="str">
        <x:v>MKT-009</x:v>
      </x:c>
      <x:c r="E448" s="20" t="str">
        <x:v>DEN</x:v>
      </x:c>
      <x:c r="F448" s="20" t="str">
        <x:v>publicaciones planificadas</x:v>
      </x:c>
      <x:c r="G448" s="20" t="str">
        <x:v># / base</x:v>
      </x:c>
      <x:c r="H448" s="20" t="n">
        <x:v>139</x:v>
      </x:c>
      <x:c r="I448" s="20" t="str">
        <x:v>Historical Dummy</x:v>
      </x:c>
      <x:c r="J448" s="20" t="str">
        <x:v>YES</x:v>
      </x:c>
    </x:row>
    <x:row r="449">
      <x:c r="A449" s="20" t="str">
        <x:v>MKT-009_DEN</x:v>
      </x:c>
      <x:c r="B449" s="20" t="n">
        <x:v>2026</x:v>
      </x:c>
      <x:c r="C449" s="20" t="str">
        <x:v>Marketing y Comunicación</x:v>
      </x:c>
      <x:c r="D449" s="20" t="str">
        <x:v>MKT-009</x:v>
      </x:c>
      <x:c r="E449" s="20" t="str">
        <x:v>DEN</x:v>
      </x:c>
      <x:c r="F449" s="20" t="str">
        <x:v>publicaciones planificadas</x:v>
      </x:c>
      <x:c r="G449" s="20" t="str">
        <x:v># / base</x:v>
      </x:c>
      <x:c r="H449" s="20" t="n">
        <x:v>150</x:v>
      </x:c>
      <x:c r="I449" s="20" t="str">
        <x:v>Plan-Year Dummy</x:v>
      </x:c>
      <x:c r="J449" s="20" t="str">
        <x:v>YES</x:v>
      </x:c>
    </x:row>
    <x:row r="450">
      <x:c r="A450" s="20" t="str">
        <x:v>MKT-010_NUM</x:v>
      </x:c>
      <x:c r="B450" s="20" t="n">
        <x:v>2023</x:v>
      </x:c>
      <x:c r="C450" s="20" t="str">
        <x:v>Marketing y Comunicación</x:v>
      </x:c>
      <x:c r="D450" s="20" t="str">
        <x:v>MKT-010</x:v>
      </x:c>
      <x:c r="E450" s="20" t="str">
        <x:v>NUM</x:v>
      </x:c>
      <x:c r="F450" s="20" t="str">
        <x:v>Países objetivo con frecuencia mínima de comunicación cumplida</x:v>
      </x:c>
      <x:c r="G450" s="20" t="str">
        <x:v># / base</x:v>
      </x:c>
      <x:c r="H450" s="20" t="n">
        <x:v>3</x:v>
      </x:c>
      <x:c r="I450" s="20" t="str">
        <x:v>Historical Dummy</x:v>
      </x:c>
      <x:c r="J450" s="20" t="str">
        <x:v>YES</x:v>
      </x:c>
    </x:row>
    <x:row r="451">
      <x:c r="A451" s="20" t="str">
        <x:v>MKT-010_NUM</x:v>
      </x:c>
      <x:c r="B451" s="20" t="n">
        <x:v>2024</x:v>
      </x:c>
      <x:c r="C451" s="20" t="str">
        <x:v>Marketing y Comunicación</x:v>
      </x:c>
      <x:c r="D451" s="20" t="str">
        <x:v>MKT-010</x:v>
      </x:c>
      <x:c r="E451" s="20" t="str">
        <x:v>NUM</x:v>
      </x:c>
      <x:c r="F451" s="20" t="str">
        <x:v>Países objetivo con frecuencia mínima de comunicación cumplida</x:v>
      </x:c>
      <x:c r="G451" s="20" t="str">
        <x:v># / base</x:v>
      </x:c>
      <x:c r="H451" s="20" t="n">
        <x:v>4</x:v>
      </x:c>
      <x:c r="I451" s="20" t="str">
        <x:v>Historical Dummy</x:v>
      </x:c>
      <x:c r="J451" s="20" t="str">
        <x:v>YES</x:v>
      </x:c>
    </x:row>
    <x:row r="452">
      <x:c r="A452" s="20" t="str">
        <x:v>MKT-010_NUM</x:v>
      </x:c>
      <x:c r="B452" s="20" t="n">
        <x:v>2025</x:v>
      </x:c>
      <x:c r="C452" s="20" t="str">
        <x:v>Marketing y Comunicación</x:v>
      </x:c>
      <x:c r="D452" s="20" t="str">
        <x:v>MKT-010</x:v>
      </x:c>
      <x:c r="E452" s="20" t="str">
        <x:v>NUM</x:v>
      </x:c>
      <x:c r="F452" s="20" t="str">
        <x:v>Países objetivo con frecuencia mínima de comunicación cumplida</x:v>
      </x:c>
      <x:c r="G452" s="20" t="str">
        <x:v># / base</x:v>
      </x:c>
      <x:c r="H452" s="20" t="n">
        <x:v>4</x:v>
      </x:c>
      <x:c r="I452" s="20" t="str">
        <x:v>Historical Dummy</x:v>
      </x:c>
      <x:c r="J452" s="20" t="str">
        <x:v>YES</x:v>
      </x:c>
    </x:row>
    <x:row r="453">
      <x:c r="A453" s="20" t="str">
        <x:v>MKT-010_NUM</x:v>
      </x:c>
      <x:c r="B453" s="20" t="n">
        <x:v>2026</x:v>
      </x:c>
      <x:c r="C453" s="20" t="str">
        <x:v>Marketing y Comunicación</x:v>
      </x:c>
      <x:c r="D453" s="20" t="str">
        <x:v>MKT-010</x:v>
      </x:c>
      <x:c r="E453" s="20" t="str">
        <x:v>NUM</x:v>
      </x:c>
      <x:c r="F453" s="20" t="str">
        <x:v>Países objetivo con frecuencia mínima de comunicación cumplida</x:v>
      </x:c>
      <x:c r="G453" s="20" t="str">
        <x:v># / base</x:v>
      </x:c>
      <x:c r="H453" s="20" t="n">
        <x:v>4</x:v>
      </x:c>
      <x:c r="I453" s="20" t="str">
        <x:v>Plan-Year Dummy</x:v>
      </x:c>
      <x:c r="J453" s="20" t="str">
        <x:v>YES</x:v>
      </x:c>
    </x:row>
    <x:row r="454">
      <x:c r="A454" s="20" t="str">
        <x:v>MKT-010_DEN</x:v>
      </x:c>
      <x:c r="B454" s="20" t="n">
        <x:v>2023</x:v>
      </x:c>
      <x:c r="C454" s="20" t="str">
        <x:v>Marketing y Comunicación</x:v>
      </x:c>
      <x:c r="D454" s="20" t="str">
        <x:v>MKT-010</x:v>
      </x:c>
      <x:c r="E454" s="20" t="str">
        <x:v>DEN</x:v>
      </x:c>
      <x:c r="F454" s="20" t="str">
        <x:v>países objetivo</x:v>
      </x:c>
      <x:c r="G454" s="20" t="str">
        <x:v># / base</x:v>
      </x:c>
      <x:c r="H454" s="20" t="n">
        <x:v>4</x:v>
      </x:c>
      <x:c r="I454" s="20" t="str">
        <x:v>Historical Dummy</x:v>
      </x:c>
      <x:c r="J454" s="20" t="str">
        <x:v>YES</x:v>
      </x:c>
    </x:row>
    <x:row r="455">
      <x:c r="A455" s="20" t="str">
        <x:v>MKT-010_DEN</x:v>
      </x:c>
      <x:c r="B455" s="20" t="n">
        <x:v>2024</x:v>
      </x:c>
      <x:c r="C455" s="20" t="str">
        <x:v>Marketing y Comunicación</x:v>
      </x:c>
      <x:c r="D455" s="20" t="str">
        <x:v>MKT-010</x:v>
      </x:c>
      <x:c r="E455" s="20" t="str">
        <x:v>DEN</x:v>
      </x:c>
      <x:c r="F455" s="20" t="str">
        <x:v>países objetivo</x:v>
      </x:c>
      <x:c r="G455" s="20" t="str">
        <x:v># / base</x:v>
      </x:c>
      <x:c r="H455" s="20" t="n">
        <x:v>4</x:v>
      </x:c>
      <x:c r="I455" s="20" t="str">
        <x:v>Historical Dummy</x:v>
      </x:c>
      <x:c r="J455" s="20" t="str">
        <x:v>YES</x:v>
      </x:c>
    </x:row>
    <x:row r="456">
      <x:c r="A456" s="20" t="str">
        <x:v>MKT-010_DEN</x:v>
      </x:c>
      <x:c r="B456" s="20" t="n">
        <x:v>2025</x:v>
      </x:c>
      <x:c r="C456" s="20" t="str">
        <x:v>Marketing y Comunicación</x:v>
      </x:c>
      <x:c r="D456" s="20" t="str">
        <x:v>MKT-010</x:v>
      </x:c>
      <x:c r="E456" s="20" t="str">
        <x:v>DEN</x:v>
      </x:c>
      <x:c r="F456" s="20" t="str">
        <x:v>países objetivo</x:v>
      </x:c>
      <x:c r="G456" s="20" t="str">
        <x:v># / base</x:v>
      </x:c>
      <x:c r="H456" s="20" t="n">
        <x:v>4</x:v>
      </x:c>
      <x:c r="I456" s="20" t="str">
        <x:v>Historical Dummy</x:v>
      </x:c>
      <x:c r="J456" s="20" t="str">
        <x:v>YES</x:v>
      </x:c>
    </x:row>
    <x:row r="457">
      <x:c r="A457" s="20" t="str">
        <x:v>MKT-010_DEN</x:v>
      </x:c>
      <x:c r="B457" s="20" t="n">
        <x:v>2026</x:v>
      </x:c>
      <x:c r="C457" s="20" t="str">
        <x:v>Marketing y Comunicación</x:v>
      </x:c>
      <x:c r="D457" s="20" t="str">
        <x:v>MKT-010</x:v>
      </x:c>
      <x:c r="E457" s="20" t="str">
        <x:v>DEN</x:v>
      </x:c>
      <x:c r="F457" s="20" t="str">
        <x:v>países objetivo</x:v>
      </x:c>
      <x:c r="G457" s="20" t="str">
        <x:v># / base</x:v>
      </x:c>
      <x:c r="H457" s="20" t="n">
        <x:v>4</x:v>
      </x:c>
      <x:c r="I457" s="20" t="str">
        <x:v>Plan-Year Dummy</x:v>
      </x:c>
      <x:c r="J457" s="20" t="str">
        <x:v>YES</x:v>
      </x:c>
    </x:row>
    <x:row r="458">
      <x:c r="A458" s="20" t="str">
        <x:v>MKT-011_NUM</x:v>
      </x:c>
      <x:c r="B458" s="20" t="n">
        <x:v>2023</x:v>
      </x:c>
      <x:c r="C458" s="20" t="str">
        <x:v>Marketing y Comunicación</x:v>
      </x:c>
      <x:c r="D458" s="20" t="str">
        <x:v>MKT-011</x:v>
      </x:c>
      <x:c r="E458" s="20" t="str">
        <x:v>NUM</x:v>
      </x:c>
      <x:c r="F458" s="20" t="str">
        <x:v>Actividades principales con foto/video + dato de impacto publicado</x:v>
      </x:c>
      <x:c r="G458" s="20" t="str">
        <x:v># / base</x:v>
      </x:c>
      <x:c r="H458" s="20" t="n">
        <x:v>101</x:v>
      </x:c>
      <x:c r="I458" s="20" t="str">
        <x:v>Historical Dummy</x:v>
      </x:c>
      <x:c r="J458" s="20" t="str">
        <x:v>YES</x:v>
      </x:c>
    </x:row>
    <x:row r="459">
      <x:c r="A459" s="20" t="str">
        <x:v>MKT-011_NUM</x:v>
      </x:c>
      <x:c r="B459" s="20" t="n">
        <x:v>2024</x:v>
      </x:c>
      <x:c r="C459" s="20" t="str">
        <x:v>Marketing y Comunicación</x:v>
      </x:c>
      <x:c r="D459" s="20" t="str">
        <x:v>MKT-011</x:v>
      </x:c>
      <x:c r="E459" s="20" t="str">
        <x:v>NUM</x:v>
      </x:c>
      <x:c r="F459" s="20" t="str">
        <x:v>Actividades principales con foto/video + dato de impacto publicado</x:v>
      </x:c>
      <x:c r="G459" s="20" t="str">
        <x:v># / base</x:v>
      </x:c>
      <x:c r="H459" s="20" t="n">
        <x:v>116</x:v>
      </x:c>
      <x:c r="I459" s="20" t="str">
        <x:v>Historical Dummy</x:v>
      </x:c>
      <x:c r="J459" s="20" t="str">
        <x:v>YES</x:v>
      </x:c>
    </x:row>
    <x:row r="460">
      <x:c r="A460" s="20" t="str">
        <x:v>MKT-011_NUM</x:v>
      </x:c>
      <x:c r="B460" s="20" t="n">
        <x:v>2025</x:v>
      </x:c>
      <x:c r="C460" s="20" t="str">
        <x:v>Marketing y Comunicación</x:v>
      </x:c>
      <x:c r="D460" s="20" t="str">
        <x:v>MKT-011</x:v>
      </x:c>
      <x:c r="E460" s="20" t="str">
        <x:v>NUM</x:v>
      </x:c>
      <x:c r="F460" s="20" t="str">
        <x:v>Actividades principales con foto/video + dato de impacto publicado</x:v>
      </x:c>
      <x:c r="G460" s="20" t="str">
        <x:v># / base</x:v>
      </x:c>
      <x:c r="H460" s="20" t="n">
        <x:v>131</x:v>
      </x:c>
      <x:c r="I460" s="20" t="str">
        <x:v>Historical Dummy</x:v>
      </x:c>
      <x:c r="J460" s="20" t="str">
        <x:v>YES</x:v>
      </x:c>
    </x:row>
    <x:row r="461">
      <x:c r="A461" s="20" t="str">
        <x:v>MKT-011_NUM</x:v>
      </x:c>
      <x:c r="B461" s="20" t="n">
        <x:v>2026</x:v>
      </x:c>
      <x:c r="C461" s="20" t="str">
        <x:v>Marketing y Comunicación</x:v>
      </x:c>
      <x:c r="D461" s="20" t="str">
        <x:v>MKT-011</x:v>
      </x:c>
      <x:c r="E461" s="20" t="str">
        <x:v>NUM</x:v>
      </x:c>
      <x:c r="F461" s="20" t="str">
        <x:v>Actividades principales con foto/video + dato de impacto publicado</x:v>
      </x:c>
      <x:c r="G461" s="20" t="str">
        <x:v># / base</x:v>
      </x:c>
      <x:c r="H461" s="20" t="n">
        <x:v>150</x:v>
      </x:c>
      <x:c r="I461" s="20" t="str">
        <x:v>Plan-Year Dummy</x:v>
      </x:c>
      <x:c r="J461" s="20" t="str">
        <x:v>YES</x:v>
      </x:c>
    </x:row>
    <x:row r="462">
      <x:c r="A462" s="20" t="str">
        <x:v>MKT-011_DEN</x:v>
      </x:c>
      <x:c r="B462" s="20" t="n">
        <x:v>2023</x:v>
      </x:c>
      <x:c r="C462" s="20" t="str">
        <x:v>Marketing y Comunicación</x:v>
      </x:c>
      <x:c r="D462" s="20" t="str">
        <x:v>MKT-011</x:v>
      </x:c>
      <x:c r="E462" s="20" t="str">
        <x:v>DEN</x:v>
      </x:c>
      <x:c r="F462" s="20" t="str">
        <x:v>actividades principales realizadas</x:v>
      </x:c>
      <x:c r="G462" s="20" t="str">
        <x:v># / base</x:v>
      </x:c>
      <x:c r="H462" s="20" t="n">
        <x:v>120</x:v>
      </x:c>
      <x:c r="I462" s="20" t="str">
        <x:v>Historical Dummy</x:v>
      </x:c>
      <x:c r="J462" s="20" t="str">
        <x:v>YES</x:v>
      </x:c>
    </x:row>
    <x:row r="463">
      <x:c r="A463" s="20" t="str">
        <x:v>MKT-011_DEN</x:v>
      </x:c>
      <x:c r="B463" s="20" t="n">
        <x:v>2024</x:v>
      </x:c>
      <x:c r="C463" s="20" t="str">
        <x:v>Marketing y Comunicación</x:v>
      </x:c>
      <x:c r="D463" s="20" t="str">
        <x:v>MKT-011</x:v>
      </x:c>
      <x:c r="E463" s="20" t="str">
        <x:v>DEN</x:v>
      </x:c>
      <x:c r="F463" s="20" t="str">
        <x:v>actividades principales realizadas</x:v>
      </x:c>
      <x:c r="G463" s="20" t="str">
        <x:v># / base</x:v>
      </x:c>
      <x:c r="H463" s="20" t="n">
        <x:v>130</x:v>
      </x:c>
      <x:c r="I463" s="20" t="str">
        <x:v>Historical Dummy</x:v>
      </x:c>
      <x:c r="J463" s="20" t="str">
        <x:v>YES</x:v>
      </x:c>
    </x:row>
    <x:row r="464">
      <x:c r="A464" s="20" t="str">
        <x:v>MKT-011_DEN</x:v>
      </x:c>
      <x:c r="B464" s="20" t="n">
        <x:v>2025</x:v>
      </x:c>
      <x:c r="C464" s="20" t="str">
        <x:v>Marketing y Comunicación</x:v>
      </x:c>
      <x:c r="D464" s="20" t="str">
        <x:v>MKT-011</x:v>
      </x:c>
      <x:c r="E464" s="20" t="str">
        <x:v>DEN</x:v>
      </x:c>
      <x:c r="F464" s="20" t="str">
        <x:v>actividades principales realizadas</x:v>
      </x:c>
      <x:c r="G464" s="20" t="str">
        <x:v># / base</x:v>
      </x:c>
      <x:c r="H464" s="20" t="n">
        <x:v>139</x:v>
      </x:c>
      <x:c r="I464" s="20" t="str">
        <x:v>Historical Dummy</x:v>
      </x:c>
      <x:c r="J464" s="20" t="str">
        <x:v>YES</x:v>
      </x:c>
    </x:row>
    <x:row r="465">
      <x:c r="A465" s="20" t="str">
        <x:v>MKT-011_DEN</x:v>
      </x:c>
      <x:c r="B465" s="20" t="n">
        <x:v>2026</x:v>
      </x:c>
      <x:c r="C465" s="20" t="str">
        <x:v>Marketing y Comunicación</x:v>
      </x:c>
      <x:c r="D465" s="20" t="str">
        <x:v>MKT-011</x:v>
      </x:c>
      <x:c r="E465" s="20" t="str">
        <x:v>DEN</x:v>
      </x:c>
      <x:c r="F465" s="20" t="str">
        <x:v>actividades principales realizadas</x:v>
      </x:c>
      <x:c r="G465" s="20" t="str">
        <x:v># / base</x:v>
      </x:c>
      <x:c r="H465" s="20" t="n">
        <x:v>150</x:v>
      </x:c>
      <x:c r="I465" s="20" t="str">
        <x:v>Plan-Year Dummy</x:v>
      </x:c>
      <x:c r="J465" s="20" t="str">
        <x:v>YES</x:v>
      </x:c>
    </x:row>
    <x:row r="466">
      <x:c r="A466" s="20" t="str">
        <x:v>MKT-012_NUM</x:v>
      </x:c>
      <x:c r="B466" s="20" t="n">
        <x:v>2023</x:v>
      </x:c>
      <x:c r="C466" s="20" t="str">
        <x:v>Marketing y Comunicación</x:v>
      </x:c>
      <x:c r="D466" s="20" t="str">
        <x:v>MKT-012</x:v>
      </x:c>
      <x:c r="E466" s="20" t="str">
        <x:v>NUM</x:v>
      </x:c>
      <x:c r="F466" s="20" t="str">
        <x:v>Comunicaciones conjuntas publicadas en fecha</x:v>
      </x:c>
      <x:c r="G466" s="20" t="str">
        <x:v>días</x:v>
      </x:c>
      <x:c r="H466" s="20" t="n">
        <x:v>101</x:v>
      </x:c>
      <x:c r="I466" s="20" t="str">
        <x:v>Historical Dummy</x:v>
      </x:c>
      <x:c r="J466" s="20" t="str">
        <x:v>YES</x:v>
      </x:c>
    </x:row>
    <x:row r="467">
      <x:c r="A467" s="20" t="str">
        <x:v>MKT-012_NUM</x:v>
      </x:c>
      <x:c r="B467" s="20" t="n">
        <x:v>2024</x:v>
      </x:c>
      <x:c r="C467" s="20" t="str">
        <x:v>Marketing y Comunicación</x:v>
      </x:c>
      <x:c r="D467" s="20" t="str">
        <x:v>MKT-012</x:v>
      </x:c>
      <x:c r="E467" s="20" t="str">
        <x:v>NUM</x:v>
      </x:c>
      <x:c r="F467" s="20" t="str">
        <x:v>Comunicaciones conjuntas publicadas en fecha</x:v>
      </x:c>
      <x:c r="G467" s="20" t="str">
        <x:v>días</x:v>
      </x:c>
      <x:c r="H467" s="20" t="n">
        <x:v>116</x:v>
      </x:c>
      <x:c r="I467" s="20" t="str">
        <x:v>Historical Dummy</x:v>
      </x:c>
      <x:c r="J467" s="20" t="str">
        <x:v>YES</x:v>
      </x:c>
    </x:row>
    <x:row r="468">
      <x:c r="A468" s="20" t="str">
        <x:v>MKT-012_NUM</x:v>
      </x:c>
      <x:c r="B468" s="20" t="n">
        <x:v>2025</x:v>
      </x:c>
      <x:c r="C468" s="20" t="str">
        <x:v>Marketing y Comunicación</x:v>
      </x:c>
      <x:c r="D468" s="20" t="str">
        <x:v>MKT-012</x:v>
      </x:c>
      <x:c r="E468" s="20" t="str">
        <x:v>NUM</x:v>
      </x:c>
      <x:c r="F468" s="20" t="str">
        <x:v>Comunicaciones conjuntas publicadas en fecha</x:v>
      </x:c>
      <x:c r="G468" s="20" t="str">
        <x:v>días</x:v>
      </x:c>
      <x:c r="H468" s="20" t="n">
        <x:v>131</x:v>
      </x:c>
      <x:c r="I468" s="20" t="str">
        <x:v>Historical Dummy</x:v>
      </x:c>
      <x:c r="J468" s="20" t="str">
        <x:v>YES</x:v>
      </x:c>
    </x:row>
    <x:row r="469">
      <x:c r="A469" s="20" t="str">
        <x:v>MKT-012_NUM</x:v>
      </x:c>
      <x:c r="B469" s="20" t="n">
        <x:v>2026</x:v>
      </x:c>
      <x:c r="C469" s="20" t="str">
        <x:v>Marketing y Comunicación</x:v>
      </x:c>
      <x:c r="D469" s="20" t="str">
        <x:v>MKT-012</x:v>
      </x:c>
      <x:c r="E469" s="20" t="str">
        <x:v>NUM</x:v>
      </x:c>
      <x:c r="F469" s="20" t="str">
        <x:v>Comunicaciones conjuntas publicadas en fecha</x:v>
      </x:c>
      <x:c r="G469" s="20" t="str">
        <x:v>días</x:v>
      </x:c>
      <x:c r="H469" s="20" t="n">
        <x:v>150</x:v>
      </x:c>
      <x:c r="I469" s="20" t="str">
        <x:v>Plan-Year Dummy</x:v>
      </x:c>
      <x:c r="J469" s="20" t="str">
        <x:v>YES</x:v>
      </x:c>
    </x:row>
    <x:row r="470">
      <x:c r="A470" s="20" t="str">
        <x:v>MKT-012_DEN</x:v>
      </x:c>
      <x:c r="B470" s="20" t="n">
        <x:v>2023</x:v>
      </x:c>
      <x:c r="C470" s="20" t="str">
        <x:v>Marketing y Comunicación</x:v>
      </x:c>
      <x:c r="D470" s="20" t="str">
        <x:v>MKT-012</x:v>
      </x:c>
      <x:c r="E470" s="20" t="str">
        <x:v>DEN</x:v>
      </x:c>
      <x:c r="F470" s="20" t="str">
        <x:v>comunicaciones conjuntas planificadas</x:v>
      </x:c>
      <x:c r="G470" s="20" t="str">
        <x:v># / base</x:v>
      </x:c>
      <x:c r="H470" s="20" t="n">
        <x:v>120</x:v>
      </x:c>
      <x:c r="I470" s="20" t="str">
        <x:v>Historical Dummy</x:v>
      </x:c>
      <x:c r="J470" s="20" t="str">
        <x:v>YES</x:v>
      </x:c>
    </x:row>
    <x:row r="471">
      <x:c r="A471" s="20" t="str">
        <x:v>MKT-012_DEN</x:v>
      </x:c>
      <x:c r="B471" s="20" t="n">
        <x:v>2024</x:v>
      </x:c>
      <x:c r="C471" s="20" t="str">
        <x:v>Marketing y Comunicación</x:v>
      </x:c>
      <x:c r="D471" s="20" t="str">
        <x:v>MKT-012</x:v>
      </x:c>
      <x:c r="E471" s="20" t="str">
        <x:v>DEN</x:v>
      </x:c>
      <x:c r="F471" s="20" t="str">
        <x:v>comunicaciones conjuntas planificadas</x:v>
      </x:c>
      <x:c r="G471" s="20" t="str">
        <x:v># / base</x:v>
      </x:c>
      <x:c r="H471" s="20" t="n">
        <x:v>130</x:v>
      </x:c>
      <x:c r="I471" s="20" t="str">
        <x:v>Historical Dummy</x:v>
      </x:c>
      <x:c r="J471" s="20" t="str">
        <x:v>YES</x:v>
      </x:c>
    </x:row>
    <x:row r="472">
      <x:c r="A472" s="20" t="str">
        <x:v>MKT-012_DEN</x:v>
      </x:c>
      <x:c r="B472" s="20" t="n">
        <x:v>2025</x:v>
      </x:c>
      <x:c r="C472" s="20" t="str">
        <x:v>Marketing y Comunicación</x:v>
      </x:c>
      <x:c r="D472" s="20" t="str">
        <x:v>MKT-012</x:v>
      </x:c>
      <x:c r="E472" s="20" t="str">
        <x:v>DEN</x:v>
      </x:c>
      <x:c r="F472" s="20" t="str">
        <x:v>comunicaciones conjuntas planificadas</x:v>
      </x:c>
      <x:c r="G472" s="20" t="str">
        <x:v># / base</x:v>
      </x:c>
      <x:c r="H472" s="20" t="n">
        <x:v>139</x:v>
      </x:c>
      <x:c r="I472" s="20" t="str">
        <x:v>Historical Dummy</x:v>
      </x:c>
      <x:c r="J472" s="20" t="str">
        <x:v>YES</x:v>
      </x:c>
    </x:row>
    <x:row r="473">
      <x:c r="A473" s="20" t="str">
        <x:v>MKT-012_DEN</x:v>
      </x:c>
      <x:c r="B473" s="20" t="n">
        <x:v>2026</x:v>
      </x:c>
      <x:c r="C473" s="20" t="str">
        <x:v>Marketing y Comunicación</x:v>
      </x:c>
      <x:c r="D473" s="20" t="str">
        <x:v>MKT-012</x:v>
      </x:c>
      <x:c r="E473" s="20" t="str">
        <x:v>DEN</x:v>
      </x:c>
      <x:c r="F473" s="20" t="str">
        <x:v>comunicaciones conjuntas planificadas</x:v>
      </x:c>
      <x:c r="G473" s="20" t="str">
        <x:v># / base</x:v>
      </x:c>
      <x:c r="H473" s="20" t="n">
        <x:v>150</x:v>
      </x:c>
      <x:c r="I473" s="20" t="str">
        <x:v>Plan-Year Dummy</x:v>
      </x:c>
      <x:c r="J473" s="20" t="str">
        <x:v>YES</x:v>
      </x:c>
    </x:row>
    <x:row r="474">
      <x:c r="A474" s="20" t="str">
        <x:v>MKT-013_NUM</x:v>
      </x:c>
      <x:c r="B474" s="20" t="n">
        <x:v>2023</x:v>
      </x:c>
      <x:c r="C474" s="20" t="str">
        <x:v>Marketing y Comunicación</x:v>
      </x:c>
      <x:c r="D474" s="20" t="str">
        <x:v>MKT-013</x:v>
      </x:c>
      <x:c r="E474" s="20" t="str">
        <x:v>NUM</x:v>
      </x:c>
      <x:c r="F474" s="20" t="str">
        <x:v>Campañas activas con cruce de datos de marketing y procuración + conclusión accionable</x:v>
      </x:c>
      <x:c r="G474" s="20" t="str">
        <x:v># / base</x:v>
      </x:c>
      <x:c r="H474" s="20" t="n">
        <x:v>12</x:v>
      </x:c>
      <x:c r="I474" s="20" t="str">
        <x:v>Historical Dummy</x:v>
      </x:c>
      <x:c r="J474" s="20" t="str">
        <x:v>YES</x:v>
      </x:c>
    </x:row>
    <x:row r="475">
      <x:c r="A475" s="20" t="str">
        <x:v>MKT-013_NUM</x:v>
      </x:c>
      <x:c r="B475" s="20" t="n">
        <x:v>2024</x:v>
      </x:c>
      <x:c r="C475" s="20" t="str">
        <x:v>Marketing y Comunicación</x:v>
      </x:c>
      <x:c r="D475" s="20" t="str">
        <x:v>MKT-013</x:v>
      </x:c>
      <x:c r="E475" s="20" t="str">
        <x:v>NUM</x:v>
      </x:c>
      <x:c r="F475" s="20" t="str">
        <x:v>Campañas activas con cruce de datos de marketing y procuración + conclusión accionable</x:v>
      </x:c>
      <x:c r="G475" s="20" t="str">
        <x:v># / base</x:v>
      </x:c>
      <x:c r="H475" s="20" t="n">
        <x:v>13</x:v>
      </x:c>
      <x:c r="I475" s="20" t="str">
        <x:v>Historical Dummy</x:v>
      </x:c>
      <x:c r="J475" s="20" t="str">
        <x:v>YES</x:v>
      </x:c>
    </x:row>
    <x:row r="476">
      <x:c r="A476" s="20" t="str">
        <x:v>MKT-013_NUM</x:v>
      </x:c>
      <x:c r="B476" s="20" t="n">
        <x:v>2025</x:v>
      </x:c>
      <x:c r="C476" s="20" t="str">
        <x:v>Marketing y Comunicación</x:v>
      </x:c>
      <x:c r="D476" s="20" t="str">
        <x:v>MKT-013</x:v>
      </x:c>
      <x:c r="E476" s="20" t="str">
        <x:v>NUM</x:v>
      </x:c>
      <x:c r="F476" s="20" t="str">
        <x:v>Campañas activas con cruce de datos de marketing y procuración + conclusión accionable</x:v>
      </x:c>
      <x:c r="G476" s="20" t="str">
        <x:v># / base</x:v>
      </x:c>
      <x:c r="H476" s="20" t="n">
        <x:v>15</x:v>
      </x:c>
      <x:c r="I476" s="20" t="str">
        <x:v>Historical Dummy</x:v>
      </x:c>
      <x:c r="J476" s="20" t="str">
        <x:v>YES</x:v>
      </x:c>
    </x:row>
    <x:row r="477">
      <x:c r="A477" s="20" t="str">
        <x:v>MKT-013_NUM</x:v>
      </x:c>
      <x:c r="B477" s="20" t="n">
        <x:v>2026</x:v>
      </x:c>
      <x:c r="C477" s="20" t="str">
        <x:v>Marketing y Comunicación</x:v>
      </x:c>
      <x:c r="D477" s="20" t="str">
        <x:v>MKT-013</x:v>
      </x:c>
      <x:c r="E477" s="20" t="str">
        <x:v>NUM</x:v>
      </x:c>
      <x:c r="F477" s="20" t="str">
        <x:v>Campañas activas con cruce de datos de marketing y procuración + conclusión accionable</x:v>
      </x:c>
      <x:c r="G477" s="20" t="str">
        <x:v># / base</x:v>
      </x:c>
      <x:c r="H477" s="20" t="n">
        <x:v>18</x:v>
      </x:c>
      <x:c r="I477" s="20" t="str">
        <x:v>Plan-Year Dummy</x:v>
      </x:c>
      <x:c r="J477" s="20" t="str">
        <x:v>YES</x:v>
      </x:c>
    </x:row>
    <x:row r="478">
      <x:c r="A478" s="20" t="str">
        <x:v>MKT-013_DEN</x:v>
      </x:c>
      <x:c r="B478" s="20" t="n">
        <x:v>2023</x:v>
      </x:c>
      <x:c r="C478" s="20" t="str">
        <x:v>Marketing y Comunicación</x:v>
      </x:c>
      <x:c r="D478" s="20" t="str">
        <x:v>MKT-013</x:v>
      </x:c>
      <x:c r="E478" s="20" t="str">
        <x:v>DEN</x:v>
      </x:c>
      <x:c r="F478" s="20" t="str">
        <x:v>campañas activas</x:v>
      </x:c>
      <x:c r="G478" s="20" t="str">
        <x:v># / base</x:v>
      </x:c>
      <x:c r="H478" s="20" t="n">
        <x:v>14</x:v>
      </x:c>
      <x:c r="I478" s="20" t="str">
        <x:v>Historical Dummy</x:v>
      </x:c>
      <x:c r="J478" s="20" t="str">
        <x:v>YES</x:v>
      </x:c>
    </x:row>
    <x:row r="479">
      <x:c r="A479" s="20" t="str">
        <x:v>MKT-013_DEN</x:v>
      </x:c>
      <x:c r="B479" s="20" t="n">
        <x:v>2024</x:v>
      </x:c>
      <x:c r="C479" s="20" t="str">
        <x:v>Marketing y Comunicación</x:v>
      </x:c>
      <x:c r="D479" s="20" t="str">
        <x:v>MKT-013</x:v>
      </x:c>
      <x:c r="E479" s="20" t="str">
        <x:v>DEN</x:v>
      </x:c>
      <x:c r="F479" s="20" t="str">
        <x:v>campañas activas</x:v>
      </x:c>
      <x:c r="G479" s="20" t="str">
        <x:v># / base</x:v>
      </x:c>
      <x:c r="H479" s="20" t="n">
        <x:v>15</x:v>
      </x:c>
      <x:c r="I479" s="20" t="str">
        <x:v>Historical Dummy</x:v>
      </x:c>
      <x:c r="J479" s="20" t="str">
        <x:v>YES</x:v>
      </x:c>
    </x:row>
    <x:row r="480">
      <x:c r="A480" s="20" t="str">
        <x:v>MKT-013_DEN</x:v>
      </x:c>
      <x:c r="B480" s="20" t="n">
        <x:v>2025</x:v>
      </x:c>
      <x:c r="C480" s="20" t="str">
        <x:v>Marketing y Comunicación</x:v>
      </x:c>
      <x:c r="D480" s="20" t="str">
        <x:v>MKT-013</x:v>
      </x:c>
      <x:c r="E480" s="20" t="str">
        <x:v>DEN</x:v>
      </x:c>
      <x:c r="F480" s="20" t="str">
        <x:v>campañas activas</x:v>
      </x:c>
      <x:c r="G480" s="20" t="str">
        <x:v># / base</x:v>
      </x:c>
      <x:c r="H480" s="20" t="n">
        <x:v>16</x:v>
      </x:c>
      <x:c r="I480" s="20" t="str">
        <x:v>Historical Dummy</x:v>
      </x:c>
      <x:c r="J480" s="20" t="str">
        <x:v>YES</x:v>
      </x:c>
    </x:row>
    <x:row r="481">
      <x:c r="A481" s="20" t="str">
        <x:v>MKT-013_DEN</x:v>
      </x:c>
      <x:c r="B481" s="20" t="n">
        <x:v>2026</x:v>
      </x:c>
      <x:c r="C481" s="20" t="str">
        <x:v>Marketing y Comunicación</x:v>
      </x:c>
      <x:c r="D481" s="20" t="str">
        <x:v>MKT-013</x:v>
      </x:c>
      <x:c r="E481" s="20" t="str">
        <x:v>DEN</x:v>
      </x:c>
      <x:c r="F481" s="20" t="str">
        <x:v>campañas activas</x:v>
      </x:c>
      <x:c r="G481" s="20" t="str">
        <x:v># / base</x:v>
      </x:c>
      <x:c r="H481" s="20" t="n">
        <x:v>18</x:v>
      </x:c>
      <x:c r="I481" s="20" t="str">
        <x:v>Plan-Year Dummy</x:v>
      </x:c>
      <x:c r="J481" s="20" t="str">
        <x:v>YES</x:v>
      </x:c>
    </x:row>
    <x:row r="482">
      <x:c r="A482" s="20" t="str">
        <x:v>MKT-014_VAL</x:v>
      </x:c>
      <x:c r="B482" s="20" t="n">
        <x:v>2023</x:v>
      </x:c>
      <x:c r="C482" s="20" t="str">
        <x:v>Marketing y Comunicación</x:v>
      </x:c>
      <x:c r="D482" s="20" t="str">
        <x:v>MKT-014</x:v>
      </x:c>
      <x:c r="E482" s="20" t="str">
        <x:v>VAL</x:v>
      </x:c>
      <x:c r="F482" s="20" t="str">
        <x:v>Fondos efectivamente recibidos atribuibles a campañas conjuntas según regla de atribución acordada</x:v>
      </x:c>
      <x:c r="G482" s="20" t="str">
        <x:v>USD</x:v>
      </x:c>
      <x:c r="H482" s="20" t="n">
        <x:v>1377.68</x:v>
      </x:c>
      <x:c r="I482" s="20" t="str">
        <x:v>Historical Dummy</x:v>
      </x:c>
      <x:c r="J482" s="20" t="str">
        <x:v>YES</x:v>
      </x:c>
    </x:row>
    <x:row r="483">
      <x:c r="A483" s="20" t="str">
        <x:v>MKT-014_VAL</x:v>
      </x:c>
      <x:c r="B483" s="20" t="n">
        <x:v>2024</x:v>
      </x:c>
      <x:c r="C483" s="20" t="str">
        <x:v>Marketing y Comunicación</x:v>
      </x:c>
      <x:c r="D483" s="20" t="str">
        <x:v>MKT-014</x:v>
      </x:c>
      <x:c r="E483" s="20" t="str">
        <x:v>VAL</x:v>
      </x:c>
      <x:c r="F483" s="20" t="str">
        <x:v>Fondos efectivamente recibidos atribuibles a campañas conjuntas según regla de atribución acordada</x:v>
      </x:c>
      <x:c r="G483" s="20" t="str">
        <x:v>USD</x:v>
      </x:c>
      <x:c r="H483" s="20" t="n">
        <x:v>1580.28</x:v>
      </x:c>
      <x:c r="I483" s="20" t="str">
        <x:v>Historical Dummy</x:v>
      </x:c>
      <x:c r="J483" s="20" t="str">
        <x:v>YES</x:v>
      </x:c>
    </x:row>
    <x:row r="484">
      <x:c r="A484" s="20" t="str">
        <x:v>MKT-014_VAL</x:v>
      </x:c>
      <x:c r="B484" s="20" t="n">
        <x:v>2025</x:v>
      </x:c>
      <x:c r="C484" s="20" t="str">
        <x:v>Marketing y Comunicación</x:v>
      </x:c>
      <x:c r="D484" s="20" t="str">
        <x:v>MKT-014</x:v>
      </x:c>
      <x:c r="E484" s="20" t="str">
        <x:v>VAL</x:v>
      </x:c>
      <x:c r="F484" s="20" t="str">
        <x:v>Fondos efectivamente recibidos atribuibles a campañas conjuntas según regla de atribución acordada</x:v>
      </x:c>
      <x:c r="G484" s="20" t="str">
        <x:v>USD</x:v>
      </x:c>
      <x:c r="H484" s="20" t="n">
        <x:v>1803.14</x:v>
      </x:c>
      <x:c r="I484" s="20" t="str">
        <x:v>Historical Dummy</x:v>
      </x:c>
      <x:c r="J484" s="20" t="str">
        <x:v>YES</x:v>
      </x:c>
    </x:row>
    <x:row r="485">
      <x:c r="A485" s="20" t="str">
        <x:v>MKT-014_VAL</x:v>
      </x:c>
      <x:c r="B485" s="20" t="n">
        <x:v>2026</x:v>
      </x:c>
      <x:c r="C485" s="20" t="str">
        <x:v>Marketing y Comunicación</x:v>
      </x:c>
      <x:c r="D485" s="20" t="str">
        <x:v>MKT-014</x:v>
      </x:c>
      <x:c r="E485" s="20" t="str">
        <x:v>VAL</x:v>
      </x:c>
      <x:c r="F485" s="20" t="str">
        <x:v>Fondos efectivamente recibidos atribuibles a campañas conjuntas según regla de atribución acordada</x:v>
      </x:c>
      <x:c r="G485" s="20" t="str">
        <x:v>USD</x:v>
      </x:c>
      <x:c r="H485" s="20" t="n">
        <x:v>2066.52</x:v>
      </x:c>
      <x:c r="I485" s="20" t="str">
        <x:v>Plan-Year Dummy</x:v>
      </x:c>
      <x:c r="J485" s="20" t="str">
        <x:v>YES</x:v>
      </x:c>
    </x:row>
    <x:row r="486">
      <x:c r="A486" s="20" t="str">
        <x:v>MKT-015_NUM</x:v>
      </x:c>
      <x:c r="B486" s="20" t="n">
        <x:v>2023</x:v>
      </x:c>
      <x:c r="C486" s="20" t="str">
        <x:v>Marketing y Comunicación</x:v>
      </x:c>
      <x:c r="D486" s="20" t="str">
        <x:v>MKT-015</x:v>
      </x:c>
      <x:c r="E486" s="20" t="str">
        <x:v>NUM</x:v>
      </x:c>
      <x:c r="F486" s="20" t="str">
        <x:v>Recomendaciones aprobadas implementadas y verificadas</x:v>
      </x:c>
      <x:c r="G486" s="20" t="str">
        <x:v># / base</x:v>
      </x:c>
      <x:c r="H486" s="20" t="n">
        <x:v>84</x:v>
      </x:c>
      <x:c r="I486" s="20" t="str">
        <x:v>Historical Dummy</x:v>
      </x:c>
      <x:c r="J486" s="20" t="str">
        <x:v>YES</x:v>
      </x:c>
    </x:row>
    <x:row r="487">
      <x:c r="A487" s="20" t="str">
        <x:v>MKT-015_NUM</x:v>
      </x:c>
      <x:c r="B487" s="20" t="n">
        <x:v>2024</x:v>
      </x:c>
      <x:c r="C487" s="20" t="str">
        <x:v>Marketing y Comunicación</x:v>
      </x:c>
      <x:c r="D487" s="20" t="str">
        <x:v>MKT-015</x:v>
      </x:c>
      <x:c r="E487" s="20" t="str">
        <x:v>NUM</x:v>
      </x:c>
      <x:c r="F487" s="20" t="str">
        <x:v>Recomendaciones aprobadas implementadas y verificadas</x:v>
      </x:c>
      <x:c r="G487" s="20" t="str">
        <x:v># / base</x:v>
      </x:c>
      <x:c r="H487" s="20" t="n">
        <x:v>96</x:v>
      </x:c>
      <x:c r="I487" s="20" t="str">
        <x:v>Historical Dummy</x:v>
      </x:c>
      <x:c r="J487" s="20" t="str">
        <x:v>YES</x:v>
      </x:c>
    </x:row>
    <x:row r="488">
      <x:c r="A488" s="20" t="str">
        <x:v>MKT-015_NUM</x:v>
      </x:c>
      <x:c r="B488" s="20" t="n">
        <x:v>2025</x:v>
      </x:c>
      <x:c r="C488" s="20" t="str">
        <x:v>Marketing y Comunicación</x:v>
      </x:c>
      <x:c r="D488" s="20" t="str">
        <x:v>MKT-015</x:v>
      </x:c>
      <x:c r="E488" s="20" t="str">
        <x:v>NUM</x:v>
      </x:c>
      <x:c r="F488" s="20" t="str">
        <x:v>Recomendaciones aprobadas implementadas y verificadas</x:v>
      </x:c>
      <x:c r="G488" s="20" t="str">
        <x:v># / base</x:v>
      </x:c>
      <x:c r="H488" s="20" t="n">
        <x:v>109</x:v>
      </x:c>
      <x:c r="I488" s="20" t="str">
        <x:v>Historical Dummy</x:v>
      </x:c>
      <x:c r="J488" s="20" t="str">
        <x:v>YES</x:v>
      </x:c>
    </x:row>
    <x:row r="489">
      <x:c r="A489" s="20" t="str">
        <x:v>MKT-015_NUM</x:v>
      </x:c>
      <x:c r="B489" s="20" t="n">
        <x:v>2026</x:v>
      </x:c>
      <x:c r="C489" s="20" t="str">
        <x:v>Marketing y Comunicación</x:v>
      </x:c>
      <x:c r="D489" s="20" t="str">
        <x:v>MKT-015</x:v>
      </x:c>
      <x:c r="E489" s="20" t="str">
        <x:v>NUM</x:v>
      </x:c>
      <x:c r="F489" s="20" t="str">
        <x:v>Recomendaciones aprobadas implementadas y verificadas</x:v>
      </x:c>
      <x:c r="G489" s="20" t="str">
        <x:v># / base</x:v>
      </x:c>
      <x:c r="H489" s="20" t="n">
        <x:v>125</x:v>
      </x:c>
      <x:c r="I489" s="20" t="str">
        <x:v>Plan-Year Dummy</x:v>
      </x:c>
      <x:c r="J489" s="20" t="str">
        <x:v>YES</x:v>
      </x:c>
    </x:row>
    <x:row r="490">
      <x:c r="A490" s="20" t="str">
        <x:v>MKT-015_DEN</x:v>
      </x:c>
      <x:c r="B490" s="20" t="n">
        <x:v>2023</x:v>
      </x:c>
      <x:c r="C490" s="20" t="str">
        <x:v>Marketing y Comunicación</x:v>
      </x:c>
      <x:c r="D490" s="20" t="str">
        <x:v>MKT-015</x:v>
      </x:c>
      <x:c r="E490" s="20" t="str">
        <x:v>DEN</x:v>
      </x:c>
      <x:c r="F490" s="20" t="str">
        <x:v>recomendaciones aprobadas</x:v>
      </x:c>
      <x:c r="G490" s="20" t="str">
        <x:v># / base</x:v>
      </x:c>
      <x:c r="H490" s="20" t="n">
        <x:v>100</x:v>
      </x:c>
      <x:c r="I490" s="20" t="str">
        <x:v>Historical Dummy</x:v>
      </x:c>
      <x:c r="J490" s="20" t="str">
        <x:v>YES</x:v>
      </x:c>
    </x:row>
    <x:row r="491">
      <x:c r="A491" s="20" t="str">
        <x:v>MKT-015_DEN</x:v>
      </x:c>
      <x:c r="B491" s="20" t="n">
        <x:v>2024</x:v>
      </x:c>
      <x:c r="C491" s="20" t="str">
        <x:v>Marketing y Comunicación</x:v>
      </x:c>
      <x:c r="D491" s="20" t="str">
        <x:v>MKT-015</x:v>
      </x:c>
      <x:c r="E491" s="20" t="str">
        <x:v>DEN</x:v>
      </x:c>
      <x:c r="F491" s="20" t="str">
        <x:v>recomendaciones aprobadas</x:v>
      </x:c>
      <x:c r="G491" s="20" t="str">
        <x:v># / base</x:v>
      </x:c>
      <x:c r="H491" s="20" t="n">
        <x:v>108</x:v>
      </x:c>
      <x:c r="I491" s="20" t="str">
        <x:v>Historical Dummy</x:v>
      </x:c>
      <x:c r="J491" s="20" t="str">
        <x:v>YES</x:v>
      </x:c>
    </x:row>
    <x:row r="492">
      <x:c r="A492" s="20" t="str">
        <x:v>MKT-015_DEN</x:v>
      </x:c>
      <x:c r="B492" s="20" t="n">
        <x:v>2025</x:v>
      </x:c>
      <x:c r="C492" s="20" t="str">
        <x:v>Marketing y Comunicación</x:v>
      </x:c>
      <x:c r="D492" s="20" t="str">
        <x:v>MKT-015</x:v>
      </x:c>
      <x:c r="E492" s="20" t="str">
        <x:v>DEN</x:v>
      </x:c>
      <x:c r="F492" s="20" t="str">
        <x:v>recomendaciones aprobadas</x:v>
      </x:c>
      <x:c r="G492" s="20" t="str">
        <x:v># / base</x:v>
      </x:c>
      <x:c r="H492" s="20" t="n">
        <x:v>116</x:v>
      </x:c>
      <x:c r="I492" s="20" t="str">
        <x:v>Historical Dummy</x:v>
      </x:c>
      <x:c r="J492" s="20" t="str">
        <x:v>YES</x:v>
      </x:c>
    </x:row>
    <x:row r="493">
      <x:c r="A493" s="20" t="str">
        <x:v>MKT-015_DEN</x:v>
      </x:c>
      <x:c r="B493" s="20" t="n">
        <x:v>2026</x:v>
      </x:c>
      <x:c r="C493" s="20" t="str">
        <x:v>Marketing y Comunicación</x:v>
      </x:c>
      <x:c r="D493" s="20" t="str">
        <x:v>MKT-015</x:v>
      </x:c>
      <x:c r="E493" s="20" t="str">
        <x:v>DEN</x:v>
      </x:c>
      <x:c r="F493" s="20" t="str">
        <x:v>recomendaciones aprobadas</x:v>
      </x:c>
      <x:c r="G493" s="20" t="str">
        <x:v># / base</x:v>
      </x:c>
      <x:c r="H493" s="20" t="n">
        <x:v>125</x:v>
      </x:c>
      <x:c r="I493" s="20" t="str">
        <x:v>Plan-Year Dummy</x:v>
      </x:c>
      <x:c r="J493" s="20" t="str">
        <x:v>YES</x:v>
      </x:c>
    </x:row>
    <x:row r="494">
      <x:c r="A494" s="20" t="str">
        <x:v>MKT-016_NUM</x:v>
      </x:c>
      <x:c r="B494" s="20" t="n">
        <x:v>2023</x:v>
      </x:c>
      <x:c r="C494" s="20" t="str">
        <x:v>Marketing y Comunicación</x:v>
      </x:c>
      <x:c r="D494" s="20" t="str">
        <x:v>MKT-016</x:v>
      </x:c>
      <x:c r="E494" s="20" t="str">
        <x:v>NUM</x:v>
      </x:c>
      <x:c r="F494" s="20" t="str">
        <x:v>Hallazgos/recomendaciones de auditoría cerrados en plazo</x:v>
      </x:c>
      <x:c r="G494" s="20" t="str">
        <x:v># / base</x:v>
      </x:c>
      <x:c r="H494" s="20" t="n">
        <x:v>91</x:v>
      </x:c>
      <x:c r="I494" s="20" t="str">
        <x:v>Historical Dummy</x:v>
      </x:c>
      <x:c r="J494" s="20" t="str">
        <x:v>YES</x:v>
      </x:c>
    </x:row>
    <x:row r="495">
      <x:c r="A495" s="20" t="str">
        <x:v>MKT-016_NUM</x:v>
      </x:c>
      <x:c r="B495" s="20" t="n">
        <x:v>2024</x:v>
      </x:c>
      <x:c r="C495" s="20" t="str">
        <x:v>Marketing y Comunicación</x:v>
      </x:c>
      <x:c r="D495" s="20" t="str">
        <x:v>MKT-016</x:v>
      </x:c>
      <x:c r="E495" s="20" t="str">
        <x:v>NUM</x:v>
      </x:c>
      <x:c r="F495" s="20" t="str">
        <x:v>Hallazgos/recomendaciones de auditoría cerrados en plazo</x:v>
      </x:c>
      <x:c r="G495" s="20" t="str">
        <x:v># / base</x:v>
      </x:c>
      <x:c r="H495" s="20" t="n">
        <x:v>105</x:v>
      </x:c>
      <x:c r="I495" s="20" t="str">
        <x:v>Historical Dummy</x:v>
      </x:c>
      <x:c r="J495" s="20" t="str">
        <x:v>YES</x:v>
      </x:c>
    </x:row>
    <x:row r="496">
      <x:c r="A496" s="20" t="str">
        <x:v>MKT-016_NUM</x:v>
      </x:c>
      <x:c r="B496" s="20" t="n">
        <x:v>2025</x:v>
      </x:c>
      <x:c r="C496" s="20" t="str">
        <x:v>Marketing y Comunicación</x:v>
      </x:c>
      <x:c r="D496" s="20" t="str">
        <x:v>MKT-016</x:v>
      </x:c>
      <x:c r="E496" s="20" t="str">
        <x:v>NUM</x:v>
      </x:c>
      <x:c r="F496" s="20" t="str">
        <x:v>Hallazgos/recomendaciones de auditoría cerrados en plazo</x:v>
      </x:c>
      <x:c r="G496" s="20" t="str">
        <x:v># / base</x:v>
      </x:c>
      <x:c r="H496" s="20" t="n">
        <x:v>120</x:v>
      </x:c>
      <x:c r="I496" s="20" t="str">
        <x:v>Historical Dummy</x:v>
      </x:c>
      <x:c r="J496" s="20" t="str">
        <x:v>YES</x:v>
      </x:c>
    </x:row>
    <x:row r="497">
      <x:c r="A497" s="20" t="str">
        <x:v>MKT-016_NUM</x:v>
      </x:c>
      <x:c r="B497" s="20" t="n">
        <x:v>2026</x:v>
      </x:c>
      <x:c r="C497" s="20" t="str">
        <x:v>Marketing y Comunicación</x:v>
      </x:c>
      <x:c r="D497" s="20" t="str">
        <x:v>MKT-016</x:v>
      </x:c>
      <x:c r="E497" s="20" t="str">
        <x:v>NUM</x:v>
      </x:c>
      <x:c r="F497" s="20" t="str">
        <x:v>Hallazgos/recomendaciones de auditoría cerrados en plazo</x:v>
      </x:c>
      <x:c r="G497" s="20" t="str">
        <x:v># / base</x:v>
      </x:c>
      <x:c r="H497" s="20" t="n">
        <x:v>138</x:v>
      </x:c>
      <x:c r="I497" s="20" t="str">
        <x:v>Plan-Year Dummy</x:v>
      </x:c>
      <x:c r="J497" s="20" t="str">
        <x:v>YES</x:v>
      </x:c>
    </x:row>
    <x:row r="498">
      <x:c r="A498" s="20" t="str">
        <x:v>MKT-016_DEN</x:v>
      </x:c>
      <x:c r="B498" s="20" t="n">
        <x:v>2023</x:v>
      </x:c>
      <x:c r="C498" s="20" t="str">
        <x:v>Marketing y Comunicación</x:v>
      </x:c>
      <x:c r="D498" s="20" t="str">
        <x:v>MKT-016</x:v>
      </x:c>
      <x:c r="E498" s="20" t="str">
        <x:v>DEN</x:v>
      </x:c>
      <x:c r="F498" s="20" t="str">
        <x:v>hallazgos/recomendaciones comprometidos</x:v>
      </x:c>
      <x:c r="G498" s="20" t="str">
        <x:v># / base</x:v>
      </x:c>
      <x:c r="H498" s="20" t="n">
        <x:v>120</x:v>
      </x:c>
      <x:c r="I498" s="20" t="str">
        <x:v>Historical Dummy</x:v>
      </x:c>
      <x:c r="J498" s="20" t="str">
        <x:v>YES</x:v>
      </x:c>
    </x:row>
    <x:row r="499">
      <x:c r="A499" s="20" t="str">
        <x:v>MKT-016_DEN</x:v>
      </x:c>
      <x:c r="B499" s="20" t="n">
        <x:v>2024</x:v>
      </x:c>
      <x:c r="C499" s="20" t="str">
        <x:v>Marketing y Comunicación</x:v>
      </x:c>
      <x:c r="D499" s="20" t="str">
        <x:v>MKT-016</x:v>
      </x:c>
      <x:c r="E499" s="20" t="str">
        <x:v>DEN</x:v>
      </x:c>
      <x:c r="F499" s="20" t="str">
        <x:v>hallazgos/recomendaciones comprometidos</x:v>
      </x:c>
      <x:c r="G499" s="20" t="str">
        <x:v># / base</x:v>
      </x:c>
      <x:c r="H499" s="20" t="n">
        <x:v>130</x:v>
      </x:c>
      <x:c r="I499" s="20" t="str">
        <x:v>Historical Dummy</x:v>
      </x:c>
      <x:c r="J499" s="20" t="str">
        <x:v>YES</x:v>
      </x:c>
    </x:row>
    <x:row r="500">
      <x:c r="A500" s="20" t="str">
        <x:v>MKT-016_DEN</x:v>
      </x:c>
      <x:c r="B500" s="20" t="n">
        <x:v>2025</x:v>
      </x:c>
      <x:c r="C500" s="20" t="str">
        <x:v>Marketing y Comunicación</x:v>
      </x:c>
      <x:c r="D500" s="20" t="str">
        <x:v>MKT-016</x:v>
      </x:c>
      <x:c r="E500" s="20" t="str">
        <x:v>DEN</x:v>
      </x:c>
      <x:c r="F500" s="20" t="str">
        <x:v>hallazgos/recomendaciones comprometidos</x:v>
      </x:c>
      <x:c r="G500" s="20" t="str">
        <x:v># / base</x:v>
      </x:c>
      <x:c r="H500" s="20" t="n">
        <x:v>139</x:v>
      </x:c>
      <x:c r="I500" s="20" t="str">
        <x:v>Historical Dummy</x:v>
      </x:c>
      <x:c r="J500" s="20" t="str">
        <x:v>YES</x:v>
      </x:c>
    </x:row>
    <x:row r="501">
      <x:c r="A501" s="20" t="str">
        <x:v>MKT-016_DEN</x:v>
      </x:c>
      <x:c r="B501" s="20" t="n">
        <x:v>2026</x:v>
      </x:c>
      <x:c r="C501" s="20" t="str">
        <x:v>Marketing y Comunicación</x:v>
      </x:c>
      <x:c r="D501" s="20" t="str">
        <x:v>MKT-016</x:v>
      </x:c>
      <x:c r="E501" s="20" t="str">
        <x:v>DEN</x:v>
      </x:c>
      <x:c r="F501" s="20" t="str">
        <x:v>hallazgos/recomendaciones comprometidos</x:v>
      </x:c>
      <x:c r="G501" s="20" t="str">
        <x:v># / base</x:v>
      </x:c>
      <x:c r="H501" s="20" t="n">
        <x:v>150</x:v>
      </x:c>
      <x:c r="I501" s="20" t="str">
        <x:v>Plan-Year Dummy</x:v>
      </x:c>
      <x:c r="J501" s="20" t="str">
        <x:v>YES</x:v>
      </x:c>
    </x:row>
    <x:row r="502">
      <x:c r="A502" s="20" t="str">
        <x:v>OPS-010B_NUM</x:v>
      </x:c>
      <x:c r="B502" s="20" t="n">
        <x:v>2023</x:v>
      </x:c>
      <x:c r="C502" s="20" t="str">
        <x:v>Operaciones</x:v>
      </x:c>
      <x:c r="D502" s="20" t="str">
        <x:v>OPS-010B</x:v>
      </x:c>
      <x:c r="E502" s="20" t="str">
        <x:v>NUM</x:v>
      </x:c>
      <x:c r="F502" s="20" t="str">
        <x:v>Participantes elegibles con acceso efectivo al suplemento</x:v>
      </x:c>
      <x:c r="G502" s="20" t="str">
        <x:v># / base</x:v>
      </x:c>
      <x:c r="H502" s="20" t="n">
        <x:v>84</x:v>
      </x:c>
      <x:c r="I502" s="20" t="str">
        <x:v>Historical Dummy</x:v>
      </x:c>
      <x:c r="J502" s="20" t="str">
        <x:v>YES</x:v>
      </x:c>
    </x:row>
    <x:row r="503">
      <x:c r="A503" s="20" t="str">
        <x:v>OPS-010B_NUM</x:v>
      </x:c>
      <x:c r="B503" s="20" t="n">
        <x:v>2024</x:v>
      </x:c>
      <x:c r="C503" s="20" t="str">
        <x:v>Operaciones</x:v>
      </x:c>
      <x:c r="D503" s="20" t="str">
        <x:v>OPS-010B</x:v>
      </x:c>
      <x:c r="E503" s="20" t="str">
        <x:v>NUM</x:v>
      </x:c>
      <x:c r="F503" s="20" t="str">
        <x:v>Participantes elegibles con acceso efectivo al suplemento</x:v>
      </x:c>
      <x:c r="G503" s="20" t="str">
        <x:v># / base</x:v>
      </x:c>
      <x:c r="H503" s="20" t="n">
        <x:v>96</x:v>
      </x:c>
      <x:c r="I503" s="20" t="str">
        <x:v>Historical Dummy</x:v>
      </x:c>
      <x:c r="J503" s="20" t="str">
        <x:v>YES</x:v>
      </x:c>
    </x:row>
    <x:row r="504">
      <x:c r="A504" s="20" t="str">
        <x:v>OPS-010B_NUM</x:v>
      </x:c>
      <x:c r="B504" s="20" t="n">
        <x:v>2025</x:v>
      </x:c>
      <x:c r="C504" s="20" t="str">
        <x:v>Operaciones</x:v>
      </x:c>
      <x:c r="D504" s="20" t="str">
        <x:v>OPS-010B</x:v>
      </x:c>
      <x:c r="E504" s="20" t="str">
        <x:v>NUM</x:v>
      </x:c>
      <x:c r="F504" s="20" t="str">
        <x:v>Participantes elegibles con acceso efectivo al suplemento</x:v>
      </x:c>
      <x:c r="G504" s="20" t="str">
        <x:v># / base</x:v>
      </x:c>
      <x:c r="H504" s="20" t="n">
        <x:v>109</x:v>
      </x:c>
      <x:c r="I504" s="20" t="str">
        <x:v>Historical Dummy</x:v>
      </x:c>
      <x:c r="J504" s="20" t="str">
        <x:v>YES</x:v>
      </x:c>
    </x:row>
    <x:row r="505">
      <x:c r="A505" s="20" t="str">
        <x:v>OPS-010B_NUM</x:v>
      </x:c>
      <x:c r="B505" s="20" t="n">
        <x:v>2026</x:v>
      </x:c>
      <x:c r="C505" s="20" t="str">
        <x:v>Operaciones</x:v>
      </x:c>
      <x:c r="D505" s="20" t="str">
        <x:v>OPS-010B</x:v>
      </x:c>
      <x:c r="E505" s="20" t="str">
        <x:v>NUM</x:v>
      </x:c>
      <x:c r="F505" s="20" t="str">
        <x:v>Participantes elegibles con acceso efectivo al suplemento</x:v>
      </x:c>
      <x:c r="G505" s="20" t="str">
        <x:v># / base</x:v>
      </x:c>
      <x:c r="H505" s="20" t="n">
        <x:v>125</x:v>
      </x:c>
      <x:c r="I505" s="20" t="str">
        <x:v>Plan-Year Dummy</x:v>
      </x:c>
      <x:c r="J505" s="20" t="str">
        <x:v>YES</x:v>
      </x:c>
    </x:row>
    <x:row r="506">
      <x:c r="A506" s="20" t="str">
        <x:v>OPS-010B_DEN</x:v>
      </x:c>
      <x:c r="B506" s="20" t="n">
        <x:v>2023</x:v>
      </x:c>
      <x:c r="C506" s="20" t="str">
        <x:v>Operaciones</x:v>
      </x:c>
      <x:c r="D506" s="20" t="str">
        <x:v>OPS-010B</x:v>
      </x:c>
      <x:c r="E506" s="20" t="str">
        <x:v>DEN</x:v>
      </x:c>
      <x:c r="F506" s="20" t="str">
        <x:v>participantes elegibles</x:v>
      </x:c>
      <x:c r="G506" s="20" t="str">
        <x:v># / base</x:v>
      </x:c>
      <x:c r="H506" s="20" t="n">
        <x:v>100</x:v>
      </x:c>
      <x:c r="I506" s="20" t="str">
        <x:v>Historical Dummy</x:v>
      </x:c>
      <x:c r="J506" s="20" t="str">
        <x:v>YES</x:v>
      </x:c>
    </x:row>
    <x:row r="507">
      <x:c r="A507" s="20" t="str">
        <x:v>OPS-010B_DEN</x:v>
      </x:c>
      <x:c r="B507" s="20" t="n">
        <x:v>2024</x:v>
      </x:c>
      <x:c r="C507" s="20" t="str">
        <x:v>Operaciones</x:v>
      </x:c>
      <x:c r="D507" s="20" t="str">
        <x:v>OPS-010B</x:v>
      </x:c>
      <x:c r="E507" s="20" t="str">
        <x:v>DEN</x:v>
      </x:c>
      <x:c r="F507" s="20" t="str">
        <x:v>participantes elegibles</x:v>
      </x:c>
      <x:c r="G507" s="20" t="str">
        <x:v># / base</x:v>
      </x:c>
      <x:c r="H507" s="20" t="n">
        <x:v>108</x:v>
      </x:c>
      <x:c r="I507" s="20" t="str">
        <x:v>Historical Dummy</x:v>
      </x:c>
      <x:c r="J507" s="20" t="str">
        <x:v>YES</x:v>
      </x:c>
    </x:row>
    <x:row r="508">
      <x:c r="A508" s="20" t="str">
        <x:v>OPS-010B_DEN</x:v>
      </x:c>
      <x:c r="B508" s="20" t="n">
        <x:v>2025</x:v>
      </x:c>
      <x:c r="C508" s="20" t="str">
        <x:v>Operaciones</x:v>
      </x:c>
      <x:c r="D508" s="20" t="str">
        <x:v>OPS-010B</x:v>
      </x:c>
      <x:c r="E508" s="20" t="str">
        <x:v>DEN</x:v>
      </x:c>
      <x:c r="F508" s="20" t="str">
        <x:v>participantes elegibles</x:v>
      </x:c>
      <x:c r="G508" s="20" t="str">
        <x:v># / base</x:v>
      </x:c>
      <x:c r="H508" s="20" t="n">
        <x:v>116</x:v>
      </x:c>
      <x:c r="I508" s="20" t="str">
        <x:v>Historical Dummy</x:v>
      </x:c>
      <x:c r="J508" s="20" t="str">
        <x:v>YES</x:v>
      </x:c>
    </x:row>
    <x:row r="509">
      <x:c r="A509" s="20" t="str">
        <x:v>OPS-010B_DEN</x:v>
      </x:c>
      <x:c r="B509" s="20" t="n">
        <x:v>2026</x:v>
      </x:c>
      <x:c r="C509" s="20" t="str">
        <x:v>Operaciones</x:v>
      </x:c>
      <x:c r="D509" s="20" t="str">
        <x:v>OPS-010B</x:v>
      </x:c>
      <x:c r="E509" s="20" t="str">
        <x:v>DEN</x:v>
      </x:c>
      <x:c r="F509" s="20" t="str">
        <x:v>participantes elegibles</x:v>
      </x:c>
      <x:c r="G509" s="20" t="str">
        <x:v># / base</x:v>
      </x:c>
      <x:c r="H509" s="20" t="n">
        <x:v>125</x:v>
      </x:c>
      <x:c r="I509" s="20" t="str">
        <x:v>Plan-Year Dummy</x:v>
      </x:c>
      <x:c r="J509" s="20" t="str">
        <x:v>YES</x:v>
      </x:c>
    </x:row>
    <x:row r="510">
      <x:c r="A510" s="20" t="str">
        <x:v>REC-S01_NUM</x:v>
      </x:c>
      <x:c r="B510" s="20" t="n">
        <x:v>2023</x:v>
      </x:c>
      <x:c r="C510" s="20" t="str">
        <x:v>Dirección + Operaciones</x:v>
      </x:c>
      <x:c r="D510" s="20" t="str">
        <x:v>REC-S01</x:v>
      </x:c>
      <x:c r="E510" s="20" t="str">
        <x:v>NUM</x:v>
      </x:c>
      <x:c r="F510" s="20" t="str">
        <x:v>Programas evaluados que alcanzan el outcome primario definido</x:v>
      </x:c>
      <x:c r="G510" s="20" t="str">
        <x:v># / base</x:v>
      </x:c>
      <x:c r="H510" s="20" t="n">
        <x:v>9</x:v>
      </x:c>
      <x:c r="I510" s="20" t="str">
        <x:v>Historical Dummy</x:v>
      </x:c>
      <x:c r="J510" s="20" t="str">
        <x:v>YES</x:v>
      </x:c>
    </x:row>
    <x:row r="511">
      <x:c r="A511" s="20" t="str">
        <x:v>REC-S01_NUM</x:v>
      </x:c>
      <x:c r="B511" s="20" t="n">
        <x:v>2024</x:v>
      </x:c>
      <x:c r="C511" s="20" t="str">
        <x:v>Dirección + Operaciones</x:v>
      </x:c>
      <x:c r="D511" s="20" t="str">
        <x:v>REC-S01</x:v>
      </x:c>
      <x:c r="E511" s="20" t="str">
        <x:v>NUM</x:v>
      </x:c>
      <x:c r="F511" s="20" t="str">
        <x:v>Programas evaluados que alcanzan el outcome primario definido</x:v>
      </x:c>
      <x:c r="G511" s="20" t="str">
        <x:v># / base</x:v>
      </x:c>
      <x:c r="H511" s="20" t="n">
        <x:v>11</x:v>
      </x:c>
      <x:c r="I511" s="20" t="str">
        <x:v>Historical Dummy</x:v>
      </x:c>
      <x:c r="J511" s="20" t="str">
        <x:v>YES</x:v>
      </x:c>
    </x:row>
    <x:row r="512">
      <x:c r="A512" s="20" t="str">
        <x:v>REC-S01_NUM</x:v>
      </x:c>
      <x:c r="B512" s="20" t="n">
        <x:v>2025</x:v>
      </x:c>
      <x:c r="C512" s="20" t="str">
        <x:v>Dirección + Operaciones</x:v>
      </x:c>
      <x:c r="D512" s="20" t="str">
        <x:v>REC-S01</x:v>
      </x:c>
      <x:c r="E512" s="20" t="str">
        <x:v>NUM</x:v>
      </x:c>
      <x:c r="F512" s="20" t="str">
        <x:v>Programas evaluados que alcanzan el outcome primario definido</x:v>
      </x:c>
      <x:c r="G512" s="20" t="str">
        <x:v># / base</x:v>
      </x:c>
      <x:c r="H512" s="20" t="n">
        <x:v>12</x:v>
      </x:c>
      <x:c r="I512" s="20" t="str">
        <x:v>Historical Dummy</x:v>
      </x:c>
      <x:c r="J512" s="20" t="str">
        <x:v>YES</x:v>
      </x:c>
    </x:row>
    <x:row r="513">
      <x:c r="A513" s="20" t="str">
        <x:v>REC-S01_NUM</x:v>
      </x:c>
      <x:c r="B513" s="20" t="n">
        <x:v>2026</x:v>
      </x:c>
      <x:c r="C513" s="20" t="str">
        <x:v>Dirección + Operaciones</x:v>
      </x:c>
      <x:c r="D513" s="20" t="str">
        <x:v>REC-S01</x:v>
      </x:c>
      <x:c r="E513" s="20" t="str">
        <x:v>NUM</x:v>
      </x:c>
      <x:c r="F513" s="20" t="str">
        <x:v>Programas evaluados que alcanzan el outcome primario definido</x:v>
      </x:c>
      <x:c r="G513" s="20" t="str">
        <x:v># / base</x:v>
      </x:c>
      <x:c r="H513" s="20" t="n">
        <x:v>14</x:v>
      </x:c>
      <x:c r="I513" s="20" t="str">
        <x:v>Plan-Year Dummy</x:v>
      </x:c>
      <x:c r="J513" s="20" t="str">
        <x:v>YES</x:v>
      </x:c>
    </x:row>
    <x:row r="514">
      <x:c r="A514" s="20" t="str">
        <x:v>REC-S01_DEN</x:v>
      </x:c>
      <x:c r="B514" s="20" t="n">
        <x:v>2023</x:v>
      </x:c>
      <x:c r="C514" s="20" t="str">
        <x:v>Dirección + Operaciones</x:v>
      </x:c>
      <x:c r="D514" s="20" t="str">
        <x:v>REC-S01</x:v>
      </x:c>
      <x:c r="E514" s="20" t="str">
        <x:v>DEN</x:v>
      </x:c>
      <x:c r="F514" s="20" t="str">
        <x:v>programas evaluados con datos válidos</x:v>
      </x:c>
      <x:c r="G514" s="20" t="str">
        <x:v># / base</x:v>
      </x:c>
      <x:c r="H514" s="20" t="n">
        <x:v>12</x:v>
      </x:c>
      <x:c r="I514" s="20" t="str">
        <x:v>Historical Dummy</x:v>
      </x:c>
      <x:c r="J514" s="20" t="str">
        <x:v>YES</x:v>
      </x:c>
    </x:row>
    <x:row r="515">
      <x:c r="A515" s="20" t="str">
        <x:v>REC-S01_DEN</x:v>
      </x:c>
      <x:c r="B515" s="20" t="n">
        <x:v>2024</x:v>
      </x:c>
      <x:c r="C515" s="20" t="str">
        <x:v>Dirección + Operaciones</x:v>
      </x:c>
      <x:c r="D515" s="20" t="str">
        <x:v>REC-S01</x:v>
      </x:c>
      <x:c r="E515" s="20" t="str">
        <x:v>DEN</x:v>
      </x:c>
      <x:c r="F515" s="20" t="str">
        <x:v>programas evaluados con datos válidos</x:v>
      </x:c>
      <x:c r="G515" s="20" t="str">
        <x:v># / base</x:v>
      </x:c>
      <x:c r="H515" s="20" t="n">
        <x:v>13</x:v>
      </x:c>
      <x:c r="I515" s="20" t="str">
        <x:v>Historical Dummy</x:v>
      </x:c>
      <x:c r="J515" s="20" t="str">
        <x:v>YES</x:v>
      </x:c>
    </x:row>
    <x:row r="516">
      <x:c r="A516" s="20" t="str">
        <x:v>REC-S01_DEN</x:v>
      </x:c>
      <x:c r="B516" s="20" t="n">
        <x:v>2025</x:v>
      </x:c>
      <x:c r="C516" s="20" t="str">
        <x:v>Dirección + Operaciones</x:v>
      </x:c>
      <x:c r="D516" s="20" t="str">
        <x:v>REC-S01</x:v>
      </x:c>
      <x:c r="E516" s="20" t="str">
        <x:v>DEN</x:v>
      </x:c>
      <x:c r="F516" s="20" t="str">
        <x:v>programas evaluados con datos válidos</x:v>
      </x:c>
      <x:c r="G516" s="20" t="str">
        <x:v># / base</x:v>
      </x:c>
      <x:c r="H516" s="20" t="n">
        <x:v>14</x:v>
      </x:c>
      <x:c r="I516" s="20" t="str">
        <x:v>Historical Dummy</x:v>
      </x:c>
      <x:c r="J516" s="20" t="str">
        <x:v>YES</x:v>
      </x:c>
    </x:row>
    <x:row r="517">
      <x:c r="A517" s="20" t="str">
        <x:v>REC-S01_DEN</x:v>
      </x:c>
      <x:c r="B517" s="20" t="n">
        <x:v>2026</x:v>
      </x:c>
      <x:c r="C517" s="20" t="str">
        <x:v>Dirección + Operaciones</x:v>
      </x:c>
      <x:c r="D517" s="20" t="str">
        <x:v>REC-S01</x:v>
      </x:c>
      <x:c r="E517" s="20" t="str">
        <x:v>DEN</x:v>
      </x:c>
      <x:c r="F517" s="20" t="str">
        <x:v>programas evaluados con datos válidos</x:v>
      </x:c>
      <x:c r="G517" s="20" t="str">
        <x:v># / base</x:v>
      </x:c>
      <x:c r="H517" s="20" t="n">
        <x:v>15</x:v>
      </x:c>
      <x:c r="I517" s="20" t="str">
        <x:v>Plan-Year Dummy</x:v>
      </x:c>
      <x:c r="J517" s="20" t="str">
        <x:v>YES</x:v>
      </x:c>
    </x:row>
    <x:row r="518">
      <x:c r="A518" s="20" t="str">
        <x:v>REC-S02_NUM</x:v>
      </x:c>
      <x:c r="B518" s="20" t="n">
        <x:v>2023</x:v>
      </x:c>
      <x:c r="C518" s="20" t="str">
        <x:v>Operaciones</x:v>
      </x:c>
      <x:c r="D518" s="20" t="str">
        <x:v>REC-S02</x:v>
      </x:c>
      <x:c r="E518" s="20" t="str">
        <x:v>NUM</x:v>
      </x:c>
      <x:c r="F518" s="20" t="str">
        <x:v>Beneficiarios atendidos válidos</x:v>
      </x:c>
      <x:c r="G518" s="20" t="str">
        <x:v># / base</x:v>
      </x:c>
      <x:c r="H518" s="20" t="n">
        <x:v>711</x:v>
      </x:c>
      <x:c r="I518" s="20" t="str">
        <x:v>Historical Dummy</x:v>
      </x:c>
      <x:c r="J518" s="20" t="str">
        <x:v>YES</x:v>
      </x:c>
    </x:row>
    <x:row r="519">
      <x:c r="A519" s="20" t="str">
        <x:v>REC-S02_NUM</x:v>
      </x:c>
      <x:c r="B519" s="20" t="n">
        <x:v>2024</x:v>
      </x:c>
      <x:c r="C519" s="20" t="str">
        <x:v>Operaciones</x:v>
      </x:c>
      <x:c r="D519" s="20" t="str">
        <x:v>REC-S02</x:v>
      </x:c>
      <x:c r="E519" s="20" t="str">
        <x:v>NUM</x:v>
      </x:c>
      <x:c r="F519" s="20" t="str">
        <x:v>Beneficiarios atendidos válidos</x:v>
      </x:c>
      <x:c r="G519" s="20" t="str">
        <x:v># / base</x:v>
      </x:c>
      <x:c r="H519" s="20" t="n">
        <x:v>816</x:v>
      </x:c>
      <x:c r="I519" s="20" t="str">
        <x:v>Historical Dummy</x:v>
      </x:c>
      <x:c r="J519" s="20" t="str">
        <x:v>YES</x:v>
      </x:c>
    </x:row>
    <x:row r="520">
      <x:c r="A520" s="20" t="str">
        <x:v>REC-S02_NUM</x:v>
      </x:c>
      <x:c r="B520" s="20" t="n">
        <x:v>2025</x:v>
      </x:c>
      <x:c r="C520" s="20" t="str">
        <x:v>Operaciones</x:v>
      </x:c>
      <x:c r="D520" s="20" t="str">
        <x:v>REC-S02</x:v>
      </x:c>
      <x:c r="E520" s="20" t="str">
        <x:v>NUM</x:v>
      </x:c>
      <x:c r="F520" s="20" t="str">
        <x:v>Beneficiarios atendidos válidos</x:v>
      </x:c>
      <x:c r="G520" s="20" t="str">
        <x:v># / base</x:v>
      </x:c>
      <x:c r="H520" s="20" t="n">
        <x:v>929</x:v>
      </x:c>
      <x:c r="I520" s="20" t="str">
        <x:v>Historical Dummy</x:v>
      </x:c>
      <x:c r="J520" s="20" t="str">
        <x:v>YES</x:v>
      </x:c>
    </x:row>
    <x:row r="521">
      <x:c r="A521" s="20" t="str">
        <x:v>REC-S02_NUM</x:v>
      </x:c>
      <x:c r="B521" s="20" t="n">
        <x:v>2026</x:v>
      </x:c>
      <x:c r="C521" s="20" t="str">
        <x:v>Operaciones</x:v>
      </x:c>
      <x:c r="D521" s="20" t="str">
        <x:v>REC-S02</x:v>
      </x:c>
      <x:c r="E521" s="20" t="str">
        <x:v>NUM</x:v>
      </x:c>
      <x:c r="F521" s="20" t="str">
        <x:v>Beneficiarios atendidos válidos</x:v>
      </x:c>
      <x:c r="G521" s="20" t="str">
        <x:v># / base</x:v>
      </x:c>
      <x:c r="H521" s="20" t="n">
        <x:v>1080</x:v>
      </x:c>
      <x:c r="I521" s="20" t="str">
        <x:v>Plan-Year Dummy</x:v>
      </x:c>
      <x:c r="J521" s="20" t="str">
        <x:v>YES</x:v>
      </x:c>
    </x:row>
    <x:row r="522">
      <x:c r="A522" s="20" t="str">
        <x:v>REC-S02_DEN</x:v>
      </x:c>
      <x:c r="B522" s="20" t="n">
        <x:v>2023</x:v>
      </x:c>
      <x:c r="C522" s="20" t="str">
        <x:v>Operaciones</x:v>
      </x:c>
      <x:c r="D522" s="20" t="str">
        <x:v>REC-S02</x:v>
      </x:c>
      <x:c r="E522" s="20" t="str">
        <x:v>DEN</x:v>
      </x:c>
      <x:c r="F522" s="20" t="str">
        <x:v>beneficiarios programados consolidados</x:v>
      </x:c>
      <x:c r="G522" s="20" t="str">
        <x:v># / base</x:v>
      </x:c>
      <x:c r="H522" s="20" t="n">
        <x:v>900</x:v>
      </x:c>
      <x:c r="I522" s="20" t="str">
        <x:v>Historical Dummy</x:v>
      </x:c>
      <x:c r="J522" s="20" t="str">
        <x:v>YES</x:v>
      </x:c>
    </x:row>
    <x:row r="523">
      <x:c r="A523" s="20" t="str">
        <x:v>REC-S02_DEN</x:v>
      </x:c>
      <x:c r="B523" s="20" t="n">
        <x:v>2024</x:v>
      </x:c>
      <x:c r="C523" s="20" t="str">
        <x:v>Operaciones</x:v>
      </x:c>
      <x:c r="D523" s="20" t="str">
        <x:v>REC-S02</x:v>
      </x:c>
      <x:c r="E523" s="20" t="str">
        <x:v>DEN</x:v>
      </x:c>
      <x:c r="F523" s="20" t="str">
        <x:v>beneficiarios programados consolidados</x:v>
      </x:c>
      <x:c r="G523" s="20" t="str">
        <x:v># / base</x:v>
      </x:c>
      <x:c r="H523" s="20" t="n">
        <x:v>972</x:v>
      </x:c>
      <x:c r="I523" s="20" t="str">
        <x:v>Historical Dummy</x:v>
      </x:c>
      <x:c r="J523" s="20" t="str">
        <x:v>YES</x:v>
      </x:c>
    </x:row>
    <x:row r="524">
      <x:c r="A524" s="20" t="str">
        <x:v>REC-S02_DEN</x:v>
      </x:c>
      <x:c r="B524" s="20" t="n">
        <x:v>2025</x:v>
      </x:c>
      <x:c r="C524" s="20" t="str">
        <x:v>Operaciones</x:v>
      </x:c>
      <x:c r="D524" s="20" t="str">
        <x:v>REC-S02</x:v>
      </x:c>
      <x:c r="E524" s="20" t="str">
        <x:v>DEN</x:v>
      </x:c>
      <x:c r="F524" s="20" t="str">
        <x:v>beneficiarios programados consolidados</x:v>
      </x:c>
      <x:c r="G524" s="20" t="str">
        <x:v># / base</x:v>
      </x:c>
      <x:c r="H524" s="20" t="n">
        <x:v>1044</x:v>
      </x:c>
      <x:c r="I524" s="20" t="str">
        <x:v>Historical Dummy</x:v>
      </x:c>
      <x:c r="J524" s="20" t="str">
        <x:v>YES</x:v>
      </x:c>
    </x:row>
    <x:row r="525">
      <x:c r="A525" s="20" t="str">
        <x:v>REC-S02_DEN</x:v>
      </x:c>
      <x:c r="B525" s="20" t="n">
        <x:v>2026</x:v>
      </x:c>
      <x:c r="C525" s="20" t="str">
        <x:v>Operaciones</x:v>
      </x:c>
      <x:c r="D525" s="20" t="str">
        <x:v>REC-S02</x:v>
      </x:c>
      <x:c r="E525" s="20" t="str">
        <x:v>DEN</x:v>
      </x:c>
      <x:c r="F525" s="20" t="str">
        <x:v>beneficiarios programados consolidados</x:v>
      </x:c>
      <x:c r="G525" s="20" t="str">
        <x:v># / base</x:v>
      </x:c>
      <x:c r="H525" s="20" t="n">
        <x:v>1125</x:v>
      </x:c>
      <x:c r="I525" s="20" t="str">
        <x:v>Plan-Year Dummy</x:v>
      </x:c>
      <x:c r="J525" s="20" t="str">
        <x:v>YES</x:v>
      </x:c>
    </x:row>
    <x:row r="526">
      <x:c r="A526" s="20" t="str">
        <x:v>REC-S03_NUM</x:v>
      </x:c>
      <x:c r="B526" s="20" t="n">
        <x:v>2023</x:v>
      </x:c>
      <x:c r="C526" s="20" t="str">
        <x:v>Dirección</x:v>
      </x:c>
      <x:c r="D526" s="20" t="str">
        <x:v>REC-S03</x:v>
      </x:c>
      <x:c r="E526" s="20" t="str">
        <x:v>NUM</x:v>
      </x:c>
      <x:c r="F526" s="20" t="str">
        <x:v>Recursos disponibles/comprometidos elegibles para operación</x:v>
      </x:c>
      <x:c r="G526" s="20" t="str">
        <x:v>Moneda</x:v>
      </x:c>
      <x:c r="H526" s="20" t="n">
        <x:v>82</x:v>
      </x:c>
      <x:c r="I526" s="20" t="str">
        <x:v>Historical Dummy</x:v>
      </x:c>
      <x:c r="J526" s="20" t="str">
        <x:v>YES</x:v>
      </x:c>
    </x:row>
    <x:row r="527">
      <x:c r="A527" s="20" t="str">
        <x:v>REC-S03_NUM</x:v>
      </x:c>
      <x:c r="B527" s="20" t="n">
        <x:v>2024</x:v>
      </x:c>
      <x:c r="C527" s="20" t="str">
        <x:v>Dirección</x:v>
      </x:c>
      <x:c r="D527" s="20" t="str">
        <x:v>REC-S03</x:v>
      </x:c>
      <x:c r="E527" s="20" t="str">
        <x:v>NUM</x:v>
      </x:c>
      <x:c r="F527" s="20" t="str">
        <x:v>Recursos disponibles/comprometidos elegibles para operación</x:v>
      </x:c>
      <x:c r="G527" s="20" t="str">
        <x:v>Moneda</x:v>
      </x:c>
      <x:c r="H527" s="20" t="n">
        <x:v>97</x:v>
      </x:c>
      <x:c r="I527" s="20" t="str">
        <x:v>Historical Dummy</x:v>
      </x:c>
      <x:c r="J527" s="20" t="str">
        <x:v>YES</x:v>
      </x:c>
    </x:row>
    <x:row r="528">
      <x:c r="A528" s="20" t="str">
        <x:v>REC-S03_NUM</x:v>
      </x:c>
      <x:c r="B528" s="20" t="n">
        <x:v>2025</x:v>
      </x:c>
      <x:c r="C528" s="20" t="str">
        <x:v>Dirección</x:v>
      </x:c>
      <x:c r="D528" s="20" t="str">
        <x:v>REC-S03</x:v>
      </x:c>
      <x:c r="E528" s="20" t="str">
        <x:v>NUM</x:v>
      </x:c>
      <x:c r="F528" s="20" t="str">
        <x:v>Recursos disponibles/comprometidos elegibles para operación</x:v>
      </x:c>
      <x:c r="G528" s="20" t="str">
        <x:v>Moneda</x:v>
      </x:c>
      <x:c r="H528" s="20" t="n">
        <x:v>111</x:v>
      </x:c>
      <x:c r="I528" s="20" t="str">
        <x:v>Historical Dummy</x:v>
      </x:c>
      <x:c r="J528" s="20" t="str">
        <x:v>YES</x:v>
      </x:c>
    </x:row>
    <x:row r="529">
      <x:c r="A529" s="20" t="str">
        <x:v>REC-S03_NUM</x:v>
      </x:c>
      <x:c r="B529" s="20" t="n">
        <x:v>2026</x:v>
      </x:c>
      <x:c r="C529" s="20" t="str">
        <x:v>Dirección</x:v>
      </x:c>
      <x:c r="D529" s="20" t="str">
        <x:v>REC-S03</x:v>
      </x:c>
      <x:c r="E529" s="20" t="str">
        <x:v>NUM</x:v>
      </x:c>
      <x:c r="F529" s="20" t="str">
        <x:v>Recursos disponibles/comprometidos elegibles para operación</x:v>
      </x:c>
      <x:c r="G529" s="20" t="str">
        <x:v>Moneda</x:v>
      </x:c>
      <x:c r="H529" s="20" t="n">
        <x:v>130</x:v>
      </x:c>
      <x:c r="I529" s="20" t="str">
        <x:v>Plan-Year Dummy</x:v>
      </x:c>
      <x:c r="J529" s="20" t="str">
        <x:v>YES</x:v>
      </x:c>
    </x:row>
    <x:row r="530">
      <x:c r="A530" s="20" t="str">
        <x:v>REC-S03_DEN</x:v>
      </x:c>
      <x:c r="B530" s="20" t="n">
        <x:v>2023</x:v>
      </x:c>
      <x:c r="C530" s="20" t="str">
        <x:v>Dirección</x:v>
      </x:c>
      <x:c r="D530" s="20" t="str">
        <x:v>REC-S03</x:v>
      </x:c>
      <x:c r="E530" s="20" t="str">
        <x:v>DEN</x:v>
      </x:c>
      <x:c r="F530" s="20" t="str">
        <x:v>gasto operativo proyectado del horizonte</x:v>
      </x:c>
      <x:c r="G530" s="20" t="str">
        <x:v>Moneda</x:v>
      </x:c>
      <x:c r="H530" s="20" t="n">
        <x:v>100</x:v>
      </x:c>
      <x:c r="I530" s="20" t="str">
        <x:v>Historical Dummy</x:v>
      </x:c>
      <x:c r="J530" s="20" t="str">
        <x:v>YES</x:v>
      </x:c>
    </x:row>
    <x:row r="531">
      <x:c r="A531" s="20" t="str">
        <x:v>REC-S03_DEN</x:v>
      </x:c>
      <x:c r="B531" s="20" t="n">
        <x:v>2024</x:v>
      </x:c>
      <x:c r="C531" s="20" t="str">
        <x:v>Dirección</x:v>
      </x:c>
      <x:c r="D531" s="20" t="str">
        <x:v>REC-S03</x:v>
      </x:c>
      <x:c r="E531" s="20" t="str">
        <x:v>DEN</x:v>
      </x:c>
      <x:c r="F531" s="20" t="str">
        <x:v>gasto operativo proyectado del horizonte</x:v>
      </x:c>
      <x:c r="G531" s="20" t="str">
        <x:v>Moneda</x:v>
      </x:c>
      <x:c r="H531" s="20" t="n">
        <x:v>108</x:v>
      </x:c>
      <x:c r="I531" s="20" t="str">
        <x:v>Historical Dummy</x:v>
      </x:c>
      <x:c r="J531" s="20" t="str">
        <x:v>YES</x:v>
      </x:c>
    </x:row>
    <x:row r="532">
      <x:c r="A532" s="20" t="str">
        <x:v>REC-S03_DEN</x:v>
      </x:c>
      <x:c r="B532" s="20" t="n">
        <x:v>2025</x:v>
      </x:c>
      <x:c r="C532" s="20" t="str">
        <x:v>Dirección</x:v>
      </x:c>
      <x:c r="D532" s="20" t="str">
        <x:v>REC-S03</x:v>
      </x:c>
      <x:c r="E532" s="20" t="str">
        <x:v>DEN</x:v>
      </x:c>
      <x:c r="F532" s="20" t="str">
        <x:v>gasto operativo proyectado del horizonte</x:v>
      </x:c>
      <x:c r="G532" s="20" t="str">
        <x:v>Moneda</x:v>
      </x:c>
      <x:c r="H532" s="20" t="n">
        <x:v>116</x:v>
      </x:c>
      <x:c r="I532" s="20" t="str">
        <x:v>Historical Dummy</x:v>
      </x:c>
      <x:c r="J532" s="20" t="str">
        <x:v>YES</x:v>
      </x:c>
    </x:row>
    <x:row r="533">
      <x:c r="A533" s="20" t="str">
        <x:v>REC-S03_DEN</x:v>
      </x:c>
      <x:c r="B533" s="20" t="n">
        <x:v>2026</x:v>
      </x:c>
      <x:c r="C533" s="20" t="str">
        <x:v>Dirección</x:v>
      </x:c>
      <x:c r="D533" s="20" t="str">
        <x:v>REC-S03</x:v>
      </x:c>
      <x:c r="E533" s="20" t="str">
        <x:v>DEN</x:v>
      </x:c>
      <x:c r="F533" s="20" t="str">
        <x:v>gasto operativo proyectado del horizonte</x:v>
      </x:c>
      <x:c r="G533" s="20" t="str">
        <x:v>Moneda</x:v>
      </x:c>
      <x:c r="H533" s="20" t="n">
        <x:v>125</x:v>
      </x:c>
      <x:c r="I533" s="20" t="str">
        <x:v>Plan-Year Dummy</x:v>
      </x:c>
      <x:c r="J533" s="20" t="str">
        <x:v>YES</x:v>
      </x:c>
    </x:row>
    <x:row r="534">
      <x:c r="A534" s="20" t="str">
        <x:v>REC-C01_NUM</x:v>
      </x:c>
      <x:c r="B534" s="20" t="n">
        <x:v>2023</x:v>
      </x:c>
      <x:c r="C534" s="20" t="str">
        <x:v>Operaciones</x:v>
      </x:c>
      <x:c r="D534" s="20" t="str">
        <x:v>REC-C01</x:v>
      </x:c>
      <x:c r="E534" s="20" t="str">
        <x:v>NUM</x:v>
      </x:c>
      <x:c r="F534" s="20" t="str">
        <x:v>Participantes que completan el ciclo definido</x:v>
      </x:c>
      <x:c r="G534" s="20" t="str">
        <x:v># / base</x:v>
      </x:c>
      <x:c r="H534" s="20" t="n">
        <x:v>639</x:v>
      </x:c>
      <x:c r="I534" s="20" t="str">
        <x:v>Historical Dummy</x:v>
      </x:c>
      <x:c r="J534" s="20" t="str">
        <x:v>YES</x:v>
      </x:c>
    </x:row>
    <x:row r="535">
      <x:c r="A535" s="20" t="str">
        <x:v>REC-C01_NUM</x:v>
      </x:c>
      <x:c r="B535" s="20" t="n">
        <x:v>2024</x:v>
      </x:c>
      <x:c r="C535" s="20" t="str">
        <x:v>Operaciones</x:v>
      </x:c>
      <x:c r="D535" s="20" t="str">
        <x:v>REC-C01</x:v>
      </x:c>
      <x:c r="E535" s="20" t="str">
        <x:v>NUM</x:v>
      </x:c>
      <x:c r="F535" s="20" t="str">
        <x:v>Participantes que completan el ciclo definido</x:v>
      </x:c>
      <x:c r="G535" s="20" t="str">
        <x:v># / base</x:v>
      </x:c>
      <x:c r="H535" s="20" t="n">
        <x:v>739</x:v>
      </x:c>
      <x:c r="I535" s="20" t="str">
        <x:v>Historical Dummy</x:v>
      </x:c>
      <x:c r="J535" s="20" t="str">
        <x:v>YES</x:v>
      </x:c>
    </x:row>
    <x:row r="536">
      <x:c r="A536" s="20" t="str">
        <x:v>REC-C01_NUM</x:v>
      </x:c>
      <x:c r="B536" s="20" t="n">
        <x:v>2025</x:v>
      </x:c>
      <x:c r="C536" s="20" t="str">
        <x:v>Operaciones</x:v>
      </x:c>
      <x:c r="D536" s="20" t="str">
        <x:v>REC-C01</x:v>
      </x:c>
      <x:c r="E536" s="20" t="str">
        <x:v>NUM</x:v>
      </x:c>
      <x:c r="F536" s="20" t="str">
        <x:v>Participantes que completan el ciclo definido</x:v>
      </x:c>
      <x:c r="G536" s="20" t="str">
        <x:v># / base</x:v>
      </x:c>
      <x:c r="H536" s="20" t="n">
        <x:v>846</x:v>
      </x:c>
      <x:c r="I536" s="20" t="str">
        <x:v>Historical Dummy</x:v>
      </x:c>
      <x:c r="J536" s="20" t="str">
        <x:v>YES</x:v>
      </x:c>
    </x:row>
    <x:row r="537">
      <x:c r="A537" s="20" t="str">
        <x:v>REC-C01_NUM</x:v>
      </x:c>
      <x:c r="B537" s="20" t="n">
        <x:v>2026</x:v>
      </x:c>
      <x:c r="C537" s="20" t="str">
        <x:v>Operaciones</x:v>
      </x:c>
      <x:c r="D537" s="20" t="str">
        <x:v>REC-C01</x:v>
      </x:c>
      <x:c r="E537" s="20" t="str">
        <x:v>NUM</x:v>
      </x:c>
      <x:c r="F537" s="20" t="str">
        <x:v>Participantes que completan el ciclo definido</x:v>
      </x:c>
      <x:c r="G537" s="20" t="str">
        <x:v># / base</x:v>
      </x:c>
      <x:c r="H537" s="20" t="n">
        <x:v>979</x:v>
      </x:c>
      <x:c r="I537" s="20" t="str">
        <x:v>Plan-Year Dummy</x:v>
      </x:c>
      <x:c r="J537" s="20" t="str">
        <x:v>YES</x:v>
      </x:c>
    </x:row>
    <x:row r="538">
      <x:c r="A538" s="20" t="str">
        <x:v>REC-C01_DEN</x:v>
      </x:c>
      <x:c r="B538" s="20" t="n">
        <x:v>2023</x:v>
      </x:c>
      <x:c r="C538" s="20" t="str">
        <x:v>Operaciones</x:v>
      </x:c>
      <x:c r="D538" s="20" t="str">
        <x:v>REC-C01</x:v>
      </x:c>
      <x:c r="E538" s="20" t="str">
        <x:v>DEN</x:v>
      </x:c>
      <x:c r="F538" s="20" t="str">
        <x:v>participantes que iniciaron el ciclo</x:v>
      </x:c>
      <x:c r="G538" s="20" t="str">
        <x:v># / base</x:v>
      </x:c>
      <x:c r="H538" s="20" t="n">
        <x:v>900</x:v>
      </x:c>
      <x:c r="I538" s="20" t="str">
        <x:v>Historical Dummy</x:v>
      </x:c>
      <x:c r="J538" s="20" t="str">
        <x:v>YES</x:v>
      </x:c>
    </x:row>
    <x:row r="539">
      <x:c r="A539" s="20" t="str">
        <x:v>REC-C01_DEN</x:v>
      </x:c>
      <x:c r="B539" s="20" t="n">
        <x:v>2024</x:v>
      </x:c>
      <x:c r="C539" s="20" t="str">
        <x:v>Operaciones</x:v>
      </x:c>
      <x:c r="D539" s="20" t="str">
        <x:v>REC-C01</x:v>
      </x:c>
      <x:c r="E539" s="20" t="str">
        <x:v>DEN</x:v>
      </x:c>
      <x:c r="F539" s="20" t="str">
        <x:v>participantes que iniciaron el ciclo</x:v>
      </x:c>
      <x:c r="G539" s="20" t="str">
        <x:v># / base</x:v>
      </x:c>
      <x:c r="H539" s="20" t="n">
        <x:v>972</x:v>
      </x:c>
      <x:c r="I539" s="20" t="str">
        <x:v>Historical Dummy</x:v>
      </x:c>
      <x:c r="J539" s="20" t="str">
        <x:v>YES</x:v>
      </x:c>
    </x:row>
    <x:row r="540">
      <x:c r="A540" s="20" t="str">
        <x:v>REC-C01_DEN</x:v>
      </x:c>
      <x:c r="B540" s="20" t="n">
        <x:v>2025</x:v>
      </x:c>
      <x:c r="C540" s="20" t="str">
        <x:v>Operaciones</x:v>
      </x:c>
      <x:c r="D540" s="20" t="str">
        <x:v>REC-C01</x:v>
      </x:c>
      <x:c r="E540" s="20" t="str">
        <x:v>DEN</x:v>
      </x:c>
      <x:c r="F540" s="20" t="str">
        <x:v>participantes que iniciaron el ciclo</x:v>
      </x:c>
      <x:c r="G540" s="20" t="str">
        <x:v># / base</x:v>
      </x:c>
      <x:c r="H540" s="20" t="n">
        <x:v>1044</x:v>
      </x:c>
      <x:c r="I540" s="20" t="str">
        <x:v>Historical Dummy</x:v>
      </x:c>
      <x:c r="J540" s="20" t="str">
        <x:v>YES</x:v>
      </x:c>
    </x:row>
    <x:row r="541">
      <x:c r="A541" s="20" t="str">
        <x:v>REC-C01_DEN</x:v>
      </x:c>
      <x:c r="B541" s="20" t="n">
        <x:v>2026</x:v>
      </x:c>
      <x:c r="C541" s="20" t="str">
        <x:v>Operaciones</x:v>
      </x:c>
      <x:c r="D541" s="20" t="str">
        <x:v>REC-C01</x:v>
      </x:c>
      <x:c r="E541" s="20" t="str">
        <x:v>DEN</x:v>
      </x:c>
      <x:c r="F541" s="20" t="str">
        <x:v>participantes que iniciaron el ciclo</x:v>
      </x:c>
      <x:c r="G541" s="20" t="str">
        <x:v># / base</x:v>
      </x:c>
      <x:c r="H541" s="20" t="n">
        <x:v>1125</x:v>
      </x:c>
      <x:c r="I541" s="20" t="str">
        <x:v>Plan-Year Dummy</x:v>
      </x:c>
      <x:c r="J541" s="20" t="str">
        <x:v>YES</x:v>
      </x:c>
    </x:row>
    <x:row r="542">
      <x:c r="A542" s="20" t="str">
        <x:v>REC-C02_NUM</x:v>
      </x:c>
      <x:c r="B542" s="20" t="n">
        <x:v>2023</x:v>
      </x:c>
      <x:c r="C542" s="20" t="str">
        <x:v>Operaciones</x:v>
      </x:c>
      <x:c r="D542" s="20" t="str">
        <x:v>REC-C02</x:v>
      </x:c>
      <x:c r="E542" s="20" t="str">
        <x:v>NUM</x:v>
      </x:c>
      <x:c r="F542" s="20" t="str">
        <x:v>Beneficiarios con mejora que supera el umbral definido</x:v>
      </x:c>
      <x:c r="G542" s="20" t="str">
        <x:v># / base</x:v>
      </x:c>
      <x:c r="H542" s="20" t="n">
        <x:v>612</x:v>
      </x:c>
      <x:c r="I542" s="20" t="str">
        <x:v>Historical Dummy</x:v>
      </x:c>
      <x:c r="J542" s="20" t="str">
        <x:v>YES</x:v>
      </x:c>
    </x:row>
    <x:row r="543">
      <x:c r="A543" s="20" t="str">
        <x:v>REC-C02_NUM</x:v>
      </x:c>
      <x:c r="B543" s="20" t="n">
        <x:v>2024</x:v>
      </x:c>
      <x:c r="C543" s="20" t="str">
        <x:v>Operaciones</x:v>
      </x:c>
      <x:c r="D543" s="20" t="str">
        <x:v>REC-C02</x:v>
      </x:c>
      <x:c r="E543" s="20" t="str">
        <x:v>NUM</x:v>
      </x:c>
      <x:c r="F543" s="20" t="str">
        <x:v>Beneficiarios con mejora que supera el umbral definido</x:v>
      </x:c>
      <x:c r="G543" s="20" t="str">
        <x:v># / base</x:v>
      </x:c>
      <x:c r="H543" s="20" t="n">
        <x:v>719</x:v>
      </x:c>
      <x:c r="I543" s="20" t="str">
        <x:v>Historical Dummy</x:v>
      </x:c>
      <x:c r="J543" s="20" t="str">
        <x:v>YES</x:v>
      </x:c>
    </x:row>
    <x:row r="544">
      <x:c r="A544" s="20" t="str">
        <x:v>REC-C02_NUM</x:v>
      </x:c>
      <x:c r="B544" s="20" t="n">
        <x:v>2025</x:v>
      </x:c>
      <x:c r="C544" s="20" t="str">
        <x:v>Operaciones</x:v>
      </x:c>
      <x:c r="D544" s="20" t="str">
        <x:v>REC-C02</x:v>
      </x:c>
      <x:c r="E544" s="20" t="str">
        <x:v>NUM</x:v>
      </x:c>
      <x:c r="F544" s="20" t="str">
        <x:v>Beneficiarios con mejora que supera el umbral definido</x:v>
      </x:c>
      <x:c r="G544" s="20" t="str">
        <x:v># / base</x:v>
      </x:c>
      <x:c r="H544" s="20" t="n">
        <x:v>846</x:v>
      </x:c>
      <x:c r="I544" s="20" t="str">
        <x:v>Historical Dummy</x:v>
      </x:c>
      <x:c r="J544" s="20" t="str">
        <x:v>YES</x:v>
      </x:c>
    </x:row>
    <x:row r="545">
      <x:c r="A545" s="20" t="str">
        <x:v>REC-C02_NUM</x:v>
      </x:c>
      <x:c r="B545" s="20" t="n">
        <x:v>2026</x:v>
      </x:c>
      <x:c r="C545" s="20" t="str">
        <x:v>Operaciones</x:v>
      </x:c>
      <x:c r="D545" s="20" t="str">
        <x:v>REC-C02</x:v>
      </x:c>
      <x:c r="E545" s="20" t="str">
        <x:v>NUM</x:v>
      </x:c>
      <x:c r="F545" s="20" t="str">
        <x:v>Beneficiarios con mejora que supera el umbral definido</x:v>
      </x:c>
      <x:c r="G545" s="20" t="str">
        <x:v># / base</x:v>
      </x:c>
      <x:c r="H545" s="20" t="n">
        <x:v>990</x:v>
      </x:c>
      <x:c r="I545" s="20" t="str">
        <x:v>Plan-Year Dummy</x:v>
      </x:c>
      <x:c r="J545" s="20" t="str">
        <x:v>YES</x:v>
      </x:c>
    </x:row>
    <x:row r="546">
      <x:c r="A546" s="20" t="str">
        <x:v>REC-C02_DEN</x:v>
      </x:c>
      <x:c r="B546" s="20" t="n">
        <x:v>2023</x:v>
      </x:c>
      <x:c r="C546" s="20" t="str">
        <x:v>Operaciones</x:v>
      </x:c>
      <x:c r="D546" s="20" t="str">
        <x:v>REC-C02</x:v>
      </x:c>
      <x:c r="E546" s="20" t="str">
        <x:v>DEN</x:v>
      </x:c>
      <x:c r="F546" s="20" t="str">
        <x:v>beneficiarios con medición pre/post válida</x:v>
      </x:c>
      <x:c r="G546" s="20" t="str">
        <x:v># / base</x:v>
      </x:c>
      <x:c r="H546" s="20" t="n">
        <x:v>900</x:v>
      </x:c>
      <x:c r="I546" s="20" t="str">
        <x:v>Historical Dummy</x:v>
      </x:c>
      <x:c r="J546" s="20" t="str">
        <x:v>YES</x:v>
      </x:c>
    </x:row>
    <x:row r="547">
      <x:c r="A547" s="20" t="str">
        <x:v>REC-C02_DEN</x:v>
      </x:c>
      <x:c r="B547" s="20" t="n">
        <x:v>2024</x:v>
      </x:c>
      <x:c r="C547" s="20" t="str">
        <x:v>Operaciones</x:v>
      </x:c>
      <x:c r="D547" s="20" t="str">
        <x:v>REC-C02</x:v>
      </x:c>
      <x:c r="E547" s="20" t="str">
        <x:v>DEN</x:v>
      </x:c>
      <x:c r="F547" s="20" t="str">
        <x:v>beneficiarios con medición pre/post válida</x:v>
      </x:c>
      <x:c r="G547" s="20" t="str">
        <x:v># / base</x:v>
      </x:c>
      <x:c r="H547" s="20" t="n">
        <x:v>972</x:v>
      </x:c>
      <x:c r="I547" s="20" t="str">
        <x:v>Historical Dummy</x:v>
      </x:c>
      <x:c r="J547" s="20" t="str">
        <x:v>YES</x:v>
      </x:c>
    </x:row>
    <x:row r="548">
      <x:c r="A548" s="20" t="str">
        <x:v>REC-C02_DEN</x:v>
      </x:c>
      <x:c r="B548" s="20" t="n">
        <x:v>2025</x:v>
      </x:c>
      <x:c r="C548" s="20" t="str">
        <x:v>Operaciones</x:v>
      </x:c>
      <x:c r="D548" s="20" t="str">
        <x:v>REC-C02</x:v>
      </x:c>
      <x:c r="E548" s="20" t="str">
        <x:v>DEN</x:v>
      </x:c>
      <x:c r="F548" s="20" t="str">
        <x:v>beneficiarios con medición pre/post válida</x:v>
      </x:c>
      <x:c r="G548" s="20" t="str">
        <x:v># / base</x:v>
      </x:c>
      <x:c r="H548" s="20" t="n">
        <x:v>1044</x:v>
      </x:c>
      <x:c r="I548" s="20" t="str">
        <x:v>Historical Dummy</x:v>
      </x:c>
      <x:c r="J548" s="20" t="str">
        <x:v>YES</x:v>
      </x:c>
    </x:row>
    <x:row r="549">
      <x:c r="A549" s="20" t="str">
        <x:v>REC-C02_DEN</x:v>
      </x:c>
      <x:c r="B549" s="20" t="n">
        <x:v>2026</x:v>
      </x:c>
      <x:c r="C549" s="20" t="str">
        <x:v>Operaciones</x:v>
      </x:c>
      <x:c r="D549" s="20" t="str">
        <x:v>REC-C02</x:v>
      </x:c>
      <x:c r="E549" s="20" t="str">
        <x:v>DEN</x:v>
      </x:c>
      <x:c r="F549" s="20" t="str">
        <x:v>beneficiarios con medición pre/post válida</x:v>
      </x:c>
      <x:c r="G549" s="20" t="str">
        <x:v># / base</x:v>
      </x:c>
      <x:c r="H549" s="20" t="n">
        <x:v>1125</x:v>
      </x:c>
      <x:c r="I549" s="20" t="str">
        <x:v>Plan-Year Dummy</x:v>
      </x:c>
      <x:c r="J549" s="20" t="str">
        <x:v>YES</x:v>
      </x:c>
    </x:row>
    <x:row r="550">
      <x:c r="A550" s="20" t="str">
        <x:v>REC-C03_NUM</x:v>
      </x:c>
      <x:c r="B550" s="20" t="n">
        <x:v>2023</x:v>
      </x:c>
      <x:c r="C550" s="20" t="str">
        <x:v>Dirección + Jurídico</x:v>
      </x:c>
      <x:c r="D550" s="20" t="str">
        <x:v>REC-C03</x:v>
      </x:c>
      <x:c r="E550" s="20" t="str">
        <x:v>NUM</x:v>
      </x:c>
      <x:c r="F550" s="20" t="str">
        <x:v>Obligaciones regulatorias/acreditaciones críticas cumplidas en plazo</x:v>
      </x:c>
      <x:c r="G550" s="20" t="str">
        <x:v># / base</x:v>
      </x:c>
      <x:c r="H550" s="20" t="n">
        <x:v>84</x:v>
      </x:c>
      <x:c r="I550" s="20" t="str">
        <x:v>Historical Dummy</x:v>
      </x:c>
      <x:c r="J550" s="20" t="str">
        <x:v>YES</x:v>
      </x:c>
    </x:row>
    <x:row r="551">
      <x:c r="A551" s="20" t="str">
        <x:v>REC-C03_NUM</x:v>
      </x:c>
      <x:c r="B551" s="20" t="n">
        <x:v>2024</x:v>
      </x:c>
      <x:c r="C551" s="20" t="str">
        <x:v>Dirección + Jurídico</x:v>
      </x:c>
      <x:c r="D551" s="20" t="str">
        <x:v>REC-C03</x:v>
      </x:c>
      <x:c r="E551" s="20" t="str">
        <x:v>NUM</x:v>
      </x:c>
      <x:c r="F551" s="20" t="str">
        <x:v>Obligaciones regulatorias/acreditaciones críticas cumplidas en plazo</x:v>
      </x:c>
      <x:c r="G551" s="20" t="str">
        <x:v># / base</x:v>
      </x:c>
      <x:c r="H551" s="20" t="n">
        <x:v>96</x:v>
      </x:c>
      <x:c r="I551" s="20" t="str">
        <x:v>Historical Dummy</x:v>
      </x:c>
      <x:c r="J551" s="20" t="str">
        <x:v>YES</x:v>
      </x:c>
    </x:row>
    <x:row r="552">
      <x:c r="A552" s="20" t="str">
        <x:v>REC-C03_NUM</x:v>
      </x:c>
      <x:c r="B552" s="20" t="n">
        <x:v>2025</x:v>
      </x:c>
      <x:c r="C552" s="20" t="str">
        <x:v>Dirección + Jurídico</x:v>
      </x:c>
      <x:c r="D552" s="20" t="str">
        <x:v>REC-C03</x:v>
      </x:c>
      <x:c r="E552" s="20" t="str">
        <x:v>NUM</x:v>
      </x:c>
      <x:c r="F552" s="20" t="str">
        <x:v>Obligaciones regulatorias/acreditaciones críticas cumplidas en plazo</x:v>
      </x:c>
      <x:c r="G552" s="20" t="str">
        <x:v># / base</x:v>
      </x:c>
      <x:c r="H552" s="20" t="n">
        <x:v>109</x:v>
      </x:c>
      <x:c r="I552" s="20" t="str">
        <x:v>Historical Dummy</x:v>
      </x:c>
      <x:c r="J552" s="20" t="str">
        <x:v>YES</x:v>
      </x:c>
    </x:row>
    <x:row r="553">
      <x:c r="A553" s="20" t="str">
        <x:v>REC-C03_NUM</x:v>
      </x:c>
      <x:c r="B553" s="20" t="n">
        <x:v>2026</x:v>
      </x:c>
      <x:c r="C553" s="20" t="str">
        <x:v>Dirección + Jurídico</x:v>
      </x:c>
      <x:c r="D553" s="20" t="str">
        <x:v>REC-C03</x:v>
      </x:c>
      <x:c r="E553" s="20" t="str">
        <x:v>NUM</x:v>
      </x:c>
      <x:c r="F553" s="20" t="str">
        <x:v>Obligaciones regulatorias/acreditaciones críticas cumplidas en plazo</x:v>
      </x:c>
      <x:c r="G553" s="20" t="str">
        <x:v># / base</x:v>
      </x:c>
      <x:c r="H553" s="20" t="n">
        <x:v>125</x:v>
      </x:c>
      <x:c r="I553" s="20" t="str">
        <x:v>Plan-Year Dummy</x:v>
      </x:c>
      <x:c r="J553" s="20" t="str">
        <x:v>YES</x:v>
      </x:c>
    </x:row>
    <x:row r="554">
      <x:c r="A554" s="20" t="str">
        <x:v>REC-C03_DEN</x:v>
      </x:c>
      <x:c r="B554" s="20" t="n">
        <x:v>2023</x:v>
      </x:c>
      <x:c r="C554" s="20" t="str">
        <x:v>Dirección + Jurídico</x:v>
      </x:c>
      <x:c r="D554" s="20" t="str">
        <x:v>REC-C03</x:v>
      </x:c>
      <x:c r="E554" s="20" t="str">
        <x:v>DEN</x:v>
      </x:c>
      <x:c r="F554" s="20" t="str">
        <x:v>obligaciones exigibles</x:v>
      </x:c>
      <x:c r="G554" s="20" t="str">
        <x:v># / base</x:v>
      </x:c>
      <x:c r="H554" s="20" t="n">
        <x:v>100</x:v>
      </x:c>
      <x:c r="I554" s="20" t="str">
        <x:v>Historical Dummy</x:v>
      </x:c>
      <x:c r="J554" s="20" t="str">
        <x:v>YES</x:v>
      </x:c>
    </x:row>
    <x:row r="555">
      <x:c r="A555" s="20" t="str">
        <x:v>REC-C03_DEN</x:v>
      </x:c>
      <x:c r="B555" s="20" t="n">
        <x:v>2024</x:v>
      </x:c>
      <x:c r="C555" s="20" t="str">
        <x:v>Dirección + Jurídico</x:v>
      </x:c>
      <x:c r="D555" s="20" t="str">
        <x:v>REC-C03</x:v>
      </x:c>
      <x:c r="E555" s="20" t="str">
        <x:v>DEN</x:v>
      </x:c>
      <x:c r="F555" s="20" t="str">
        <x:v>obligaciones exigibles</x:v>
      </x:c>
      <x:c r="G555" s="20" t="str">
        <x:v># / base</x:v>
      </x:c>
      <x:c r="H555" s="20" t="n">
        <x:v>108</x:v>
      </x:c>
      <x:c r="I555" s="20" t="str">
        <x:v>Historical Dummy</x:v>
      </x:c>
      <x:c r="J555" s="20" t="str">
        <x:v>YES</x:v>
      </x:c>
    </x:row>
    <x:row r="556">
      <x:c r="A556" s="20" t="str">
        <x:v>REC-C03_DEN</x:v>
      </x:c>
      <x:c r="B556" s="20" t="n">
        <x:v>2025</x:v>
      </x:c>
      <x:c r="C556" s="20" t="str">
        <x:v>Dirección + Jurídico</x:v>
      </x:c>
      <x:c r="D556" s="20" t="str">
        <x:v>REC-C03</x:v>
      </x:c>
      <x:c r="E556" s="20" t="str">
        <x:v>DEN</x:v>
      </x:c>
      <x:c r="F556" s="20" t="str">
        <x:v>obligaciones exigibles</x:v>
      </x:c>
      <x:c r="G556" s="20" t="str">
        <x:v># / base</x:v>
      </x:c>
      <x:c r="H556" s="20" t="n">
        <x:v>116</x:v>
      </x:c>
      <x:c r="I556" s="20" t="str">
        <x:v>Historical Dummy</x:v>
      </x:c>
      <x:c r="J556" s="20" t="str">
        <x:v>YES</x:v>
      </x:c>
    </x:row>
    <x:row r="557">
      <x:c r="A557" s="20" t="str">
        <x:v>REC-C03_DEN</x:v>
      </x:c>
      <x:c r="B557" s="20" t="n">
        <x:v>2026</x:v>
      </x:c>
      <x:c r="C557" s="20" t="str">
        <x:v>Dirección + Jurídico</x:v>
      </x:c>
      <x:c r="D557" s="20" t="str">
        <x:v>REC-C03</x:v>
      </x:c>
      <x:c r="E557" s="20" t="str">
        <x:v>DEN</x:v>
      </x:c>
      <x:c r="F557" s="20" t="str">
        <x:v>obligaciones exigibles</x:v>
      </x:c>
      <x:c r="G557" s="20" t="str">
        <x:v># / base</x:v>
      </x:c>
      <x:c r="H557" s="20" t="n">
        <x:v>125</x:v>
      </x:c>
      <x:c r="I557" s="20" t="str">
        <x:v>Plan-Year Dummy</x:v>
      </x:c>
      <x:c r="J557" s="20" t="str">
        <x:v>YES</x:v>
      </x:c>
    </x:row>
    <x:row r="558">
      <x:c r="A558" s="20" t="str">
        <x:v>REC-C04_NUM</x:v>
      </x:c>
      <x:c r="B558" s="20" t="n">
        <x:v>2023</x:v>
      </x:c>
      <x:c r="C558" s="20" t="str">
        <x:v>Procuración de Fondos</x:v>
      </x:c>
      <x:c r="D558" s="20" t="str">
        <x:v>REC-C04</x:v>
      </x:c>
      <x:c r="E558" s="20" t="str">
        <x:v>NUM</x:v>
      </x:c>
      <x:c r="F558" s="20" t="str">
        <x:v>Aliados estratégicos elegibles que renuevan/continúan una colaboración activa</x:v>
      </x:c>
      <x:c r="G558" s="20" t="str">
        <x:v># / base</x:v>
      </x:c>
      <x:c r="H558" s="20" t="n">
        <x:v>68</x:v>
      </x:c>
      <x:c r="I558" s="20" t="str">
        <x:v>Historical Dummy</x:v>
      </x:c>
      <x:c r="J558" s="20" t="str">
        <x:v>YES</x:v>
      </x:c>
    </x:row>
    <x:row r="559">
      <x:c r="A559" s="20" t="str">
        <x:v>REC-C04_NUM</x:v>
      </x:c>
      <x:c r="B559" s="20" t="n">
        <x:v>2024</x:v>
      </x:c>
      <x:c r="C559" s="20" t="str">
        <x:v>Procuración de Fondos</x:v>
      </x:c>
      <x:c r="D559" s="20" t="str">
        <x:v>REC-C04</x:v>
      </x:c>
      <x:c r="E559" s="20" t="str">
        <x:v>NUM</x:v>
      </x:c>
      <x:c r="F559" s="20" t="str">
        <x:v>Aliados estratégicos elegibles que renuevan/continúan una colaboración activa</x:v>
      </x:c>
      <x:c r="G559" s="20" t="str">
        <x:v># / base</x:v>
      </x:c>
      <x:c r="H559" s="20" t="n">
        <x:v>80</x:v>
      </x:c>
      <x:c r="I559" s="20" t="str">
        <x:v>Historical Dummy</x:v>
      </x:c>
      <x:c r="J559" s="20" t="str">
        <x:v>YES</x:v>
      </x:c>
    </x:row>
    <x:row r="560">
      <x:c r="A560" s="20" t="str">
        <x:v>REC-C04_NUM</x:v>
      </x:c>
      <x:c r="B560" s="20" t="n">
        <x:v>2025</x:v>
      </x:c>
      <x:c r="C560" s="20" t="str">
        <x:v>Procuración de Fondos</x:v>
      </x:c>
      <x:c r="D560" s="20" t="str">
        <x:v>REC-C04</x:v>
      </x:c>
      <x:c r="E560" s="20" t="str">
        <x:v>NUM</x:v>
      </x:c>
      <x:c r="F560" s="20" t="str">
        <x:v>Aliados estratégicos elegibles que renuevan/continúan una colaboración activa</x:v>
      </x:c>
      <x:c r="G560" s="20" t="str">
        <x:v># / base</x:v>
      </x:c>
      <x:c r="H560" s="20" t="n">
        <x:v>94</x:v>
      </x:c>
      <x:c r="I560" s="20" t="str">
        <x:v>Historical Dummy</x:v>
      </x:c>
      <x:c r="J560" s="20" t="str">
        <x:v>YES</x:v>
      </x:c>
    </x:row>
    <x:row r="561">
      <x:c r="A561" s="20" t="str">
        <x:v>REC-C04_NUM</x:v>
      </x:c>
      <x:c r="B561" s="20" t="n">
        <x:v>2026</x:v>
      </x:c>
      <x:c r="C561" s="20" t="str">
        <x:v>Procuración de Fondos</x:v>
      </x:c>
      <x:c r="D561" s="20" t="str">
        <x:v>REC-C04</x:v>
      </x:c>
      <x:c r="E561" s="20" t="str">
        <x:v>NUM</x:v>
      </x:c>
      <x:c r="F561" s="20" t="str">
        <x:v>Aliados estratégicos elegibles que renuevan/continúan una colaboración activa</x:v>
      </x:c>
      <x:c r="G561" s="20" t="str">
        <x:v># / base</x:v>
      </x:c>
      <x:c r="H561" s="20" t="n">
        <x:v>110</x:v>
      </x:c>
      <x:c r="I561" s="20" t="str">
        <x:v>Plan-Year Dummy</x:v>
      </x:c>
      <x:c r="J561" s="20" t="str">
        <x:v>YES</x:v>
      </x:c>
    </x:row>
    <x:row r="562">
      <x:c r="A562" s="20" t="str">
        <x:v>REC-C04_DEN</x:v>
      </x:c>
      <x:c r="B562" s="20" t="n">
        <x:v>2023</x:v>
      </x:c>
      <x:c r="C562" s="20" t="str">
        <x:v>Procuración de Fondos</x:v>
      </x:c>
      <x:c r="D562" s="20" t="str">
        <x:v>REC-C04</x:v>
      </x:c>
      <x:c r="E562" s="20" t="str">
        <x:v>DEN</x:v>
      </x:c>
      <x:c r="F562" s="20" t="str">
        <x:v>aliados elegibles</x:v>
      </x:c>
      <x:c r="G562" s="20" t="str">
        <x:v># / base</x:v>
      </x:c>
      <x:c r="H562" s="20" t="n">
        <x:v>100</x:v>
      </x:c>
      <x:c r="I562" s="20" t="str">
        <x:v>Historical Dummy</x:v>
      </x:c>
      <x:c r="J562" s="20" t="str">
        <x:v>YES</x:v>
      </x:c>
    </x:row>
    <x:row r="563">
      <x:c r="A563" s="20" t="str">
        <x:v>REC-C04_DEN</x:v>
      </x:c>
      <x:c r="B563" s="20" t="n">
        <x:v>2024</x:v>
      </x:c>
      <x:c r="C563" s="20" t="str">
        <x:v>Procuración de Fondos</x:v>
      </x:c>
      <x:c r="D563" s="20" t="str">
        <x:v>REC-C04</x:v>
      </x:c>
      <x:c r="E563" s="20" t="str">
        <x:v>DEN</x:v>
      </x:c>
      <x:c r="F563" s="20" t="str">
        <x:v>aliados elegibles</x:v>
      </x:c>
      <x:c r="G563" s="20" t="str">
        <x:v># / base</x:v>
      </x:c>
      <x:c r="H563" s="20" t="n">
        <x:v>108</x:v>
      </x:c>
      <x:c r="I563" s="20" t="str">
        <x:v>Historical Dummy</x:v>
      </x:c>
      <x:c r="J563" s="20" t="str">
        <x:v>YES</x:v>
      </x:c>
    </x:row>
    <x:row r="564">
      <x:c r="A564" s="20" t="str">
        <x:v>REC-C04_DEN</x:v>
      </x:c>
      <x:c r="B564" s="20" t="n">
        <x:v>2025</x:v>
      </x:c>
      <x:c r="C564" s="20" t="str">
        <x:v>Procuración de Fondos</x:v>
      </x:c>
      <x:c r="D564" s="20" t="str">
        <x:v>REC-C04</x:v>
      </x:c>
      <x:c r="E564" s="20" t="str">
        <x:v>DEN</x:v>
      </x:c>
      <x:c r="F564" s="20" t="str">
        <x:v>aliados elegibles</x:v>
      </x:c>
      <x:c r="G564" s="20" t="str">
        <x:v># / base</x:v>
      </x:c>
      <x:c r="H564" s="20" t="n">
        <x:v>116</x:v>
      </x:c>
      <x:c r="I564" s="20" t="str">
        <x:v>Historical Dummy</x:v>
      </x:c>
      <x:c r="J564" s="20" t="str">
        <x:v>YES</x:v>
      </x:c>
    </x:row>
    <x:row r="565">
      <x:c r="A565" s="20" t="str">
        <x:v>REC-C04_DEN</x:v>
      </x:c>
      <x:c r="B565" s="20" t="n">
        <x:v>2026</x:v>
      </x:c>
      <x:c r="C565" s="20" t="str">
        <x:v>Procuración de Fondos</x:v>
      </x:c>
      <x:c r="D565" s="20" t="str">
        <x:v>REC-C04</x:v>
      </x:c>
      <x:c r="E565" s="20" t="str">
        <x:v>DEN</x:v>
      </x:c>
      <x:c r="F565" s="20" t="str">
        <x:v>aliados elegibles</x:v>
      </x:c>
      <x:c r="G565" s="20" t="str">
        <x:v># / base</x:v>
      </x:c>
      <x:c r="H565" s="20" t="n">
        <x:v>125</x:v>
      </x:c>
      <x:c r="I565" s="20" t="str">
        <x:v>Plan-Year Dummy</x:v>
      </x:c>
      <x:c r="J565" s="20" t="str">
        <x:v>YES</x:v>
      </x:c>
    </x:row>
    <x:row r="566">
      <x:c r="A566" s="20" t="str">
        <x:v>REC-F01_NUM</x:v>
      </x:c>
      <x:c r="B566" s="20" t="n">
        <x:v>2023</x:v>
      </x:c>
      <x:c r="C566" s="20" t="str">
        <x:v>Procuración de Fondos</x:v>
      </x:c>
      <x:c r="D566" s="20" t="str">
        <x:v>REC-F01</x:v>
      </x:c>
      <x:c r="E566" s="20" t="str">
        <x:v>NUM</x:v>
      </x:c>
      <x:c r="F566" s="20" t="str">
        <x:v>Fondos efectivamente recibidos en el periodo</x:v>
      </x:c>
      <x:c r="G566" s="20" t="str">
        <x:v>Moneda</x:v>
      </x:c>
      <x:c r="H566" s="20" t="n">
        <x:v>84</x:v>
      </x:c>
      <x:c r="I566" s="20" t="str">
        <x:v>Historical Dummy</x:v>
      </x:c>
      <x:c r="J566" s="20" t="str">
        <x:v>YES</x:v>
      </x:c>
    </x:row>
    <x:row r="567">
      <x:c r="A567" s="20" t="str">
        <x:v>REC-F01_NUM</x:v>
      </x:c>
      <x:c r="B567" s="20" t="n">
        <x:v>2024</x:v>
      </x:c>
      <x:c r="C567" s="20" t="str">
        <x:v>Procuración de Fondos</x:v>
      </x:c>
      <x:c r="D567" s="20" t="str">
        <x:v>REC-F01</x:v>
      </x:c>
      <x:c r="E567" s="20" t="str">
        <x:v>NUM</x:v>
      </x:c>
      <x:c r="F567" s="20" t="str">
        <x:v>Fondos efectivamente recibidos en el periodo</x:v>
      </x:c>
      <x:c r="G567" s="20" t="str">
        <x:v>Moneda</x:v>
      </x:c>
      <x:c r="H567" s="20" t="n">
        <x:v>96</x:v>
      </x:c>
      <x:c r="I567" s="20" t="str">
        <x:v>Historical Dummy</x:v>
      </x:c>
      <x:c r="J567" s="20" t="str">
        <x:v>YES</x:v>
      </x:c>
    </x:row>
    <x:row r="568">
      <x:c r="A568" s="20" t="str">
        <x:v>REC-F01_NUM</x:v>
      </x:c>
      <x:c r="B568" s="20" t="n">
        <x:v>2025</x:v>
      </x:c>
      <x:c r="C568" s="20" t="str">
        <x:v>Procuración de Fondos</x:v>
      </x:c>
      <x:c r="D568" s="20" t="str">
        <x:v>REC-F01</x:v>
      </x:c>
      <x:c r="E568" s="20" t="str">
        <x:v>NUM</x:v>
      </x:c>
      <x:c r="F568" s="20" t="str">
        <x:v>Fondos efectivamente recibidos en el periodo</x:v>
      </x:c>
      <x:c r="G568" s="20" t="str">
        <x:v>Moneda</x:v>
      </x:c>
      <x:c r="H568" s="20" t="n">
        <x:v>109</x:v>
      </x:c>
      <x:c r="I568" s="20" t="str">
        <x:v>Historical Dummy</x:v>
      </x:c>
      <x:c r="J568" s="20" t="str">
        <x:v>YES</x:v>
      </x:c>
    </x:row>
    <x:row r="569">
      <x:c r="A569" s="20" t="str">
        <x:v>REC-F01_NUM</x:v>
      </x:c>
      <x:c r="B569" s="20" t="n">
        <x:v>2026</x:v>
      </x:c>
      <x:c r="C569" s="20" t="str">
        <x:v>Procuración de Fondos</x:v>
      </x:c>
      <x:c r="D569" s="20" t="str">
        <x:v>REC-F01</x:v>
      </x:c>
      <x:c r="E569" s="20" t="str">
        <x:v>NUM</x:v>
      </x:c>
      <x:c r="F569" s="20" t="str">
        <x:v>Fondos efectivamente recibidos en el periodo</x:v>
      </x:c>
      <x:c r="G569" s="20" t="str">
        <x:v>Moneda</x:v>
      </x:c>
      <x:c r="H569" s="20" t="n">
        <x:v>125</x:v>
      </x:c>
      <x:c r="I569" s="20" t="str">
        <x:v>Plan-Year Dummy</x:v>
      </x:c>
      <x:c r="J569" s="20" t="str">
        <x:v>YES</x:v>
      </x:c>
    </x:row>
    <x:row r="570">
      <x:c r="A570" s="20" t="str">
        <x:v>REC-F01_DEN</x:v>
      </x:c>
      <x:c r="B570" s="20" t="n">
        <x:v>2023</x:v>
      </x:c>
      <x:c r="C570" s="20" t="str">
        <x:v>Procuración de Fondos</x:v>
      </x:c>
      <x:c r="D570" s="20" t="str">
        <x:v>REC-F01</x:v>
      </x:c>
      <x:c r="E570" s="20" t="str">
        <x:v>DEN</x:v>
      </x:c>
      <x:c r="F570" s="20" t="str">
        <x:v>meta total de procuración aprobada</x:v>
      </x:c>
      <x:c r="G570" s="20" t="str">
        <x:v># / base</x:v>
      </x:c>
      <x:c r="H570" s="20" t="n">
        <x:v>100</x:v>
      </x:c>
      <x:c r="I570" s="20" t="str">
        <x:v>Historical Dummy</x:v>
      </x:c>
      <x:c r="J570" s="20" t="str">
        <x:v>YES</x:v>
      </x:c>
    </x:row>
    <x:row r="571">
      <x:c r="A571" s="20" t="str">
        <x:v>REC-F01_DEN</x:v>
      </x:c>
      <x:c r="B571" s="20" t="n">
        <x:v>2024</x:v>
      </x:c>
      <x:c r="C571" s="20" t="str">
        <x:v>Procuración de Fondos</x:v>
      </x:c>
      <x:c r="D571" s="20" t="str">
        <x:v>REC-F01</x:v>
      </x:c>
      <x:c r="E571" s="20" t="str">
        <x:v>DEN</x:v>
      </x:c>
      <x:c r="F571" s="20" t="str">
        <x:v>meta total de procuración aprobada</x:v>
      </x:c>
      <x:c r="G571" s="20" t="str">
        <x:v># / base</x:v>
      </x:c>
      <x:c r="H571" s="20" t="n">
        <x:v>108</x:v>
      </x:c>
      <x:c r="I571" s="20" t="str">
        <x:v>Historical Dummy</x:v>
      </x:c>
      <x:c r="J571" s="20" t="str">
        <x:v>YES</x:v>
      </x:c>
    </x:row>
    <x:row r="572">
      <x:c r="A572" s="20" t="str">
        <x:v>REC-F01_DEN</x:v>
      </x:c>
      <x:c r="B572" s="20" t="n">
        <x:v>2025</x:v>
      </x:c>
      <x:c r="C572" s="20" t="str">
        <x:v>Procuración de Fondos</x:v>
      </x:c>
      <x:c r="D572" s="20" t="str">
        <x:v>REC-F01</x:v>
      </x:c>
      <x:c r="E572" s="20" t="str">
        <x:v>DEN</x:v>
      </x:c>
      <x:c r="F572" s="20" t="str">
        <x:v>meta total de procuración aprobada</x:v>
      </x:c>
      <x:c r="G572" s="20" t="str">
        <x:v># / base</x:v>
      </x:c>
      <x:c r="H572" s="20" t="n">
        <x:v>116</x:v>
      </x:c>
      <x:c r="I572" s="20" t="str">
        <x:v>Historical Dummy</x:v>
      </x:c>
      <x:c r="J572" s="20" t="str">
        <x:v>YES</x:v>
      </x:c>
    </x:row>
    <x:row r="573">
      <x:c r="A573" s="20" t="str">
        <x:v>REC-F01_DEN</x:v>
      </x:c>
      <x:c r="B573" s="20" t="n">
        <x:v>2026</x:v>
      </x:c>
      <x:c r="C573" s="20" t="str">
        <x:v>Procuración de Fondos</x:v>
      </x:c>
      <x:c r="D573" s="20" t="str">
        <x:v>REC-F01</x:v>
      </x:c>
      <x:c r="E573" s="20" t="str">
        <x:v>DEN</x:v>
      </x:c>
      <x:c r="F573" s="20" t="str">
        <x:v>meta total de procuración aprobada</x:v>
      </x:c>
      <x:c r="G573" s="20" t="str">
        <x:v># / base</x:v>
      </x:c>
      <x:c r="H573" s="20" t="n">
        <x:v>125</x:v>
      </x:c>
      <x:c r="I573" s="20" t="str">
        <x:v>Plan-Year Dummy</x:v>
      </x:c>
      <x:c r="J573" s="20" t="str">
        <x:v>YES</x:v>
      </x:c>
    </x:row>
    <x:row r="574">
      <x:c r="A574" s="20" t="str">
        <x:v>REC-F02_NUM</x:v>
      </x:c>
      <x:c r="B574" s="20" t="n">
        <x:v>2023</x:v>
      </x:c>
      <x:c r="C574" s="20" t="str">
        <x:v>Finanzas + Procuración de Fondos</x:v>
      </x:c>
      <x:c r="D574" s="20" t="str">
        <x:v>REC-F02</x:v>
      </x:c>
      <x:c r="E574" s="20" t="str">
        <x:v>NUM</x:v>
      </x:c>
      <x:c r="F574" s="20" t="str">
        <x:v>Ingresos provenientes de la mayor fuente/donante/grupo</x:v>
      </x:c>
      <x:c r="G574" s="20" t="str">
        <x:v>Moneda</x:v>
      </x:c>
      <x:c r="H574" s="20" t="n">
        <x:v>68</x:v>
      </x:c>
      <x:c r="I574" s="20" t="str">
        <x:v>Historical Dummy</x:v>
      </x:c>
      <x:c r="J574" s="20" t="str">
        <x:v>YES</x:v>
      </x:c>
    </x:row>
    <x:row r="575">
      <x:c r="A575" s="20" t="str">
        <x:v>REC-F02_NUM</x:v>
      </x:c>
      <x:c r="B575" s="20" t="n">
        <x:v>2024</x:v>
      </x:c>
      <x:c r="C575" s="20" t="str">
        <x:v>Finanzas + Procuración de Fondos</x:v>
      </x:c>
      <x:c r="D575" s="20" t="str">
        <x:v>REC-F02</x:v>
      </x:c>
      <x:c r="E575" s="20" t="str">
        <x:v>NUM</x:v>
      </x:c>
      <x:c r="F575" s="20" t="str">
        <x:v>Ingresos provenientes de la mayor fuente/donante/grupo</x:v>
      </x:c>
      <x:c r="G575" s="20" t="str">
        <x:v>Moneda</x:v>
      </x:c>
      <x:c r="H575" s="20" t="n">
        <x:v>68</x:v>
      </x:c>
      <x:c r="I575" s="20" t="str">
        <x:v>Historical Dummy</x:v>
      </x:c>
      <x:c r="J575" s="20" t="str">
        <x:v>YES</x:v>
      </x:c>
    </x:row>
    <x:row r="576">
      <x:c r="A576" s="20" t="str">
        <x:v>REC-F02_NUM</x:v>
      </x:c>
      <x:c r="B576" s="20" t="n">
        <x:v>2025</x:v>
      </x:c>
      <x:c r="C576" s="20" t="str">
        <x:v>Finanzas + Procuración de Fondos</x:v>
      </x:c>
      <x:c r="D576" s="20" t="str">
        <x:v>REC-F02</x:v>
      </x:c>
      <x:c r="E576" s="20" t="str">
        <x:v>NUM</x:v>
      </x:c>
      <x:c r="F576" s="20" t="str">
        <x:v>Ingresos provenientes de la mayor fuente/donante/grupo</x:v>
      </x:c>
      <x:c r="G576" s="20" t="str">
        <x:v>Moneda</x:v>
      </x:c>
      <x:c r="H576" s="20" t="n">
        <x:v>67</x:v>
      </x:c>
      <x:c r="I576" s="20" t="str">
        <x:v>Historical Dummy</x:v>
      </x:c>
      <x:c r="J576" s="20" t="str">
        <x:v>YES</x:v>
      </x:c>
    </x:row>
    <x:row r="577">
      <x:c r="A577" s="20" t="str">
        <x:v>REC-F02_NUM</x:v>
      </x:c>
      <x:c r="B577" s="20" t="n">
        <x:v>2026</x:v>
      </x:c>
      <x:c r="C577" s="20" t="str">
        <x:v>Finanzas + Procuración de Fondos</x:v>
      </x:c>
      <x:c r="D577" s="20" t="str">
        <x:v>REC-F02</x:v>
      </x:c>
      <x:c r="E577" s="20" t="str">
        <x:v>NUM</x:v>
      </x:c>
      <x:c r="F577" s="20" t="str">
        <x:v>Ingresos provenientes de la mayor fuente/donante/grupo</x:v>
      </x:c>
      <x:c r="G577" s="20" t="str">
        <x:v>Moneda</x:v>
      </x:c>
      <x:c r="H577" s="20" t="n">
        <x:v>65</x:v>
      </x:c>
      <x:c r="I577" s="20" t="str">
        <x:v>Plan-Year Dummy</x:v>
      </x:c>
      <x:c r="J577" s="20" t="str">
        <x:v>YES</x:v>
      </x:c>
    </x:row>
    <x:row r="578">
      <x:c r="A578" s="20" t="str">
        <x:v>REC-F02_DEN</x:v>
      </x:c>
      <x:c r="B578" s="20" t="n">
        <x:v>2023</x:v>
      </x:c>
      <x:c r="C578" s="20" t="str">
        <x:v>Finanzas + Procuración de Fondos</x:v>
      </x:c>
      <x:c r="D578" s="20" t="str">
        <x:v>REC-F02</x:v>
      </x:c>
      <x:c r="E578" s="20" t="str">
        <x:v>DEN</x:v>
      </x:c>
      <x:c r="F578" s="20" t="str">
        <x:v>ingresos totales de financiamiento</x:v>
      </x:c>
      <x:c r="G578" s="20" t="str">
        <x:v>Moneda</x:v>
      </x:c>
      <x:c r="H578" s="20" t="n">
        <x:v>100</x:v>
      </x:c>
      <x:c r="I578" s="20" t="str">
        <x:v>Historical Dummy</x:v>
      </x:c>
      <x:c r="J578" s="20" t="str">
        <x:v>YES</x:v>
      </x:c>
    </x:row>
    <x:row r="579">
      <x:c r="A579" s="20" t="str">
        <x:v>REC-F02_DEN</x:v>
      </x:c>
      <x:c r="B579" s="20" t="n">
        <x:v>2024</x:v>
      </x:c>
      <x:c r="C579" s="20" t="str">
        <x:v>Finanzas + Procuración de Fondos</x:v>
      </x:c>
      <x:c r="D579" s="20" t="str">
        <x:v>REC-F02</x:v>
      </x:c>
      <x:c r="E579" s="20" t="str">
        <x:v>DEN</x:v>
      </x:c>
      <x:c r="F579" s="20" t="str">
        <x:v>ingresos totales de financiamiento</x:v>
      </x:c>
      <x:c r="G579" s="20" t="str">
        <x:v>Moneda</x:v>
      </x:c>
      <x:c r="H579" s="20" t="n">
        <x:v>108</x:v>
      </x:c>
      <x:c r="I579" s="20" t="str">
        <x:v>Historical Dummy</x:v>
      </x:c>
      <x:c r="J579" s="20" t="str">
        <x:v>YES</x:v>
      </x:c>
    </x:row>
    <x:row r="580">
      <x:c r="A580" s="20" t="str">
        <x:v>REC-F02_DEN</x:v>
      </x:c>
      <x:c r="B580" s="20" t="n">
        <x:v>2025</x:v>
      </x:c>
      <x:c r="C580" s="20" t="str">
        <x:v>Finanzas + Procuración de Fondos</x:v>
      </x:c>
      <x:c r="D580" s="20" t="str">
        <x:v>REC-F02</x:v>
      </x:c>
      <x:c r="E580" s="20" t="str">
        <x:v>DEN</x:v>
      </x:c>
      <x:c r="F580" s="20" t="str">
        <x:v>ingresos totales de financiamiento</x:v>
      </x:c>
      <x:c r="G580" s="20" t="str">
        <x:v>Moneda</x:v>
      </x:c>
      <x:c r="H580" s="20" t="n">
        <x:v>116</x:v>
      </x:c>
      <x:c r="I580" s="20" t="str">
        <x:v>Historical Dummy</x:v>
      </x:c>
      <x:c r="J580" s="20" t="str">
        <x:v>YES</x:v>
      </x:c>
    </x:row>
    <x:row r="581">
      <x:c r="A581" s="20" t="str">
        <x:v>REC-F02_DEN</x:v>
      </x:c>
      <x:c r="B581" s="20" t="n">
        <x:v>2026</x:v>
      </x:c>
      <x:c r="C581" s="20" t="str">
        <x:v>Finanzas + Procuración de Fondos</x:v>
      </x:c>
      <x:c r="D581" s="20" t="str">
        <x:v>REC-F02</x:v>
      </x:c>
      <x:c r="E581" s="20" t="str">
        <x:v>DEN</x:v>
      </x:c>
      <x:c r="F581" s="20" t="str">
        <x:v>ingresos totales de financiamiento</x:v>
      </x:c>
      <x:c r="G581" s="20" t="str">
        <x:v>Moneda</x:v>
      </x:c>
      <x:c r="H581" s="20" t="n">
        <x:v>125</x:v>
      </x:c>
      <x:c r="I581" s="20" t="str">
        <x:v>Plan-Year Dummy</x:v>
      </x:c>
      <x:c r="J581" s="20" t="str">
        <x:v>YES</x:v>
      </x:c>
    </x:row>
    <x:row r="582">
      <x:c r="A582" s="20" t="str">
        <x:v>REC-F03_NUM</x:v>
      </x:c>
      <x:c r="B582" s="20" t="n">
        <x:v>2023</x:v>
      </x:c>
      <x:c r="C582" s="20" t="str">
        <x:v>Procuración de Fondos</x:v>
      </x:c>
      <x:c r="D582" s="20" t="str">
        <x:v>REC-F03</x:v>
      </x:c>
      <x:c r="E582" s="20" t="str">
        <x:v>NUM</x:v>
      </x:c>
      <x:c r="F582" s="20" t="str">
        <x:v>Donantes recurrentes del periodo anterior que continúan activos</x:v>
      </x:c>
      <x:c r="G582" s="20" t="str">
        <x:v># / base</x:v>
      </x:c>
      <x:c r="H582" s="20" t="n">
        <x:v>128</x:v>
      </x:c>
      <x:c r="I582" s="20" t="str">
        <x:v>Historical Dummy</x:v>
      </x:c>
      <x:c r="J582" s="20" t="str">
        <x:v>YES</x:v>
      </x:c>
    </x:row>
    <x:row r="583">
      <x:c r="A583" s="20" t="str">
        <x:v>REC-F03_NUM</x:v>
      </x:c>
      <x:c r="B583" s="20" t="n">
        <x:v>2024</x:v>
      </x:c>
      <x:c r="C583" s="20" t="str">
        <x:v>Procuración de Fondos</x:v>
      </x:c>
      <x:c r="D583" s="20" t="str">
        <x:v>REC-F03</x:v>
      </x:c>
      <x:c r="E583" s="20" t="str">
        <x:v>NUM</x:v>
      </x:c>
      <x:c r="F583" s="20" t="str">
        <x:v>Donantes recurrentes del periodo anterior que continúan activos</x:v>
      </x:c>
      <x:c r="G583" s="20" t="str">
        <x:v># / base</x:v>
      </x:c>
      <x:c r="H583" s="20" t="n">
        <x:v>147</x:v>
      </x:c>
      <x:c r="I583" s="20" t="str">
        <x:v>Historical Dummy</x:v>
      </x:c>
      <x:c r="J583" s="20" t="str">
        <x:v>YES</x:v>
      </x:c>
    </x:row>
    <x:row r="584">
      <x:c r="A584" s="20" t="str">
        <x:v>REC-F03_NUM</x:v>
      </x:c>
      <x:c r="B584" s="20" t="n">
        <x:v>2025</x:v>
      </x:c>
      <x:c r="C584" s="20" t="str">
        <x:v>Procuración de Fondos</x:v>
      </x:c>
      <x:c r="D584" s="20" t="str">
        <x:v>REC-F03</x:v>
      </x:c>
      <x:c r="E584" s="20" t="str">
        <x:v>NUM</x:v>
      </x:c>
      <x:c r="F584" s="20" t="str">
        <x:v>Donantes recurrentes del periodo anterior que continúan activos</x:v>
      </x:c>
      <x:c r="G584" s="20" t="str">
        <x:v># / base</x:v>
      </x:c>
      <x:c r="H584" s="20" t="n">
        <x:v>169</x:v>
      </x:c>
      <x:c r="I584" s="20" t="str">
        <x:v>Historical Dummy</x:v>
      </x:c>
      <x:c r="J584" s="20" t="str">
        <x:v>YES</x:v>
      </x:c>
    </x:row>
    <x:row r="585">
      <x:c r="A585" s="20" t="str">
        <x:v>REC-F03_NUM</x:v>
      </x:c>
      <x:c r="B585" s="20" t="n">
        <x:v>2026</x:v>
      </x:c>
      <x:c r="C585" s="20" t="str">
        <x:v>Procuración de Fondos</x:v>
      </x:c>
      <x:c r="D585" s="20" t="str">
        <x:v>REC-F03</x:v>
      </x:c>
      <x:c r="E585" s="20" t="str">
        <x:v>NUM</x:v>
      </x:c>
      <x:c r="F585" s="20" t="str">
        <x:v>Donantes recurrentes del periodo anterior que continúan activos</x:v>
      </x:c>
      <x:c r="G585" s="20" t="str">
        <x:v># / base</x:v>
      </x:c>
      <x:c r="H585" s="20" t="n">
        <x:v>196</x:v>
      </x:c>
      <x:c r="I585" s="20" t="str">
        <x:v>Plan-Year Dummy</x:v>
      </x:c>
      <x:c r="J585" s="20" t="str">
        <x:v>YES</x:v>
      </x:c>
    </x:row>
    <x:row r="586">
      <x:c r="A586" s="20" t="str">
        <x:v>REC-F03_DEN</x:v>
      </x:c>
      <x:c r="B586" s="20" t="n">
        <x:v>2023</x:v>
      </x:c>
      <x:c r="C586" s="20" t="str">
        <x:v>Procuración de Fondos</x:v>
      </x:c>
      <x:c r="D586" s="20" t="str">
        <x:v>REC-F03</x:v>
      </x:c>
      <x:c r="E586" s="20" t="str">
        <x:v>DEN</x:v>
      </x:c>
      <x:c r="F586" s="20" t="str">
        <x:v>donantes recurrentes elegibles</x:v>
      </x:c>
      <x:c r="G586" s="20" t="str">
        <x:v># / base</x:v>
      </x:c>
      <x:c r="H586" s="20" t="n">
        <x:v>180</x:v>
      </x:c>
      <x:c r="I586" s="20" t="str">
        <x:v>Historical Dummy</x:v>
      </x:c>
      <x:c r="J586" s="20" t="str">
        <x:v>YES</x:v>
      </x:c>
    </x:row>
    <x:row r="587">
      <x:c r="A587" s="20" t="str">
        <x:v>REC-F03_DEN</x:v>
      </x:c>
      <x:c r="B587" s="20" t="n">
        <x:v>2024</x:v>
      </x:c>
      <x:c r="C587" s="20" t="str">
        <x:v>Procuración de Fondos</x:v>
      </x:c>
      <x:c r="D587" s="20" t="str">
        <x:v>REC-F03</x:v>
      </x:c>
      <x:c r="E587" s="20" t="str">
        <x:v>DEN</x:v>
      </x:c>
      <x:c r="F587" s="20" t="str">
        <x:v>donantes recurrentes elegibles</x:v>
      </x:c>
      <x:c r="G587" s="20" t="str">
        <x:v># / base</x:v>
      </x:c>
      <x:c r="H587" s="20" t="n">
        <x:v>194</x:v>
      </x:c>
      <x:c r="I587" s="20" t="str">
        <x:v>Historical Dummy</x:v>
      </x:c>
      <x:c r="J587" s="20" t="str">
        <x:v>YES</x:v>
      </x:c>
    </x:row>
    <x:row r="588">
      <x:c r="A588" s="20" t="str">
        <x:v>REC-F03_DEN</x:v>
      </x:c>
      <x:c r="B588" s="20" t="n">
        <x:v>2025</x:v>
      </x:c>
      <x:c r="C588" s="20" t="str">
        <x:v>Procuración de Fondos</x:v>
      </x:c>
      <x:c r="D588" s="20" t="str">
        <x:v>REC-F03</x:v>
      </x:c>
      <x:c r="E588" s="20" t="str">
        <x:v>DEN</x:v>
      </x:c>
      <x:c r="F588" s="20" t="str">
        <x:v>donantes recurrentes elegibles</x:v>
      </x:c>
      <x:c r="G588" s="20" t="str">
        <x:v># / base</x:v>
      </x:c>
      <x:c r="H588" s="20" t="n">
        <x:v>209</x:v>
      </x:c>
      <x:c r="I588" s="20" t="str">
        <x:v>Historical Dummy</x:v>
      </x:c>
      <x:c r="J588" s="20" t="str">
        <x:v>YES</x:v>
      </x:c>
    </x:row>
    <x:row r="589">
      <x:c r="A589" s="20" t="str">
        <x:v>REC-F03_DEN</x:v>
      </x:c>
      <x:c r="B589" s="20" t="n">
        <x:v>2026</x:v>
      </x:c>
      <x:c r="C589" s="20" t="str">
        <x:v>Procuración de Fondos</x:v>
      </x:c>
      <x:c r="D589" s="20" t="str">
        <x:v>REC-F03</x:v>
      </x:c>
      <x:c r="E589" s="20" t="str">
        <x:v>DEN</x:v>
      </x:c>
      <x:c r="F589" s="20" t="str">
        <x:v>donantes recurrentes elegibles</x:v>
      </x:c>
      <x:c r="G589" s="20" t="str">
        <x:v># / base</x:v>
      </x:c>
      <x:c r="H589" s="20" t="n">
        <x:v>225</x:v>
      </x:c>
      <x:c r="I589" s="20" t="str">
        <x:v>Plan-Year Dummy</x:v>
      </x:c>
      <x:c r="J589" s="20" t="str">
        <x:v>YES</x:v>
      </x:c>
    </x:row>
    <x:row r="590">
      <x:c r="A590" s="20" t="str">
        <x:v>REC-F04_NUM</x:v>
      </x:c>
      <x:c r="B590" s="20" t="n">
        <x:v>2023</x:v>
      </x:c>
      <x:c r="C590" s="20" t="str">
        <x:v>Procuración de Fondos</x:v>
      </x:c>
      <x:c r="D590" s="20" t="str">
        <x:v>REC-F04</x:v>
      </x:c>
      <x:c r="E590" s="20" t="str">
        <x:v>NUM</x:v>
      </x:c>
      <x:c r="F590" s="20" t="str">
        <x:v>Valor ponderado por probabilidad de oportunidades activas</x:v>
      </x:c>
      <x:c r="G590" s="20" t="str">
        <x:v>%</x:v>
      </x:c>
      <x:c r="H590" s="20" t="n">
        <x:v>92</x:v>
      </x:c>
      <x:c r="I590" s="20" t="str">
        <x:v>Historical Dummy</x:v>
      </x:c>
      <x:c r="J590" s="20" t="str">
        <x:v>YES</x:v>
      </x:c>
    </x:row>
    <x:row r="591">
      <x:c r="A591" s="20" t="str">
        <x:v>REC-F04_NUM</x:v>
      </x:c>
      <x:c r="B591" s="20" t="n">
        <x:v>2024</x:v>
      </x:c>
      <x:c r="C591" s="20" t="str">
        <x:v>Procuración de Fondos</x:v>
      </x:c>
      <x:c r="D591" s="20" t="str">
        <x:v>REC-F04</x:v>
      </x:c>
      <x:c r="E591" s="20" t="str">
        <x:v>NUM</x:v>
      </x:c>
      <x:c r="F591" s="20" t="str">
        <x:v>Valor ponderado por probabilidad de oportunidades activas</x:v>
      </x:c>
      <x:c r="G591" s="20" t="str">
        <x:v>%</x:v>
      </x:c>
      <x:c r="H591" s="20" t="n">
        <x:v>118.8</x:v>
      </x:c>
      <x:c r="I591" s="20" t="str">
        <x:v>Historical Dummy</x:v>
      </x:c>
      <x:c r="J591" s="20" t="str">
        <x:v>YES</x:v>
      </x:c>
    </x:row>
    <x:row r="592">
      <x:c r="A592" s="20" t="str">
        <x:v>REC-F04_NUM</x:v>
      </x:c>
      <x:c r="B592" s="20" t="n">
        <x:v>2025</x:v>
      </x:c>
      <x:c r="C592" s="20" t="str">
        <x:v>Procuración de Fondos</x:v>
      </x:c>
      <x:c r="D592" s="20" t="str">
        <x:v>REC-F04</x:v>
      </x:c>
      <x:c r="E592" s="20" t="str">
        <x:v>NUM</x:v>
      </x:c>
      <x:c r="F592" s="20" t="str">
        <x:v>Valor ponderado por probabilidad de oportunidades activas</x:v>
      </x:c>
      <x:c r="G592" s="20" t="str">
        <x:v>%</x:v>
      </x:c>
      <x:c r="H592" s="20" t="n">
        <x:v>153.12</x:v>
      </x:c>
      <x:c r="I592" s="20" t="str">
        <x:v>Historical Dummy</x:v>
      </x:c>
      <x:c r="J592" s="20" t="str">
        <x:v>YES</x:v>
      </x:c>
    </x:row>
    <x:row r="593">
      <x:c r="A593" s="20" t="str">
        <x:v>REC-F04_NUM</x:v>
      </x:c>
      <x:c r="B593" s="20" t="n">
        <x:v>2026</x:v>
      </x:c>
      <x:c r="C593" s="20" t="str">
        <x:v>Procuración de Fondos</x:v>
      </x:c>
      <x:c r="D593" s="20" t="str">
        <x:v>REC-F04</x:v>
      </x:c>
      <x:c r="E593" s="20" t="str">
        <x:v>NUM</x:v>
      </x:c>
      <x:c r="F593" s="20" t="str">
        <x:v>Valor ponderado por probabilidad de oportunidades activas</x:v>
      </x:c>
      <x:c r="G593" s="20" t="str">
        <x:v>%</x:v>
      </x:c>
      <x:c r="H593" s="20" t="n">
        <x:v>197.5</x:v>
      </x:c>
      <x:c r="I593" s="20" t="str">
        <x:v>Plan-Year Dummy</x:v>
      </x:c>
      <x:c r="J593" s="20" t="str">
        <x:v>YES</x:v>
      </x:c>
    </x:row>
    <x:row r="594">
      <x:c r="A594" s="20" t="str">
        <x:v>REC-F04_DEN</x:v>
      </x:c>
      <x:c r="B594" s="20" t="n">
        <x:v>2023</x:v>
      </x:c>
      <x:c r="C594" s="20" t="str">
        <x:v>Procuración de Fondos</x:v>
      </x:c>
      <x:c r="D594" s="20" t="str">
        <x:v>REC-F04</x:v>
      </x:c>
      <x:c r="E594" s="20" t="str">
        <x:v>DEN</x:v>
      </x:c>
      <x:c r="F594" s="20" t="str">
        <x:v>necesidad de financiamiento de próximos 6 meses</x:v>
      </x:c>
      <x:c r="G594" s="20" t="str">
        <x:v># / base</x:v>
      </x:c>
      <x:c r="H594" s="20" t="n">
        <x:v>100</x:v>
      </x:c>
      <x:c r="I594" s="20" t="str">
        <x:v>Historical Dummy</x:v>
      </x:c>
      <x:c r="J594" s="20" t="str">
        <x:v>YES</x:v>
      </x:c>
    </x:row>
    <x:row r="595">
      <x:c r="A595" s="20" t="str">
        <x:v>REC-F04_DEN</x:v>
      </x:c>
      <x:c r="B595" s="20" t="n">
        <x:v>2024</x:v>
      </x:c>
      <x:c r="C595" s="20" t="str">
        <x:v>Procuración de Fondos</x:v>
      </x:c>
      <x:c r="D595" s="20" t="str">
        <x:v>REC-F04</x:v>
      </x:c>
      <x:c r="E595" s="20" t="str">
        <x:v>DEN</x:v>
      </x:c>
      <x:c r="F595" s="20" t="str">
        <x:v>necesidad de financiamiento de próximos 6 meses</x:v>
      </x:c>
      <x:c r="G595" s="20" t="str">
        <x:v># / base</x:v>
      </x:c>
      <x:c r="H595" s="20" t="n">
        <x:v>108</x:v>
      </x:c>
      <x:c r="I595" s="20" t="str">
        <x:v>Historical Dummy</x:v>
      </x:c>
      <x:c r="J595" s="20" t="str">
        <x:v>YES</x:v>
      </x:c>
    </x:row>
    <x:row r="596">
      <x:c r="A596" s="20" t="str">
        <x:v>REC-F04_DEN</x:v>
      </x:c>
      <x:c r="B596" s="20" t="n">
        <x:v>2025</x:v>
      </x:c>
      <x:c r="C596" s="20" t="str">
        <x:v>Procuración de Fondos</x:v>
      </x:c>
      <x:c r="D596" s="20" t="str">
        <x:v>REC-F04</x:v>
      </x:c>
      <x:c r="E596" s="20" t="str">
        <x:v>DEN</x:v>
      </x:c>
      <x:c r="F596" s="20" t="str">
        <x:v>necesidad de financiamiento de próximos 6 meses</x:v>
      </x:c>
      <x:c r="G596" s="20" t="str">
        <x:v># / base</x:v>
      </x:c>
      <x:c r="H596" s="20" t="n">
        <x:v>116</x:v>
      </x:c>
      <x:c r="I596" s="20" t="str">
        <x:v>Historical Dummy</x:v>
      </x:c>
      <x:c r="J596" s="20" t="str">
        <x:v>YES</x:v>
      </x:c>
    </x:row>
    <x:row r="597">
      <x:c r="A597" s="20" t="str">
        <x:v>REC-F04_DEN</x:v>
      </x:c>
      <x:c r="B597" s="20" t="n">
        <x:v>2026</x:v>
      </x:c>
      <x:c r="C597" s="20" t="str">
        <x:v>Procuración de Fondos</x:v>
      </x:c>
      <x:c r="D597" s="20" t="str">
        <x:v>REC-F04</x:v>
      </x:c>
      <x:c r="E597" s="20" t="str">
        <x:v>DEN</x:v>
      </x:c>
      <x:c r="F597" s="20" t="str">
        <x:v>necesidad de financiamiento de próximos 6 meses</x:v>
      </x:c>
      <x:c r="G597" s="20" t="str">
        <x:v># / base</x:v>
      </x:c>
      <x:c r="H597" s="20" t="n">
        <x:v>125</x:v>
      </x:c>
      <x:c r="I597" s="20" t="str">
        <x:v>Plan-Year Dummy</x:v>
      </x:c>
      <x:c r="J597" s="20" t="str">
        <x:v>YES</x:v>
      </x:c>
    </x:row>
    <x:row r="598">
      <x:c r="A598" s="20" t="str">
        <x:v>REC-F05_A</x:v>
      </x:c>
      <x:c r="B598" s="20" t="n">
        <x:v>2023</x:v>
      </x:c>
      <x:c r="C598" s="20" t="str">
        <x:v>Administración + Finanzas</x:v>
      </x:c>
      <x:c r="D598" s="20" t="str">
        <x:v>REC-F05</x:v>
      </x:c>
      <x:c r="E598" s="20" t="str">
        <x:v>A</x:v>
      </x:c>
      <x:c r="F598" s="20" t="str">
        <x:v>Gasto real</x:v>
      </x:c>
      <x:c r="G598" s="20" t="str">
        <x:v>Moneda</x:v>
      </x:c>
      <x:c r="H598" s="20" t="n">
        <x:v>1095000</x:v>
      </x:c>
      <x:c r="I598" s="20" t="str">
        <x:v>Historical Dummy</x:v>
      </x:c>
      <x:c r="J598" s="20" t="str">
        <x:v>YES</x:v>
      </x:c>
    </x:row>
    <x:row r="599">
      <x:c r="A599" s="20" t="str">
        <x:v>REC-F05_A</x:v>
      </x:c>
      <x:c r="B599" s="20" t="n">
        <x:v>2024</x:v>
      </x:c>
      <x:c r="C599" s="20" t="str">
        <x:v>Administración + Finanzas</x:v>
      </x:c>
      <x:c r="D599" s="20" t="str">
        <x:v>REC-F05</x:v>
      </x:c>
      <x:c r="E599" s="20" t="str">
        <x:v>A</x:v>
      </x:c>
      <x:c r="F599" s="20" t="str">
        <x:v>Gasto real</x:v>
      </x:c>
      <x:c r="G599" s="20" t="str">
        <x:v>Moneda</x:v>
      </x:c>
      <x:c r="H599" s="20" t="n">
        <x:v>1157760</x:v>
      </x:c>
      <x:c r="I599" s="20" t="str">
        <x:v>Historical Dummy</x:v>
      </x:c>
      <x:c r="J599" s="20" t="str">
        <x:v>YES</x:v>
      </x:c>
    </x:row>
    <x:row r="600">
      <x:c r="A600" s="20" t="str">
        <x:v>REC-F05_A</x:v>
      </x:c>
      <x:c r="B600" s="20" t="n">
        <x:v>2025</x:v>
      </x:c>
      <x:c r="C600" s="20" t="str">
        <x:v>Administración + Finanzas</x:v>
      </x:c>
      <x:c r="D600" s="20" t="str">
        <x:v>REC-F05</x:v>
      </x:c>
      <x:c r="E600" s="20" t="str">
        <x:v>A</x:v>
      </x:c>
      <x:c r="F600" s="20" t="str">
        <x:v>Gasto real</x:v>
      </x:c>
      <x:c r="G600" s="20" t="str">
        <x:v>Moneda</x:v>
      </x:c>
      <x:c r="H600" s="20" t="n">
        <x:v>1227280</x:v>
      </x:c>
      <x:c r="I600" s="20" t="str">
        <x:v>Historical Dummy</x:v>
      </x:c>
      <x:c r="J600" s="20" t="str">
        <x:v>YES</x:v>
      </x:c>
    </x:row>
    <x:row r="601">
      <x:c r="A601" s="20" t="str">
        <x:v>REC-F05_A</x:v>
      </x:c>
      <x:c r="B601" s="20" t="n">
        <x:v>2026</x:v>
      </x:c>
      <x:c r="C601" s="20" t="str">
        <x:v>Administración + Finanzas</x:v>
      </x:c>
      <x:c r="D601" s="20" t="str">
        <x:v>REC-F05</x:v>
      </x:c>
      <x:c r="E601" s="20" t="str">
        <x:v>A</x:v>
      </x:c>
      <x:c r="F601" s="20" t="str">
        <x:v>Gasto real</x:v>
      </x:c>
      <x:c r="G601" s="20" t="str">
        <x:v>Moneda</x:v>
      </x:c>
      <x:c r="H601" s="20" t="n">
        <x:v>1292080</x:v>
      </x:c>
      <x:c r="I601" s="20" t="str">
        <x:v>Plan-Year Dummy</x:v>
      </x:c>
      <x:c r="J601" s="20" t="str">
        <x:v>YES</x:v>
      </x:c>
    </x:row>
    <x:row r="602">
      <x:c r="A602" s="20" t="str">
        <x:v>REC-F05_B</x:v>
      </x:c>
      <x:c r="B602" s="20" t="n">
        <x:v>2023</x:v>
      </x:c>
      <x:c r="C602" s="20" t="str">
        <x:v>Administración + Finanzas</x:v>
      </x:c>
      <x:c r="D602" s="20" t="str">
        <x:v>REC-F05</x:v>
      </x:c>
      <x:c r="E602" s="20" t="str">
        <x:v>B</x:v>
      </x:c>
      <x:c r="F602" s="20" t="str">
        <x:v>presupuesto ajustado aprobado</x:v>
      </x:c>
      <x:c r="G602" s="20" t="str">
        <x:v>Moneda</x:v>
      </x:c>
      <x:c r="H602" s="20" t="n">
        <x:v>1000000</x:v>
      </x:c>
      <x:c r="I602" s="20" t="str">
        <x:v>Historical Dummy</x:v>
      </x:c>
      <x:c r="J602" s="20" t="str">
        <x:v>YES</x:v>
      </x:c>
    </x:row>
    <x:row r="603">
      <x:c r="A603" s="20" t="str">
        <x:v>REC-F05_B</x:v>
      </x:c>
      <x:c r="B603" s="20" t="n">
        <x:v>2024</x:v>
      </x:c>
      <x:c r="C603" s="20" t="str">
        <x:v>Administración + Finanzas</x:v>
      </x:c>
      <x:c r="D603" s="20" t="str">
        <x:v>REC-F05</x:v>
      </x:c>
      <x:c r="E603" s="20" t="str">
        <x:v>B</x:v>
      </x:c>
      <x:c r="F603" s="20" t="str">
        <x:v>presupuesto ajustado aprobado</x:v>
      </x:c>
      <x:c r="G603" s="20" t="str">
        <x:v>Moneda</x:v>
      </x:c>
      <x:c r="H603" s="20" t="n">
        <x:v>1080000</x:v>
      </x:c>
      <x:c r="I603" s="20" t="str">
        <x:v>Historical Dummy</x:v>
      </x:c>
      <x:c r="J603" s="20" t="str">
        <x:v>YES</x:v>
      </x:c>
    </x:row>
    <x:row r="604">
      <x:c r="A604" s="20" t="str">
        <x:v>REC-F05_B</x:v>
      </x:c>
      <x:c r="B604" s="20" t="n">
        <x:v>2025</x:v>
      </x:c>
      <x:c r="C604" s="20" t="str">
        <x:v>Administración + Finanzas</x:v>
      </x:c>
      <x:c r="D604" s="20" t="str">
        <x:v>REC-F05</x:v>
      </x:c>
      <x:c r="E604" s="20" t="str">
        <x:v>B</x:v>
      </x:c>
      <x:c r="F604" s="20" t="str">
        <x:v>presupuesto ajustado aprobado</x:v>
      </x:c>
      <x:c r="G604" s="20" t="str">
        <x:v>Moneda</x:v>
      </x:c>
      <x:c r="H604" s="20" t="n">
        <x:v>1160000</x:v>
      </x:c>
      <x:c r="I604" s="20" t="str">
        <x:v>Historical Dummy</x:v>
      </x:c>
      <x:c r="J604" s="20" t="str">
        <x:v>YES</x:v>
      </x:c>
    </x:row>
    <x:row r="605">
      <x:c r="A605" s="20" t="str">
        <x:v>REC-F05_B</x:v>
      </x:c>
      <x:c r="B605" s="20" t="n">
        <x:v>2026</x:v>
      </x:c>
      <x:c r="C605" s="20" t="str">
        <x:v>Administración + Finanzas</x:v>
      </x:c>
      <x:c r="D605" s="20" t="str">
        <x:v>REC-F05</x:v>
      </x:c>
      <x:c r="E605" s="20" t="str">
        <x:v>B</x:v>
      </x:c>
      <x:c r="F605" s="20" t="str">
        <x:v>presupuesto ajustado aprobado</x:v>
      </x:c>
      <x:c r="G605" s="20" t="str">
        <x:v>Moneda</x:v>
      </x:c>
      <x:c r="H605" s="20" t="n">
        <x:v>1240000</x:v>
      </x:c>
      <x:c r="I605" s="20" t="str">
        <x:v>Plan-Year Dummy</x:v>
      </x:c>
      <x:c r="J605" s="20" t="str">
        <x:v>YES</x:v>
      </x:c>
    </x:row>
    <x:row r="606">
      <x:c r="A606" s="20" t="str">
        <x:v>REC-F06_COST_DIRECT</x:v>
      </x:c>
      <x:c r="B606" s="20" t="n">
        <x:v>2023</x:v>
      </x:c>
      <x:c r="C606" s="20" t="str">
        <x:v>Administración + Operaciones</x:v>
      </x:c>
      <x:c r="D606" s="20" t="str">
        <x:v>REC-F06</x:v>
      </x:c>
      <x:c r="E606" s="20" t="str">
        <x:v>COST_DIRECT</x:v>
      </x:c>
      <x:c r="F606" s="20" t="str">
        <x:v>Costo directo</x:v>
      </x:c>
      <x:c r="G606" s="20" t="str">
        <x:v>USD</x:v>
      </x:c>
      <x:c r="H606" s="20" t="n">
        <x:v>2238600</x:v>
      </x:c>
      <x:c r="I606" s="20" t="str">
        <x:v>Historical Dummy</x:v>
      </x:c>
      <x:c r="J606" s="20" t="str">
        <x:v>YES</x:v>
      </x:c>
    </x:row>
    <x:row r="607">
      <x:c r="A607" s="20" t="str">
        <x:v>REC-F06_COST_DIRECT</x:v>
      </x:c>
      <x:c r="B607" s="20" t="n">
        <x:v>2024</x:v>
      </x:c>
      <x:c r="C607" s="20" t="str">
        <x:v>Administración + Operaciones</x:v>
      </x:c>
      <x:c r="D607" s="20" t="str">
        <x:v>REC-F06</x:v>
      </x:c>
      <x:c r="E607" s="20" t="str">
        <x:v>COST_DIRECT</x:v>
      </x:c>
      <x:c r="F607" s="20" t="str">
        <x:v>Costo directo</x:v>
      </x:c>
      <x:c r="G607" s="20" t="str">
        <x:v>USD</x:v>
      </x:c>
      <x:c r="H607" s="20" t="n">
        <x:v>2332080</x:v>
      </x:c>
      <x:c r="I607" s="20" t="str">
        <x:v>Historical Dummy</x:v>
      </x:c>
      <x:c r="J607" s="20" t="str">
        <x:v>YES</x:v>
      </x:c>
    </x:row>
    <x:row r="608">
      <x:c r="A608" s="20" t="str">
        <x:v>REC-F06_COST_DIRECT</x:v>
      </x:c>
      <x:c r="B608" s="20" t="n">
        <x:v>2025</x:v>
      </x:c>
      <x:c r="C608" s="20" t="str">
        <x:v>Administración + Operaciones</x:v>
      </x:c>
      <x:c r="D608" s="20" t="str">
        <x:v>REC-F06</x:v>
      </x:c>
      <x:c r="E608" s="20" t="str">
        <x:v>COST_DIRECT</x:v>
      </x:c>
      <x:c r="F608" s="20" t="str">
        <x:v>Costo directo</x:v>
      </x:c>
      <x:c r="G608" s="20" t="str">
        <x:v>USD</x:v>
      </x:c>
      <x:c r="H608" s="20" t="n">
        <x:v>2443600</x:v>
      </x:c>
      <x:c r="I608" s="20" t="str">
        <x:v>Historical Dummy</x:v>
      </x:c>
      <x:c r="J608" s="20" t="str">
        <x:v>YES</x:v>
      </x:c>
    </x:row>
    <x:row r="609">
      <x:c r="A609" s="20" t="str">
        <x:v>REC-F06_COST_DIRECT</x:v>
      </x:c>
      <x:c r="B609" s="20" t="n">
        <x:v>2026</x:v>
      </x:c>
      <x:c r="C609" s="20" t="str">
        <x:v>Administración + Operaciones</x:v>
      </x:c>
      <x:c r="D609" s="20" t="str">
        <x:v>REC-F06</x:v>
      </x:c>
      <x:c r="E609" s="20" t="str">
        <x:v>COST_DIRECT</x:v>
      </x:c>
      <x:c r="F609" s="20" t="str">
        <x:v>Costo directo</x:v>
      </x:c>
      <x:c r="G609" s="20" t="str">
        <x:v>USD</x:v>
      </x:c>
      <x:c r="H609" s="20" t="n">
        <x:v>2619900</x:v>
      </x:c>
      <x:c r="I609" s="20" t="str">
        <x:v>Plan-Year Dummy</x:v>
      </x:c>
      <x:c r="J609" s="20" t="str">
        <x:v>YES</x:v>
      </x:c>
    </x:row>
    <x:row r="610">
      <x:c r="A610" s="20" t="str">
        <x:v>REC-F06_COST_ALLOC</x:v>
      </x:c>
      <x:c r="B610" s="20" t="n">
        <x:v>2023</x:v>
      </x:c>
      <x:c r="C610" s="20" t="str">
        <x:v>Administración + Operaciones</x:v>
      </x:c>
      <x:c r="D610" s="20" t="str">
        <x:v>REC-F06</x:v>
      </x:c>
      <x:c r="E610" s="20" t="str">
        <x:v>COST_ALLOC</x:v>
      </x:c>
      <x:c r="F610" s="20" t="str">
        <x:v>asignación acordada de costos de programa</x:v>
      </x:c>
      <x:c r="G610" s="20" t="str">
        <x:v>USD</x:v>
      </x:c>
      <x:c r="H610" s="20" t="n">
        <x:v>491400</x:v>
      </x:c>
      <x:c r="I610" s="20" t="str">
        <x:v>Historical Dummy</x:v>
      </x:c>
      <x:c r="J610" s="20" t="str">
        <x:v>YES</x:v>
      </x:c>
    </x:row>
    <x:row r="611">
      <x:c r="A611" s="20" t="str">
        <x:v>REC-F06_COST_ALLOC</x:v>
      </x:c>
      <x:c r="B611" s="20" t="n">
        <x:v>2024</x:v>
      </x:c>
      <x:c r="C611" s="20" t="str">
        <x:v>Administración + Operaciones</x:v>
      </x:c>
      <x:c r="D611" s="20" t="str">
        <x:v>REC-F06</x:v>
      </x:c>
      <x:c r="E611" s="20" t="str">
        <x:v>COST_ALLOC</x:v>
      </x:c>
      <x:c r="F611" s="20" t="str">
        <x:v>asignación acordada de costos de programa</x:v>
      </x:c>
      <x:c r="G611" s="20" t="str">
        <x:v>USD</x:v>
      </x:c>
      <x:c r="H611" s="20" t="n">
        <x:v>511920</x:v>
      </x:c>
      <x:c r="I611" s="20" t="str">
        <x:v>Historical Dummy</x:v>
      </x:c>
      <x:c r="J611" s="20" t="str">
        <x:v>YES</x:v>
      </x:c>
    </x:row>
    <x:row r="612">
      <x:c r="A612" s="20" t="str">
        <x:v>REC-F06_COST_ALLOC</x:v>
      </x:c>
      <x:c r="B612" s="20" t="n">
        <x:v>2025</x:v>
      </x:c>
      <x:c r="C612" s="20" t="str">
        <x:v>Administración + Operaciones</x:v>
      </x:c>
      <x:c r="D612" s="20" t="str">
        <x:v>REC-F06</x:v>
      </x:c>
      <x:c r="E612" s="20" t="str">
        <x:v>COST_ALLOC</x:v>
      </x:c>
      <x:c r="F612" s="20" t="str">
        <x:v>asignación acordada de costos de programa</x:v>
      </x:c>
      <x:c r="G612" s="20" t="str">
        <x:v>USD</x:v>
      </x:c>
      <x:c r="H612" s="20" t="n">
        <x:v>536400</x:v>
      </x:c>
      <x:c r="I612" s="20" t="str">
        <x:v>Historical Dummy</x:v>
      </x:c>
      <x:c r="J612" s="20" t="str">
        <x:v>YES</x:v>
      </x:c>
    </x:row>
    <x:row r="613">
      <x:c r="A613" s="20" t="str">
        <x:v>REC-F06_COST_ALLOC</x:v>
      </x:c>
      <x:c r="B613" s="20" t="n">
        <x:v>2026</x:v>
      </x:c>
      <x:c r="C613" s="20" t="str">
        <x:v>Administración + Operaciones</x:v>
      </x:c>
      <x:c r="D613" s="20" t="str">
        <x:v>REC-F06</x:v>
      </x:c>
      <x:c r="E613" s="20" t="str">
        <x:v>COST_ALLOC</x:v>
      </x:c>
      <x:c r="F613" s="20" t="str">
        <x:v>asignación acordada de costos de programa</x:v>
      </x:c>
      <x:c r="G613" s="20" t="str">
        <x:v>USD</x:v>
      </x:c>
      <x:c r="H613" s="20" t="n">
        <x:v>575100</x:v>
      </x:c>
      <x:c r="I613" s="20" t="str">
        <x:v>Plan-Year Dummy</x:v>
      </x:c>
      <x:c r="J613" s="20" t="str">
        <x:v>YES</x:v>
      </x:c>
    </x:row>
    <x:row r="614">
      <x:c r="A614" s="20" t="str">
        <x:v>REC-F06_DEN</x:v>
      </x:c>
      <x:c r="B614" s="20" t="n">
        <x:v>2023</x:v>
      </x:c>
      <x:c r="C614" s="20" t="str">
        <x:v>Administración + Operaciones</x:v>
      </x:c>
      <x:c r="D614" s="20" t="str">
        <x:v>REC-F06</x:v>
      </x:c>
      <x:c r="E614" s="20" t="str">
        <x:v>DEN</x:v>
      </x:c>
      <x:c r="F614" s="20" t="str">
        <x:v>beneficiarios válidos atendidos</x:v>
      </x:c>
      <x:c r="G614" s="20" t="str">
        <x:v># / base</x:v>
      </x:c>
      <x:c r="H614" s="20" t="n">
        <x:v>650</x:v>
      </x:c>
      <x:c r="I614" s="20" t="str">
        <x:v>Historical Dummy</x:v>
      </x:c>
      <x:c r="J614" s="20" t="str">
        <x:v>YES</x:v>
      </x:c>
    </x:row>
    <x:row r="615">
      <x:c r="A615" s="20" t="str">
        <x:v>REC-F06_DEN</x:v>
      </x:c>
      <x:c r="B615" s="20" t="n">
        <x:v>2024</x:v>
      </x:c>
      <x:c r="C615" s="20" t="str">
        <x:v>Administración + Operaciones</x:v>
      </x:c>
      <x:c r="D615" s="20" t="str">
        <x:v>REC-F06</x:v>
      </x:c>
      <x:c r="E615" s="20" t="str">
        <x:v>DEN</x:v>
      </x:c>
      <x:c r="F615" s="20" t="str">
        <x:v>beneficiarios válidos atendidos</x:v>
      </x:c>
      <x:c r="G615" s="20" t="str">
        <x:v># / base</x:v>
      </x:c>
      <x:c r="H615" s="20" t="n">
        <x:v>720</x:v>
      </x:c>
      <x:c r="I615" s="20" t="str">
        <x:v>Historical Dummy</x:v>
      </x:c>
      <x:c r="J615" s="20" t="str">
        <x:v>YES</x:v>
      </x:c>
    </x:row>
    <x:row r="616">
      <x:c r="A616" s="20" t="str">
        <x:v>REC-F06_DEN</x:v>
      </x:c>
      <x:c r="B616" s="20" t="n">
        <x:v>2025</x:v>
      </x:c>
      <x:c r="C616" s="20" t="str">
        <x:v>Administración + Operaciones</x:v>
      </x:c>
      <x:c r="D616" s="20" t="str">
        <x:v>REC-F06</x:v>
      </x:c>
      <x:c r="E616" s="20" t="str">
        <x:v>DEN</x:v>
      </x:c>
      <x:c r="F616" s="20" t="str">
        <x:v>beneficiarios válidos atendidos</x:v>
      </x:c>
      <x:c r="G616" s="20" t="str">
        <x:v># / base</x:v>
      </x:c>
      <x:c r="H616" s="20" t="n">
        <x:v>800</x:v>
      </x:c>
      <x:c r="I616" s="20" t="str">
        <x:v>Historical Dummy</x:v>
      </x:c>
      <x:c r="J616" s="20" t="str">
        <x:v>YES</x:v>
      </x:c>
    </x:row>
    <x:row r="617">
      <x:c r="A617" s="20" t="str">
        <x:v>REC-F06_DEN</x:v>
      </x:c>
      <x:c r="B617" s="20" t="n">
        <x:v>2026</x:v>
      </x:c>
      <x:c r="C617" s="20" t="str">
        <x:v>Administración + Operaciones</x:v>
      </x:c>
      <x:c r="D617" s="20" t="str">
        <x:v>REC-F06</x:v>
      </x:c>
      <x:c r="E617" s="20" t="str">
        <x:v>DEN</x:v>
      </x:c>
      <x:c r="F617" s="20" t="str">
        <x:v>beneficiarios válidos atendidos</x:v>
      </x:c>
      <x:c r="G617" s="20" t="str">
        <x:v># / base</x:v>
      </x:c>
      <x:c r="H617" s="20" t="n">
        <x:v>900</x:v>
      </x:c>
      <x:c r="I617" s="20" t="str">
        <x:v>Plan-Year Dummy</x:v>
      </x:c>
      <x:c r="J617" s="20" t="str">
        <x:v>YES</x:v>
      </x:c>
    </x:row>
    <x:row r="618">
      <x:c r="A618" s="20" t="str">
        <x:v>REC-P01_NUM</x:v>
      </x:c>
      <x:c r="B618" s="20" t="n">
        <x:v>2023</x:v>
      </x:c>
      <x:c r="C618" s="20" t="str">
        <x:v>Operaciones</x:v>
      </x:c>
      <x:c r="D618" s="20" t="str">
        <x:v>REC-P01</x:v>
      </x:c>
      <x:c r="E618" s="20" t="str">
        <x:v>NUM</x:v>
      </x:c>
      <x:c r="F618" s="20" t="str">
        <x:v>Programas/ediciones ejecutados en alcance y ventana comprometidos</x:v>
      </x:c>
      <x:c r="G618" s="20" t="str">
        <x:v># / base</x:v>
      </x:c>
      <x:c r="H618" s="20" t="n">
        <x:v>9</x:v>
      </x:c>
      <x:c r="I618" s="20" t="str">
        <x:v>Historical Dummy</x:v>
      </x:c>
      <x:c r="J618" s="20" t="str">
        <x:v>YES</x:v>
      </x:c>
    </x:row>
    <x:row r="619">
      <x:c r="A619" s="20" t="str">
        <x:v>REC-P01_NUM</x:v>
      </x:c>
      <x:c r="B619" s="20" t="n">
        <x:v>2024</x:v>
      </x:c>
      <x:c r="C619" s="20" t="str">
        <x:v>Operaciones</x:v>
      </x:c>
      <x:c r="D619" s="20" t="str">
        <x:v>REC-P01</x:v>
      </x:c>
      <x:c r="E619" s="20" t="str">
        <x:v>NUM</x:v>
      </x:c>
      <x:c r="F619" s="20" t="str">
        <x:v>Programas/ediciones ejecutados en alcance y ventana comprometidos</x:v>
      </x:c>
      <x:c r="G619" s="20" t="str">
        <x:v># / base</x:v>
      </x:c>
      <x:c r="H619" s="20" t="n">
        <x:v>11</x:v>
      </x:c>
      <x:c r="I619" s="20" t="str">
        <x:v>Historical Dummy</x:v>
      </x:c>
      <x:c r="J619" s="20" t="str">
        <x:v>YES</x:v>
      </x:c>
    </x:row>
    <x:row r="620">
      <x:c r="A620" s="20" t="str">
        <x:v>REC-P01_NUM</x:v>
      </x:c>
      <x:c r="B620" s="20" t="n">
        <x:v>2025</x:v>
      </x:c>
      <x:c r="C620" s="20" t="str">
        <x:v>Operaciones</x:v>
      </x:c>
      <x:c r="D620" s="20" t="str">
        <x:v>REC-P01</x:v>
      </x:c>
      <x:c r="E620" s="20" t="str">
        <x:v>NUM</x:v>
      </x:c>
      <x:c r="F620" s="20" t="str">
        <x:v>Programas/ediciones ejecutados en alcance y ventana comprometidos</x:v>
      </x:c>
      <x:c r="G620" s="20" t="str">
        <x:v># / base</x:v>
      </x:c>
      <x:c r="H620" s="20" t="n">
        <x:v>12</x:v>
      </x:c>
      <x:c r="I620" s="20" t="str">
        <x:v>Historical Dummy</x:v>
      </x:c>
      <x:c r="J620" s="20" t="str">
        <x:v>YES</x:v>
      </x:c>
    </x:row>
    <x:row r="621">
      <x:c r="A621" s="20" t="str">
        <x:v>REC-P01_NUM</x:v>
      </x:c>
      <x:c r="B621" s="20" t="n">
        <x:v>2026</x:v>
      </x:c>
      <x:c r="C621" s="20" t="str">
        <x:v>Operaciones</x:v>
      </x:c>
      <x:c r="D621" s="20" t="str">
        <x:v>REC-P01</x:v>
      </x:c>
      <x:c r="E621" s="20" t="str">
        <x:v>NUM</x:v>
      </x:c>
      <x:c r="F621" s="20" t="str">
        <x:v>Programas/ediciones ejecutados en alcance y ventana comprometidos</x:v>
      </x:c>
      <x:c r="G621" s="20" t="str">
        <x:v># / base</x:v>
      </x:c>
      <x:c r="H621" s="20" t="n">
        <x:v>14</x:v>
      </x:c>
      <x:c r="I621" s="20" t="str">
        <x:v>Plan-Year Dummy</x:v>
      </x:c>
      <x:c r="J621" s="20" t="str">
        <x:v>YES</x:v>
      </x:c>
    </x:row>
    <x:row r="622">
      <x:c r="A622" s="20" t="str">
        <x:v>REC-P01_DEN</x:v>
      </x:c>
      <x:c r="B622" s="20" t="n">
        <x:v>2023</x:v>
      </x:c>
      <x:c r="C622" s="20" t="str">
        <x:v>Operaciones</x:v>
      </x:c>
      <x:c r="D622" s="20" t="str">
        <x:v>REC-P01</x:v>
      </x:c>
      <x:c r="E622" s="20" t="str">
        <x:v>DEN</x:v>
      </x:c>
      <x:c r="F622" s="20" t="str">
        <x:v>programas/ediciones programados</x:v>
      </x:c>
      <x:c r="G622" s="20" t="str">
        <x:v># / base</x:v>
      </x:c>
      <x:c r="H622" s="20" t="n">
        <x:v>12</x:v>
      </x:c>
      <x:c r="I622" s="20" t="str">
        <x:v>Historical Dummy</x:v>
      </x:c>
      <x:c r="J622" s="20" t="str">
        <x:v>YES</x:v>
      </x:c>
    </x:row>
    <x:row r="623">
      <x:c r="A623" s="20" t="str">
        <x:v>REC-P01_DEN</x:v>
      </x:c>
      <x:c r="B623" s="20" t="n">
        <x:v>2024</x:v>
      </x:c>
      <x:c r="C623" s="20" t="str">
        <x:v>Operaciones</x:v>
      </x:c>
      <x:c r="D623" s="20" t="str">
        <x:v>REC-P01</x:v>
      </x:c>
      <x:c r="E623" s="20" t="str">
        <x:v>DEN</x:v>
      </x:c>
      <x:c r="F623" s="20" t="str">
        <x:v>programas/ediciones programados</x:v>
      </x:c>
      <x:c r="G623" s="20" t="str">
        <x:v># / base</x:v>
      </x:c>
      <x:c r="H623" s="20" t="n">
        <x:v>13</x:v>
      </x:c>
      <x:c r="I623" s="20" t="str">
        <x:v>Historical Dummy</x:v>
      </x:c>
      <x:c r="J623" s="20" t="str">
        <x:v>YES</x:v>
      </x:c>
    </x:row>
    <x:row r="624">
      <x:c r="A624" s="20" t="str">
        <x:v>REC-P01_DEN</x:v>
      </x:c>
      <x:c r="B624" s="20" t="n">
        <x:v>2025</x:v>
      </x:c>
      <x:c r="C624" s="20" t="str">
        <x:v>Operaciones</x:v>
      </x:c>
      <x:c r="D624" s="20" t="str">
        <x:v>REC-P01</x:v>
      </x:c>
      <x:c r="E624" s="20" t="str">
        <x:v>DEN</x:v>
      </x:c>
      <x:c r="F624" s="20" t="str">
        <x:v>programas/ediciones programados</x:v>
      </x:c>
      <x:c r="G624" s="20" t="str">
        <x:v># / base</x:v>
      </x:c>
      <x:c r="H624" s="20" t="n">
        <x:v>14</x:v>
      </x:c>
      <x:c r="I624" s="20" t="str">
        <x:v>Historical Dummy</x:v>
      </x:c>
      <x:c r="J624" s="20" t="str">
        <x:v>YES</x:v>
      </x:c>
    </x:row>
    <x:row r="625">
      <x:c r="A625" s="20" t="str">
        <x:v>REC-P01_DEN</x:v>
      </x:c>
      <x:c r="B625" s="20" t="n">
        <x:v>2026</x:v>
      </x:c>
      <x:c r="C625" s="20" t="str">
        <x:v>Operaciones</x:v>
      </x:c>
      <x:c r="D625" s="20" t="str">
        <x:v>REC-P01</x:v>
      </x:c>
      <x:c r="E625" s="20" t="str">
        <x:v>DEN</x:v>
      </x:c>
      <x:c r="F625" s="20" t="str">
        <x:v>programas/ediciones programados</x:v>
      </x:c>
      <x:c r="G625" s="20" t="str">
        <x:v># / base</x:v>
      </x:c>
      <x:c r="H625" s="20" t="n">
        <x:v>15</x:v>
      </x:c>
      <x:c r="I625" s="20" t="str">
        <x:v>Plan-Year Dummy</x:v>
      </x:c>
      <x:c r="J625" s="20" t="str">
        <x:v>YES</x:v>
      </x:c>
    </x:row>
    <x:row r="626">
      <x:c r="A626" s="20" t="str">
        <x:v>REC-P02_NUM</x:v>
      </x:c>
      <x:c r="B626" s="20" t="n">
        <x:v>2023</x:v>
      </x:c>
      <x:c r="C626" s="20" t="str">
        <x:v>Operaciones</x:v>
      </x:c>
      <x:c r="D626" s="20" t="str">
        <x:v>REC-P02</x:v>
      </x:c>
      <x:c r="E626" s="20" t="str">
        <x:v>NUM</x:v>
      </x:c>
      <x:c r="F626" s="20" t="str">
        <x:v>Programas con diseño de medición y datos de outcome suficientes</x:v>
      </x:c>
      <x:c r="G626" s="20" t="str">
        <x:v># / base</x:v>
      </x:c>
      <x:c r="H626" s="20" t="n">
        <x:v>84</x:v>
      </x:c>
      <x:c r="I626" s="20" t="str">
        <x:v>Historical Dummy</x:v>
      </x:c>
      <x:c r="J626" s="20" t="str">
        <x:v>YES</x:v>
      </x:c>
    </x:row>
    <x:row r="627">
      <x:c r="A627" s="20" t="str">
        <x:v>REC-P02_NUM</x:v>
      </x:c>
      <x:c r="B627" s="20" t="n">
        <x:v>2024</x:v>
      </x:c>
      <x:c r="C627" s="20" t="str">
        <x:v>Operaciones</x:v>
      </x:c>
      <x:c r="D627" s="20" t="str">
        <x:v>REC-P02</x:v>
      </x:c>
      <x:c r="E627" s="20" t="str">
        <x:v>NUM</x:v>
      </x:c>
      <x:c r="F627" s="20" t="str">
        <x:v>Programas con diseño de medición y datos de outcome suficientes</x:v>
      </x:c>
      <x:c r="G627" s="20" t="str">
        <x:v># / base</x:v>
      </x:c>
      <x:c r="H627" s="20" t="n">
        <x:v>96</x:v>
      </x:c>
      <x:c r="I627" s="20" t="str">
        <x:v>Historical Dummy</x:v>
      </x:c>
      <x:c r="J627" s="20" t="str">
        <x:v>YES</x:v>
      </x:c>
    </x:row>
    <x:row r="628">
      <x:c r="A628" s="20" t="str">
        <x:v>REC-P02_NUM</x:v>
      </x:c>
      <x:c r="B628" s="20" t="n">
        <x:v>2025</x:v>
      </x:c>
      <x:c r="C628" s="20" t="str">
        <x:v>Operaciones</x:v>
      </x:c>
      <x:c r="D628" s="20" t="str">
        <x:v>REC-P02</x:v>
      </x:c>
      <x:c r="E628" s="20" t="str">
        <x:v>NUM</x:v>
      </x:c>
      <x:c r="F628" s="20" t="str">
        <x:v>Programas con diseño de medición y datos de outcome suficientes</x:v>
      </x:c>
      <x:c r="G628" s="20" t="str">
        <x:v># / base</x:v>
      </x:c>
      <x:c r="H628" s="20" t="n">
        <x:v>109</x:v>
      </x:c>
      <x:c r="I628" s="20" t="str">
        <x:v>Historical Dummy</x:v>
      </x:c>
      <x:c r="J628" s="20" t="str">
        <x:v>YES</x:v>
      </x:c>
    </x:row>
    <x:row r="629">
      <x:c r="A629" s="20" t="str">
        <x:v>REC-P02_NUM</x:v>
      </x:c>
      <x:c r="B629" s="20" t="n">
        <x:v>2026</x:v>
      </x:c>
      <x:c r="C629" s="20" t="str">
        <x:v>Operaciones</x:v>
      </x:c>
      <x:c r="D629" s="20" t="str">
        <x:v>REC-P02</x:v>
      </x:c>
      <x:c r="E629" s="20" t="str">
        <x:v>NUM</x:v>
      </x:c>
      <x:c r="F629" s="20" t="str">
        <x:v>Programas con diseño de medición y datos de outcome suficientes</x:v>
      </x:c>
      <x:c r="G629" s="20" t="str">
        <x:v># / base</x:v>
      </x:c>
      <x:c r="H629" s="20" t="n">
        <x:v>125</x:v>
      </x:c>
      <x:c r="I629" s="20" t="str">
        <x:v>Plan-Year Dummy</x:v>
      </x:c>
      <x:c r="J629" s="20" t="str">
        <x:v>YES</x:v>
      </x:c>
    </x:row>
    <x:row r="630">
      <x:c r="A630" s="20" t="str">
        <x:v>REC-P02_DEN</x:v>
      </x:c>
      <x:c r="B630" s="20" t="n">
        <x:v>2023</x:v>
      </x:c>
      <x:c r="C630" s="20" t="str">
        <x:v>Operaciones</x:v>
      </x:c>
      <x:c r="D630" s="20" t="str">
        <x:v>REC-P02</x:v>
      </x:c>
      <x:c r="E630" s="20" t="str">
        <x:v>DEN</x:v>
      </x:c>
      <x:c r="F630" s="20" t="str">
        <x:v>programas ejecutados que requieren evaluación</x:v>
      </x:c>
      <x:c r="G630" s="20" t="str">
        <x:v># / base</x:v>
      </x:c>
      <x:c r="H630" s="20" t="n">
        <x:v>100</x:v>
      </x:c>
      <x:c r="I630" s="20" t="str">
        <x:v>Historical Dummy</x:v>
      </x:c>
      <x:c r="J630" s="20" t="str">
        <x:v>YES</x:v>
      </x:c>
    </x:row>
    <x:row r="631">
      <x:c r="A631" s="20" t="str">
        <x:v>REC-P02_DEN</x:v>
      </x:c>
      <x:c r="B631" s="20" t="n">
        <x:v>2024</x:v>
      </x:c>
      <x:c r="C631" s="20" t="str">
        <x:v>Operaciones</x:v>
      </x:c>
      <x:c r="D631" s="20" t="str">
        <x:v>REC-P02</x:v>
      </x:c>
      <x:c r="E631" s="20" t="str">
        <x:v>DEN</x:v>
      </x:c>
      <x:c r="F631" s="20" t="str">
        <x:v>programas ejecutados que requieren evaluación</x:v>
      </x:c>
      <x:c r="G631" s="20" t="str">
        <x:v># / base</x:v>
      </x:c>
      <x:c r="H631" s="20" t="n">
        <x:v>108</x:v>
      </x:c>
      <x:c r="I631" s="20" t="str">
        <x:v>Historical Dummy</x:v>
      </x:c>
      <x:c r="J631" s="20" t="str">
        <x:v>YES</x:v>
      </x:c>
    </x:row>
    <x:row r="632">
      <x:c r="A632" s="20" t="str">
        <x:v>REC-P02_DEN</x:v>
      </x:c>
      <x:c r="B632" s="20" t="n">
        <x:v>2025</x:v>
      </x:c>
      <x:c r="C632" s="20" t="str">
        <x:v>Operaciones</x:v>
      </x:c>
      <x:c r="D632" s="20" t="str">
        <x:v>REC-P02</x:v>
      </x:c>
      <x:c r="E632" s="20" t="str">
        <x:v>DEN</x:v>
      </x:c>
      <x:c r="F632" s="20" t="str">
        <x:v>programas ejecutados que requieren evaluación</x:v>
      </x:c>
      <x:c r="G632" s="20" t="str">
        <x:v># / base</x:v>
      </x:c>
      <x:c r="H632" s="20" t="n">
        <x:v>116</x:v>
      </x:c>
      <x:c r="I632" s="20" t="str">
        <x:v>Historical Dummy</x:v>
      </x:c>
      <x:c r="J632" s="20" t="str">
        <x:v>YES</x:v>
      </x:c>
    </x:row>
    <x:row r="633">
      <x:c r="A633" s="20" t="str">
        <x:v>REC-P02_DEN</x:v>
      </x:c>
      <x:c r="B633" s="20" t="n">
        <x:v>2026</x:v>
      </x:c>
      <x:c r="C633" s="20" t="str">
        <x:v>Operaciones</x:v>
      </x:c>
      <x:c r="D633" s="20" t="str">
        <x:v>REC-P02</x:v>
      </x:c>
      <x:c r="E633" s="20" t="str">
        <x:v>DEN</x:v>
      </x:c>
      <x:c r="F633" s="20" t="str">
        <x:v>programas ejecutados que requieren evaluación</x:v>
      </x:c>
      <x:c r="G633" s="20" t="str">
        <x:v># / base</x:v>
      </x:c>
      <x:c r="H633" s="20" t="n">
        <x:v>125</x:v>
      </x:c>
      <x:c r="I633" s="20" t="str">
        <x:v>Plan-Year Dummy</x:v>
      </x:c>
      <x:c r="J633" s="20" t="str">
        <x:v>YES</x:v>
      </x:c>
    </x:row>
    <x:row r="634">
      <x:c r="A634" s="20" t="str">
        <x:v>REC-P03_NUM</x:v>
      </x:c>
      <x:c r="B634" s="20" t="n">
        <x:v>2023</x:v>
      </x:c>
      <x:c r="C634" s="20" t="str">
        <x:v>Marketing + Procuración de Fondos</x:v>
      </x:c>
      <x:c r="D634" s="20" t="str">
        <x:v>REC-P03</x:v>
      </x:c>
      <x:c r="E634" s="20" t="str">
        <x:v>NUM</x:v>
      </x:c>
      <x:c r="F634" s="20" t="str">
        <x:v>Nuevos donantes atribuibles a campaña</x:v>
      </x:c>
      <x:c r="G634" s="20" t="str">
        <x:v># / base</x:v>
      </x:c>
      <x:c r="H634" s="20" t="n">
        <x:v>3618</x:v>
      </x:c>
      <x:c r="I634" s="20" t="str">
        <x:v>Historical Dummy</x:v>
      </x:c>
      <x:c r="J634" s="20" t="str">
        <x:v>YES</x:v>
      </x:c>
    </x:row>
    <x:row r="635">
      <x:c r="A635" s="20" t="str">
        <x:v>REC-P03_NUM</x:v>
      </x:c>
      <x:c r="B635" s="20" t="n">
        <x:v>2024</x:v>
      </x:c>
      <x:c r="C635" s="20" t="str">
        <x:v>Marketing + Procuración de Fondos</x:v>
      </x:c>
      <x:c r="D635" s="20" t="str">
        <x:v>REC-P03</x:v>
      </x:c>
      <x:c r="E635" s="20" t="str">
        <x:v>NUM</x:v>
      </x:c>
      <x:c r="F635" s="20" t="str">
        <x:v>Nuevos donantes atribuibles a campaña</x:v>
      </x:c>
      <x:c r="G635" s="20" t="str">
        <x:v># / base</x:v>
      </x:c>
      <x:c r="H635" s="20" t="n">
        <x:v>3909</x:v>
      </x:c>
      <x:c r="I635" s="20" t="str">
        <x:v>Historical Dummy</x:v>
      </x:c>
      <x:c r="J635" s="20" t="str">
        <x:v>YES</x:v>
      </x:c>
    </x:row>
    <x:row r="636">
      <x:c r="A636" s="20" t="str">
        <x:v>REC-P03_NUM</x:v>
      </x:c>
      <x:c r="B636" s="20" t="n">
        <x:v>2025</x:v>
      </x:c>
      <x:c r="C636" s="20" t="str">
        <x:v>Marketing + Procuración de Fondos</x:v>
      </x:c>
      <x:c r="D636" s="20" t="str">
        <x:v>REC-P03</x:v>
      </x:c>
      <x:c r="E636" s="20" t="str">
        <x:v>NUM</x:v>
      </x:c>
      <x:c r="F636" s="20" t="str">
        <x:v>Nuevos donantes atribuibles a campaña</x:v>
      </x:c>
      <x:c r="G636" s="20" t="str">
        <x:v># / base</x:v>
      </x:c>
      <x:c r="H636" s="20" t="n">
        <x:v>4222</x:v>
      </x:c>
      <x:c r="I636" s="20" t="str">
        <x:v>Historical Dummy</x:v>
      </x:c>
      <x:c r="J636" s="20" t="str">
        <x:v>YES</x:v>
      </x:c>
    </x:row>
    <x:row r="637">
      <x:c r="A637" s="20" t="str">
        <x:v>REC-P03_NUM</x:v>
      </x:c>
      <x:c r="B637" s="20" t="n">
        <x:v>2026</x:v>
      </x:c>
      <x:c r="C637" s="20" t="str">
        <x:v>Marketing + Procuración de Fondos</x:v>
      </x:c>
      <x:c r="D637" s="20" t="str">
        <x:v>REC-P03</x:v>
      </x:c>
      <x:c r="E637" s="20" t="str">
        <x:v>NUM</x:v>
      </x:c>
      <x:c r="F637" s="20" t="str">
        <x:v>Nuevos donantes atribuibles a campaña</x:v>
      </x:c>
      <x:c r="G637" s="20" t="str">
        <x:v># / base</x:v>
      </x:c>
      <x:c r="H637" s="20" t="n">
        <x:v>225</x:v>
      </x:c>
      <x:c r="I637" s="20" t="str">
        <x:v>Plan-Year Dummy</x:v>
      </x:c>
      <x:c r="J637" s="20" t="str">
        <x:v>YES</x:v>
      </x:c>
    </x:row>
    <x:row r="638">
      <x:c r="A638" s="20" t="str">
        <x:v>REC-P03_DEN</x:v>
      </x:c>
      <x:c r="B638" s="20" t="n">
        <x:v>2023</x:v>
      </x:c>
      <x:c r="C638" s="20" t="str">
        <x:v>Marketing + Procuración de Fondos</x:v>
      </x:c>
      <x:c r="D638" s="20" t="str">
        <x:v>REC-P03</x:v>
      </x:c>
      <x:c r="E638" s="20" t="str">
        <x:v>DEN</x:v>
      </x:c>
      <x:c r="F638" s="20" t="str">
        <x:v>prospectos/leads elegibles generados por campaña</x:v>
      </x:c>
      <x:c r="G638" s="20" t="str">
        <x:v># / base</x:v>
      </x:c>
      <x:c r="H638" s="20" t="n">
        <x:v>180</x:v>
      </x:c>
      <x:c r="I638" s="20" t="str">
        <x:v>Historical Dummy</x:v>
      </x:c>
      <x:c r="J638" s="20" t="str">
        <x:v>YES</x:v>
      </x:c>
    </x:row>
    <x:row r="639">
      <x:c r="A639" s="20" t="str">
        <x:v>REC-P03_DEN</x:v>
      </x:c>
      <x:c r="B639" s="20" t="n">
        <x:v>2024</x:v>
      </x:c>
      <x:c r="C639" s="20" t="str">
        <x:v>Marketing + Procuración de Fondos</x:v>
      </x:c>
      <x:c r="D639" s="20" t="str">
        <x:v>REC-P03</x:v>
      </x:c>
      <x:c r="E639" s="20" t="str">
        <x:v>DEN</x:v>
      </x:c>
      <x:c r="F639" s="20" t="str">
        <x:v>prospectos/leads elegibles generados por campaña</x:v>
      </x:c>
      <x:c r="G639" s="20" t="str">
        <x:v># / base</x:v>
      </x:c>
      <x:c r="H639" s="20" t="n">
        <x:v>194</x:v>
      </x:c>
      <x:c r="I639" s="20" t="str">
        <x:v>Historical Dummy</x:v>
      </x:c>
      <x:c r="J639" s="20" t="str">
        <x:v>YES</x:v>
      </x:c>
    </x:row>
    <x:row r="640">
      <x:c r="A640" s="20" t="str">
        <x:v>REC-P03_DEN</x:v>
      </x:c>
      <x:c r="B640" s="20" t="n">
        <x:v>2025</x:v>
      </x:c>
      <x:c r="C640" s="20" t="str">
        <x:v>Marketing + Procuración de Fondos</x:v>
      </x:c>
      <x:c r="D640" s="20" t="str">
        <x:v>REC-P03</x:v>
      </x:c>
      <x:c r="E640" s="20" t="str">
        <x:v>DEN</x:v>
      </x:c>
      <x:c r="F640" s="20" t="str">
        <x:v>prospectos/leads elegibles generados por campaña</x:v>
      </x:c>
      <x:c r="G640" s="20" t="str">
        <x:v># / base</x:v>
      </x:c>
      <x:c r="H640" s="20" t="n">
        <x:v>209</x:v>
      </x:c>
      <x:c r="I640" s="20" t="str">
        <x:v>Historical Dummy</x:v>
      </x:c>
      <x:c r="J640" s="20" t="str">
        <x:v>YES</x:v>
      </x:c>
    </x:row>
    <x:row r="641">
      <x:c r="A641" s="20" t="str">
        <x:v>REC-P03_DEN</x:v>
      </x:c>
      <x:c r="B641" s="20" t="n">
        <x:v>2026</x:v>
      </x:c>
      <x:c r="C641" s="20" t="str">
        <x:v>Marketing + Procuración de Fondos</x:v>
      </x:c>
      <x:c r="D641" s="20" t="str">
        <x:v>REC-P03</x:v>
      </x:c>
      <x:c r="E641" s="20" t="str">
        <x:v>DEN</x:v>
      </x:c>
      <x:c r="F641" s="20" t="str">
        <x:v>prospectos/leads elegibles generados por campaña</x:v>
      </x:c>
      <x:c r="G641" s="20" t="str">
        <x:v># / base</x:v>
      </x:c>
      <x:c r="H641" s="20" t="n">
        <x:v>225</x:v>
      </x:c>
      <x:c r="I641" s="20" t="str">
        <x:v>Plan-Year Dummy</x:v>
      </x:c>
      <x:c r="J641" s="20" t="str">
        <x:v>YES</x:v>
      </x:c>
    </x:row>
    <x:row r="642">
      <x:c r="A642" s="20" t="str">
        <x:v>REC-P04_NUM</x:v>
      </x:c>
      <x:c r="B642" s="20" t="n">
        <x:v>2023</x:v>
      </x:c>
      <x:c r="C642" s="20" t="str">
        <x:v>Administración</x:v>
      </x:c>
      <x:c r="D642" s="20" t="str">
        <x:v>REC-P04</x:v>
      </x:c>
      <x:c r="E642" s="20" t="str">
        <x:v>NUM</x:v>
      </x:c>
      <x:c r="F642" s="20" t="str">
        <x:v>Solicitudes administrativas críticas resueltas dentro de su SLA</x:v>
      </x:c>
      <x:c r="G642" s="20" t="str">
        <x:v># / base</x:v>
      </x:c>
      <x:c r="H642" s="20" t="n">
        <x:v>79</x:v>
      </x:c>
      <x:c r="I642" s="20" t="str">
        <x:v>Historical Dummy</x:v>
      </x:c>
      <x:c r="J642" s="20" t="str">
        <x:v>YES</x:v>
      </x:c>
    </x:row>
    <x:row r="643">
      <x:c r="A643" s="20" t="str">
        <x:v>REC-P04_NUM</x:v>
      </x:c>
      <x:c r="B643" s="20" t="n">
        <x:v>2024</x:v>
      </x:c>
      <x:c r="C643" s="20" t="str">
        <x:v>Administración</x:v>
      </x:c>
      <x:c r="D643" s="20" t="str">
        <x:v>REC-P04</x:v>
      </x:c>
      <x:c r="E643" s="20" t="str">
        <x:v>NUM</x:v>
      </x:c>
      <x:c r="F643" s="20" t="str">
        <x:v>Solicitudes administrativas críticas resueltas dentro de su SLA</x:v>
      </x:c>
      <x:c r="G643" s="20" t="str">
        <x:v># / base</x:v>
      </x:c>
      <x:c r="H643" s="20" t="n">
        <x:v>91</x:v>
      </x:c>
      <x:c r="I643" s="20" t="str">
        <x:v>Historical Dummy</x:v>
      </x:c>
      <x:c r="J643" s="20" t="str">
        <x:v>YES</x:v>
      </x:c>
    </x:row>
    <x:row r="644">
      <x:c r="A644" s="20" t="str">
        <x:v>REC-P04_NUM</x:v>
      </x:c>
      <x:c r="B644" s="20" t="n">
        <x:v>2025</x:v>
      </x:c>
      <x:c r="C644" s="20" t="str">
        <x:v>Administración</x:v>
      </x:c>
      <x:c r="D644" s="20" t="str">
        <x:v>REC-P04</x:v>
      </x:c>
      <x:c r="E644" s="20" t="str">
        <x:v>NUM</x:v>
      </x:c>
      <x:c r="F644" s="20" t="str">
        <x:v>Solicitudes administrativas críticas resueltas dentro de su SLA</x:v>
      </x:c>
      <x:c r="G644" s="20" t="str">
        <x:v># / base</x:v>
      </x:c>
      <x:c r="H644" s="20" t="n">
        <x:v>103</x:v>
      </x:c>
      <x:c r="I644" s="20" t="str">
        <x:v>Historical Dummy</x:v>
      </x:c>
      <x:c r="J644" s="20" t="str">
        <x:v>YES</x:v>
      </x:c>
    </x:row>
    <x:row r="645">
      <x:c r="A645" s="20" t="str">
        <x:v>REC-P04_NUM</x:v>
      </x:c>
      <x:c r="B645" s="20" t="n">
        <x:v>2026</x:v>
      </x:c>
      <x:c r="C645" s="20" t="str">
        <x:v>Administración</x:v>
      </x:c>
      <x:c r="D645" s="20" t="str">
        <x:v>REC-P04</x:v>
      </x:c>
      <x:c r="E645" s="20" t="str">
        <x:v>NUM</x:v>
      </x:c>
      <x:c r="F645" s="20" t="str">
        <x:v>Solicitudes administrativas críticas resueltas dentro de su SLA</x:v>
      </x:c>
      <x:c r="G645" s="20" t="str">
        <x:v># / base</x:v>
      </x:c>
      <x:c r="H645" s="20" t="n">
        <x:v>120</x:v>
      </x:c>
      <x:c r="I645" s="20" t="str">
        <x:v>Plan-Year Dummy</x:v>
      </x:c>
      <x:c r="J645" s="20" t="str">
        <x:v>YES</x:v>
      </x:c>
    </x:row>
    <x:row r="646">
      <x:c r="A646" s="20" t="str">
        <x:v>REC-P04_DEN</x:v>
      </x:c>
      <x:c r="B646" s="20" t="n">
        <x:v>2023</x:v>
      </x:c>
      <x:c r="C646" s="20" t="str">
        <x:v>Administración</x:v>
      </x:c>
      <x:c r="D646" s="20" t="str">
        <x:v>REC-P04</x:v>
      </x:c>
      <x:c r="E646" s="20" t="str">
        <x:v>DEN</x:v>
      </x:c>
      <x:c r="F646" s="20" t="str">
        <x:v>solicitudes críticas completas</x:v>
      </x:c>
      <x:c r="G646" s="20" t="str">
        <x:v># / base</x:v>
      </x:c>
      <x:c r="H646" s="20" t="n">
        <x:v>100</x:v>
      </x:c>
      <x:c r="I646" s="20" t="str">
        <x:v>Historical Dummy</x:v>
      </x:c>
      <x:c r="J646" s="20" t="str">
        <x:v>YES</x:v>
      </x:c>
    </x:row>
    <x:row r="647">
      <x:c r="A647" s="20" t="str">
        <x:v>REC-P04_DEN</x:v>
      </x:c>
      <x:c r="B647" s="20" t="n">
        <x:v>2024</x:v>
      </x:c>
      <x:c r="C647" s="20" t="str">
        <x:v>Administración</x:v>
      </x:c>
      <x:c r="D647" s="20" t="str">
        <x:v>REC-P04</x:v>
      </x:c>
      <x:c r="E647" s="20" t="str">
        <x:v>DEN</x:v>
      </x:c>
      <x:c r="F647" s="20" t="str">
        <x:v>solicitudes críticas completas</x:v>
      </x:c>
      <x:c r="G647" s="20" t="str">
        <x:v># / base</x:v>
      </x:c>
      <x:c r="H647" s="20" t="n">
        <x:v>108</x:v>
      </x:c>
      <x:c r="I647" s="20" t="str">
        <x:v>Historical Dummy</x:v>
      </x:c>
      <x:c r="J647" s="20" t="str">
        <x:v>YES</x:v>
      </x:c>
    </x:row>
    <x:row r="648">
      <x:c r="A648" s="20" t="str">
        <x:v>REC-P04_DEN</x:v>
      </x:c>
      <x:c r="B648" s="20" t="n">
        <x:v>2025</x:v>
      </x:c>
      <x:c r="C648" s="20" t="str">
        <x:v>Administración</x:v>
      </x:c>
      <x:c r="D648" s="20" t="str">
        <x:v>REC-P04</x:v>
      </x:c>
      <x:c r="E648" s="20" t="str">
        <x:v>DEN</x:v>
      </x:c>
      <x:c r="F648" s="20" t="str">
        <x:v>solicitudes críticas completas</x:v>
      </x:c>
      <x:c r="G648" s="20" t="str">
        <x:v># / base</x:v>
      </x:c>
      <x:c r="H648" s="20" t="n">
        <x:v>116</x:v>
      </x:c>
      <x:c r="I648" s="20" t="str">
        <x:v>Historical Dummy</x:v>
      </x:c>
      <x:c r="J648" s="20" t="str">
        <x:v>YES</x:v>
      </x:c>
    </x:row>
    <x:row r="649">
      <x:c r="A649" s="20" t="str">
        <x:v>REC-P04_DEN</x:v>
      </x:c>
      <x:c r="B649" s="20" t="n">
        <x:v>2026</x:v>
      </x:c>
      <x:c r="C649" s="20" t="str">
        <x:v>Administración</x:v>
      </x:c>
      <x:c r="D649" s="20" t="str">
        <x:v>REC-P04</x:v>
      </x:c>
      <x:c r="E649" s="20" t="str">
        <x:v>DEN</x:v>
      </x:c>
      <x:c r="F649" s="20" t="str">
        <x:v>solicitudes críticas completas</x:v>
      </x:c>
      <x:c r="G649" s="20" t="str">
        <x:v># / base</x:v>
      </x:c>
      <x:c r="H649" s="20" t="n">
        <x:v>125</x:v>
      </x:c>
      <x:c r="I649" s="20" t="str">
        <x:v>Plan-Year Dummy</x:v>
      </x:c>
      <x:c r="J649" s="20" t="str">
        <x:v>YES</x:v>
      </x:c>
    </x:row>
    <x:row r="650">
      <x:c r="A650" s="20" t="str">
        <x:v>REC-P06_VAL</x:v>
      </x:c>
      <x:c r="B650" s="20" t="n">
        <x:v>2023</x:v>
      </x:c>
      <x:c r="C650" s="20" t="str">
        <x:v>Jurídico</x:v>
      </x:c>
      <x:c r="D650" s="20" t="str">
        <x:v>REC-P06</x:v>
      </x:c>
      <x:c r="E650" s="20" t="str">
        <x:v>VAL</x:v>
      </x:c>
      <x:c r="F650" s="20" t="str">
        <x:v>Número de obligaciones regulatorias vencidas y no cumplidas al corte</x:v>
      </x:c>
      <x:c r="G650" s="20" t="str">
        <x:v>#</x:v>
      </x:c>
      <x:c r="H650" s="20" t="n">
        <x:v>4</x:v>
      </x:c>
      <x:c r="I650" s="20" t="str">
        <x:v>Historical Dummy</x:v>
      </x:c>
      <x:c r="J650" s="20" t="str">
        <x:v>YES</x:v>
      </x:c>
    </x:row>
    <x:row r="651">
      <x:c r="A651" s="20" t="str">
        <x:v>REC-P06_VAL</x:v>
      </x:c>
      <x:c r="B651" s="20" t="n">
        <x:v>2024</x:v>
      </x:c>
      <x:c r="C651" s="20" t="str">
        <x:v>Jurídico</x:v>
      </x:c>
      <x:c r="D651" s="20" t="str">
        <x:v>REC-P06</x:v>
      </x:c>
      <x:c r="E651" s="20" t="str">
        <x:v>VAL</x:v>
      </x:c>
      <x:c r="F651" s="20" t="str">
        <x:v>Número de obligaciones regulatorias vencidas y no cumplidas al corte</x:v>
      </x:c>
      <x:c r="G651" s="20" t="str">
        <x:v>#</x:v>
      </x:c>
      <x:c r="H651" s="20" t="n">
        <x:v>3</x:v>
      </x:c>
      <x:c r="I651" s="20" t="str">
        <x:v>Historical Dummy</x:v>
      </x:c>
      <x:c r="J651" s="20" t="str">
        <x:v>YES</x:v>
      </x:c>
    </x:row>
    <x:row r="652">
      <x:c r="A652" s="20" t="str">
        <x:v>REC-P06_VAL</x:v>
      </x:c>
      <x:c r="B652" s="20" t="n">
        <x:v>2025</x:v>
      </x:c>
      <x:c r="C652" s="20" t="str">
        <x:v>Jurídico</x:v>
      </x:c>
      <x:c r="D652" s="20" t="str">
        <x:v>REC-P06</x:v>
      </x:c>
      <x:c r="E652" s="20" t="str">
        <x:v>VAL</x:v>
      </x:c>
      <x:c r="F652" s="20" t="str">
        <x:v>Número de obligaciones regulatorias vencidas y no cumplidas al corte</x:v>
      </x:c>
      <x:c r="G652" s="20" t="str">
        <x:v>#</x:v>
      </x:c>
      <x:c r="H652" s="20" t="n">
        <x:v>1</x:v>
      </x:c>
      <x:c r="I652" s="20" t="str">
        <x:v>Historical Dummy</x:v>
      </x:c>
      <x:c r="J652" s="20" t="str">
        <x:v>YES</x:v>
      </x:c>
    </x:row>
    <x:row r="653">
      <x:c r="A653" s="20" t="str">
        <x:v>REC-P06_VAL</x:v>
      </x:c>
      <x:c r="B653" s="20" t="n">
        <x:v>2026</x:v>
      </x:c>
      <x:c r="C653" s="20" t="str">
        <x:v>Jurídico</x:v>
      </x:c>
      <x:c r="D653" s="20" t="str">
        <x:v>REC-P06</x:v>
      </x:c>
      <x:c r="E653" s="20" t="str">
        <x:v>VAL</x:v>
      </x:c>
      <x:c r="F653" s="20" t="str">
        <x:v>Número de obligaciones regulatorias vencidas y no cumplidas al corte</x:v>
      </x:c>
      <x:c r="G653" s="20" t="str">
        <x:v>#</x:v>
      </x:c>
      <x:c r="H653" s="20" t="n">
        <x:v>0</x:v>
      </x:c>
      <x:c r="I653" s="20" t="str">
        <x:v>Plan-Year Dummy</x:v>
      </x:c>
      <x:c r="J653" s="20" t="str">
        <x:v>YES</x:v>
      </x:c>
    </x:row>
    <x:row r="654">
      <x:c r="A654" s="20" t="str">
        <x:v>REC-P07_NUM</x:v>
      </x:c>
      <x:c r="B654" s="20" t="n">
        <x:v>2023</x:v>
      </x:c>
      <x:c r="C654" s="20" t="str">
        <x:v>Procuración de Fondos</x:v>
      </x:c>
      <x:c r="D654" s="20" t="str">
        <x:v>REC-P07</x:v>
      </x:c>
      <x:c r="E654" s="20" t="str">
        <x:v>NUM</x:v>
      </x:c>
      <x:c r="F654" s="20" t="str">
        <x:v>Alianzas nuevas que generan recursos, acceso, capacidad o implementación verificable</x:v>
      </x:c>
      <x:c r="G654" s="20" t="str">
        <x:v>Moneda</x:v>
      </x:c>
      <x:c r="H654" s="20" t="n">
        <x:v>56</x:v>
      </x:c>
      <x:c r="I654" s="20" t="str">
        <x:v>Historical Dummy</x:v>
      </x:c>
      <x:c r="J654" s="20" t="str">
        <x:v>YES</x:v>
      </x:c>
    </x:row>
    <x:row r="655">
      <x:c r="A655" s="20" t="str">
        <x:v>REC-P07_NUM</x:v>
      </x:c>
      <x:c r="B655" s="20" t="n">
        <x:v>2024</x:v>
      </x:c>
      <x:c r="C655" s="20" t="str">
        <x:v>Procuración de Fondos</x:v>
      </x:c>
      <x:c r="D655" s="20" t="str">
        <x:v>REC-P07</x:v>
      </x:c>
      <x:c r="E655" s="20" t="str">
        <x:v>NUM</x:v>
      </x:c>
      <x:c r="F655" s="20" t="str">
        <x:v>Alianzas nuevas que generan recursos, acceso, capacidad o implementación verificable</x:v>
      </x:c>
      <x:c r="G655" s="20" t="str">
        <x:v>Moneda</x:v>
      </x:c>
      <x:c r="H655" s="20" t="n">
        <x:v>66</x:v>
      </x:c>
      <x:c r="I655" s="20" t="str">
        <x:v>Historical Dummy</x:v>
      </x:c>
      <x:c r="J655" s="20" t="str">
        <x:v>YES</x:v>
      </x:c>
    </x:row>
    <x:row r="656">
      <x:c r="A656" s="20" t="str">
        <x:v>REC-P07_NUM</x:v>
      </x:c>
      <x:c r="B656" s="20" t="n">
        <x:v>2025</x:v>
      </x:c>
      <x:c r="C656" s="20" t="str">
        <x:v>Procuración de Fondos</x:v>
      </x:c>
      <x:c r="D656" s="20" t="str">
        <x:v>REC-P07</x:v>
      </x:c>
      <x:c r="E656" s="20" t="str">
        <x:v>NUM</x:v>
      </x:c>
      <x:c r="F656" s="20" t="str">
        <x:v>Alianzas nuevas que generan recursos, acceso, capacidad o implementación verificable</x:v>
      </x:c>
      <x:c r="G656" s="20" t="str">
        <x:v>Moneda</x:v>
      </x:c>
      <x:c r="H656" s="20" t="n">
        <x:v>77</x:v>
      </x:c>
      <x:c r="I656" s="20" t="str">
        <x:v>Historical Dummy</x:v>
      </x:c>
      <x:c r="J656" s="20" t="str">
        <x:v>YES</x:v>
      </x:c>
    </x:row>
    <x:row r="657">
      <x:c r="A657" s="20" t="str">
        <x:v>REC-P07_NUM</x:v>
      </x:c>
      <x:c r="B657" s="20" t="n">
        <x:v>2026</x:v>
      </x:c>
      <x:c r="C657" s="20" t="str">
        <x:v>Procuración de Fondos</x:v>
      </x:c>
      <x:c r="D657" s="20" t="str">
        <x:v>REC-P07</x:v>
      </x:c>
      <x:c r="E657" s="20" t="str">
        <x:v>NUM</x:v>
      </x:c>
      <x:c r="F657" s="20" t="str">
        <x:v>Alianzas nuevas que generan recursos, acceso, capacidad o implementación verificable</x:v>
      </x:c>
      <x:c r="G657" s="20" t="str">
        <x:v>Moneda</x:v>
      </x:c>
      <x:c r="H657" s="20" t="n">
        <x:v>90</x:v>
      </x:c>
      <x:c r="I657" s="20" t="str">
        <x:v>Plan-Year Dummy</x:v>
      </x:c>
      <x:c r="J657" s="20" t="str">
        <x:v>YES</x:v>
      </x:c>
    </x:row>
    <x:row r="658">
      <x:c r="A658" s="20" t="str">
        <x:v>REC-P07_DEN</x:v>
      </x:c>
      <x:c r="B658" s="20" t="n">
        <x:v>2023</x:v>
      </x:c>
      <x:c r="C658" s="20" t="str">
        <x:v>Procuración de Fondos</x:v>
      </x:c>
      <x:c r="D658" s="20" t="str">
        <x:v>REC-P07</x:v>
      </x:c>
      <x:c r="E658" s="20" t="str">
        <x:v>DEN</x:v>
      </x:c>
      <x:c r="F658" s="20" t="str">
        <x:v>alianzas nuevas activas</x:v>
      </x:c>
      <x:c r="G658" s="20" t="str">
        <x:v># / base</x:v>
      </x:c>
      <x:c r="H658" s="20" t="n">
        <x:v>100</x:v>
      </x:c>
      <x:c r="I658" s="20" t="str">
        <x:v>Historical Dummy</x:v>
      </x:c>
      <x:c r="J658" s="20" t="str">
        <x:v>YES</x:v>
      </x:c>
    </x:row>
    <x:row r="659">
      <x:c r="A659" s="20" t="str">
        <x:v>REC-P07_DEN</x:v>
      </x:c>
      <x:c r="B659" s="20" t="n">
        <x:v>2024</x:v>
      </x:c>
      <x:c r="C659" s="20" t="str">
        <x:v>Procuración de Fondos</x:v>
      </x:c>
      <x:c r="D659" s="20" t="str">
        <x:v>REC-P07</x:v>
      </x:c>
      <x:c r="E659" s="20" t="str">
        <x:v>DEN</x:v>
      </x:c>
      <x:c r="F659" s="20" t="str">
        <x:v>alianzas nuevas activas</x:v>
      </x:c>
      <x:c r="G659" s="20" t="str">
        <x:v># / base</x:v>
      </x:c>
      <x:c r="H659" s="20" t="n">
        <x:v>108</x:v>
      </x:c>
      <x:c r="I659" s="20" t="str">
        <x:v>Historical Dummy</x:v>
      </x:c>
      <x:c r="J659" s="20" t="str">
        <x:v>YES</x:v>
      </x:c>
    </x:row>
    <x:row r="660">
      <x:c r="A660" s="20" t="str">
        <x:v>REC-P07_DEN</x:v>
      </x:c>
      <x:c r="B660" s="20" t="n">
        <x:v>2025</x:v>
      </x:c>
      <x:c r="C660" s="20" t="str">
        <x:v>Procuración de Fondos</x:v>
      </x:c>
      <x:c r="D660" s="20" t="str">
        <x:v>REC-P07</x:v>
      </x:c>
      <x:c r="E660" s="20" t="str">
        <x:v>DEN</x:v>
      </x:c>
      <x:c r="F660" s="20" t="str">
        <x:v>alianzas nuevas activas</x:v>
      </x:c>
      <x:c r="G660" s="20" t="str">
        <x:v># / base</x:v>
      </x:c>
      <x:c r="H660" s="20" t="n">
        <x:v>116</x:v>
      </x:c>
      <x:c r="I660" s="20" t="str">
        <x:v>Historical Dummy</x:v>
      </x:c>
      <x:c r="J660" s="20" t="str">
        <x:v>YES</x:v>
      </x:c>
    </x:row>
    <x:row r="661">
      <x:c r="A661" s="20" t="str">
        <x:v>REC-P07_DEN</x:v>
      </x:c>
      <x:c r="B661" s="20" t="n">
        <x:v>2026</x:v>
      </x:c>
      <x:c r="C661" s="20" t="str">
        <x:v>Procuración de Fondos</x:v>
      </x:c>
      <x:c r="D661" s="20" t="str">
        <x:v>REC-P07</x:v>
      </x:c>
      <x:c r="E661" s="20" t="str">
        <x:v>DEN</x:v>
      </x:c>
      <x:c r="F661" s="20" t="str">
        <x:v>alianzas nuevas activas</x:v>
      </x:c>
      <x:c r="G661" s="20" t="str">
        <x:v># / base</x:v>
      </x:c>
      <x:c r="H661" s="20" t="n">
        <x:v>125</x:v>
      </x:c>
      <x:c r="I661" s="20" t="str">
        <x:v>Plan-Year Dummy</x:v>
      </x:c>
      <x:c r="J661" s="20" t="str">
        <x:v>YES</x:v>
      </x:c>
    </x:row>
    <x:row r="662">
      <x:c r="A662" s="20" t="str">
        <x:v>REC-L01_NUM</x:v>
      </x:c>
      <x:c r="B662" s="20" t="n">
        <x:v>2023</x:v>
      </x:c>
      <x:c r="C662" s="20" t="str">
        <x:v>Todas las áreas</x:v>
      </x:c>
      <x:c r="D662" s="20" t="str">
        <x:v>REC-L01</x:v>
      </x:c>
      <x:c r="E662" s="20" t="str">
        <x:v>NUM</x:v>
      </x:c>
      <x:c r="F662" s="20" t="str">
        <x:v>Campos/KPIs estratégicos requeridos completos, válidos y actualizados</x:v>
      </x:c>
      <x:c r="G662" s="20" t="str">
        <x:v># / base</x:v>
      </x:c>
      <x:c r="H662" s="20" t="n">
        <x:v>79</x:v>
      </x:c>
      <x:c r="I662" s="20" t="str">
        <x:v>Historical Dummy</x:v>
      </x:c>
      <x:c r="J662" s="20" t="str">
        <x:v>YES</x:v>
      </x:c>
    </x:row>
    <x:row r="663">
      <x:c r="A663" s="20" t="str">
        <x:v>REC-L01_NUM</x:v>
      </x:c>
      <x:c r="B663" s="20" t="n">
        <x:v>2024</x:v>
      </x:c>
      <x:c r="C663" s="20" t="str">
        <x:v>Todas las áreas</x:v>
      </x:c>
      <x:c r="D663" s="20" t="str">
        <x:v>REC-L01</x:v>
      </x:c>
      <x:c r="E663" s="20" t="str">
        <x:v>NUM</x:v>
      </x:c>
      <x:c r="F663" s="20" t="str">
        <x:v>Campos/KPIs estratégicos requeridos completos, válidos y actualizados</x:v>
      </x:c>
      <x:c r="G663" s="20" t="str">
        <x:v># / base</x:v>
      </x:c>
      <x:c r="H663" s="20" t="n">
        <x:v>91</x:v>
      </x:c>
      <x:c r="I663" s="20" t="str">
        <x:v>Historical Dummy</x:v>
      </x:c>
      <x:c r="J663" s="20" t="str">
        <x:v>YES</x:v>
      </x:c>
    </x:row>
    <x:row r="664">
      <x:c r="A664" s="20" t="str">
        <x:v>REC-L01_NUM</x:v>
      </x:c>
      <x:c r="B664" s="20" t="n">
        <x:v>2025</x:v>
      </x:c>
      <x:c r="C664" s="20" t="str">
        <x:v>Todas las áreas</x:v>
      </x:c>
      <x:c r="D664" s="20" t="str">
        <x:v>REC-L01</x:v>
      </x:c>
      <x:c r="E664" s="20" t="str">
        <x:v>NUM</x:v>
      </x:c>
      <x:c r="F664" s="20" t="str">
        <x:v>Campos/KPIs estratégicos requeridos completos, válidos y actualizados</x:v>
      </x:c>
      <x:c r="G664" s="20" t="str">
        <x:v># / base</x:v>
      </x:c>
      <x:c r="H664" s="20" t="n">
        <x:v>103</x:v>
      </x:c>
      <x:c r="I664" s="20" t="str">
        <x:v>Historical Dummy</x:v>
      </x:c>
      <x:c r="J664" s="20" t="str">
        <x:v>YES</x:v>
      </x:c>
    </x:row>
    <x:row r="665">
      <x:c r="A665" s="20" t="str">
        <x:v>REC-L01_NUM</x:v>
      </x:c>
      <x:c r="B665" s="20" t="n">
        <x:v>2026</x:v>
      </x:c>
      <x:c r="C665" s="20" t="str">
        <x:v>Todas las áreas</x:v>
      </x:c>
      <x:c r="D665" s="20" t="str">
        <x:v>REC-L01</x:v>
      </x:c>
      <x:c r="E665" s="20" t="str">
        <x:v>NUM</x:v>
      </x:c>
      <x:c r="F665" s="20" t="str">
        <x:v>Campos/KPIs estratégicos requeridos completos, válidos y actualizados</x:v>
      </x:c>
      <x:c r="G665" s="20" t="str">
        <x:v># / base</x:v>
      </x:c>
      <x:c r="H665" s="20" t="n">
        <x:v>120</x:v>
      </x:c>
      <x:c r="I665" s="20" t="str">
        <x:v>Plan-Year Dummy</x:v>
      </x:c>
      <x:c r="J665" s="20" t="str">
        <x:v>YES</x:v>
      </x:c>
    </x:row>
    <x:row r="666">
      <x:c r="A666" s="20" t="str">
        <x:v>REC-L01_DEN</x:v>
      </x:c>
      <x:c r="B666" s="20" t="n">
        <x:v>2023</x:v>
      </x:c>
      <x:c r="C666" s="20" t="str">
        <x:v>Todas las áreas</x:v>
      </x:c>
      <x:c r="D666" s="20" t="str">
        <x:v>REC-L01</x:v>
      </x:c>
      <x:c r="E666" s="20" t="str">
        <x:v>DEN</x:v>
      </x:c>
      <x:c r="F666" s="20" t="str">
        <x:v>campos/KPIs requeridos</x:v>
      </x:c>
      <x:c r="G666" s="20" t="str">
        <x:v># / base</x:v>
      </x:c>
      <x:c r="H666" s="20" t="n">
        <x:v>100</x:v>
      </x:c>
      <x:c r="I666" s="20" t="str">
        <x:v>Historical Dummy</x:v>
      </x:c>
      <x:c r="J666" s="20" t="str">
        <x:v>YES</x:v>
      </x:c>
    </x:row>
    <x:row r="667">
      <x:c r="A667" s="20" t="str">
        <x:v>REC-L01_DEN</x:v>
      </x:c>
      <x:c r="B667" s="20" t="n">
        <x:v>2024</x:v>
      </x:c>
      <x:c r="C667" s="20" t="str">
        <x:v>Todas las áreas</x:v>
      </x:c>
      <x:c r="D667" s="20" t="str">
        <x:v>REC-L01</x:v>
      </x:c>
      <x:c r="E667" s="20" t="str">
        <x:v>DEN</x:v>
      </x:c>
      <x:c r="F667" s="20" t="str">
        <x:v>campos/KPIs requeridos</x:v>
      </x:c>
      <x:c r="G667" s="20" t="str">
        <x:v># / base</x:v>
      </x:c>
      <x:c r="H667" s="20" t="n">
        <x:v>108</x:v>
      </x:c>
      <x:c r="I667" s="20" t="str">
        <x:v>Historical Dummy</x:v>
      </x:c>
      <x:c r="J667" s="20" t="str">
        <x:v>YES</x:v>
      </x:c>
    </x:row>
    <x:row r="668">
      <x:c r="A668" s="20" t="str">
        <x:v>REC-L01_DEN</x:v>
      </x:c>
      <x:c r="B668" s="20" t="n">
        <x:v>2025</x:v>
      </x:c>
      <x:c r="C668" s="20" t="str">
        <x:v>Todas las áreas</x:v>
      </x:c>
      <x:c r="D668" s="20" t="str">
        <x:v>REC-L01</x:v>
      </x:c>
      <x:c r="E668" s="20" t="str">
        <x:v>DEN</x:v>
      </x:c>
      <x:c r="F668" s="20" t="str">
        <x:v>campos/KPIs requeridos</x:v>
      </x:c>
      <x:c r="G668" s="20" t="str">
        <x:v># / base</x:v>
      </x:c>
      <x:c r="H668" s="20" t="n">
        <x:v>116</x:v>
      </x:c>
      <x:c r="I668" s="20" t="str">
        <x:v>Historical Dummy</x:v>
      </x:c>
      <x:c r="J668" s="20" t="str">
        <x:v>YES</x:v>
      </x:c>
    </x:row>
    <x:row r="669">
      <x:c r="A669" s="20" t="str">
        <x:v>REC-L01_DEN</x:v>
      </x:c>
      <x:c r="B669" s="20" t="n">
        <x:v>2026</x:v>
      </x:c>
      <x:c r="C669" s="20" t="str">
        <x:v>Todas las áreas</x:v>
      </x:c>
      <x:c r="D669" s="20" t="str">
        <x:v>REC-L01</x:v>
      </x:c>
      <x:c r="E669" s="20" t="str">
        <x:v>DEN</x:v>
      </x:c>
      <x:c r="F669" s="20" t="str">
        <x:v>campos/KPIs requeridos</x:v>
      </x:c>
      <x:c r="G669" s="20" t="str">
        <x:v># / base</x:v>
      </x:c>
      <x:c r="H669" s="20" t="n">
        <x:v>125</x:v>
      </x:c>
      <x:c r="I669" s="20" t="str">
        <x:v>Plan-Year Dummy</x:v>
      </x:c>
      <x:c r="J669" s="20" t="str">
        <x:v>YES</x:v>
      </x:c>
    </x:row>
    <x:row r="670">
      <x:c r="A670" s="20" t="str">
        <x:v>REC-L02_NUM</x:v>
      </x:c>
      <x:c r="B670" s="20" t="n">
        <x:v>2023</x:v>
      </x:c>
      <x:c r="C670" s="20" t="str">
        <x:v>Dirección + Administración</x:v>
      </x:c>
      <x:c r="D670" s="20" t="str">
        <x:v>REC-L02</x:v>
      </x:c>
      <x:c r="E670" s="20" t="str">
        <x:v>NUM</x:v>
      </x:c>
      <x:c r="F670" s="20" t="str">
        <x:v>Usuarios objetivo con uso activo relevante en el periodo</x:v>
      </x:c>
      <x:c r="G670" s="20" t="str">
        <x:v># / base</x:v>
      </x:c>
      <x:c r="H670" s="20" t="n">
        <x:v>76</x:v>
      </x:c>
      <x:c r="I670" s="20" t="str">
        <x:v>Historical Dummy</x:v>
      </x:c>
      <x:c r="J670" s="20" t="str">
        <x:v>YES</x:v>
      </x:c>
    </x:row>
    <x:row r="671">
      <x:c r="A671" s="20" t="str">
        <x:v>REC-L02_NUM</x:v>
      </x:c>
      <x:c r="B671" s="20" t="n">
        <x:v>2024</x:v>
      </x:c>
      <x:c r="C671" s="20" t="str">
        <x:v>Dirección + Administración</x:v>
      </x:c>
      <x:c r="D671" s="20" t="str">
        <x:v>REC-L02</x:v>
      </x:c>
      <x:c r="E671" s="20" t="str">
        <x:v>NUM</x:v>
      </x:c>
      <x:c r="F671" s="20" t="str">
        <x:v>Usuarios objetivo con uso activo relevante en el periodo</x:v>
      </x:c>
      <x:c r="G671" s="20" t="str">
        <x:v># / base</x:v>
      </x:c>
      <x:c r="H671" s="20" t="n">
        <x:v>87</x:v>
      </x:c>
      <x:c r="I671" s="20" t="str">
        <x:v>Historical Dummy</x:v>
      </x:c>
      <x:c r="J671" s="20" t="str">
        <x:v>YES</x:v>
      </x:c>
    </x:row>
    <x:row r="672">
      <x:c r="A672" s="20" t="str">
        <x:v>REC-L02_NUM</x:v>
      </x:c>
      <x:c r="B672" s="20" t="n">
        <x:v>2025</x:v>
      </x:c>
      <x:c r="C672" s="20" t="str">
        <x:v>Dirección + Administración</x:v>
      </x:c>
      <x:c r="D672" s="20" t="str">
        <x:v>REC-L02</x:v>
      </x:c>
      <x:c r="E672" s="20" t="str">
        <x:v>NUM</x:v>
      </x:c>
      <x:c r="F672" s="20" t="str">
        <x:v>Usuarios objetivo con uso activo relevante en el periodo</x:v>
      </x:c>
      <x:c r="G672" s="20" t="str">
        <x:v># / base</x:v>
      </x:c>
      <x:c r="H672" s="20" t="n">
        <x:v>100</x:v>
      </x:c>
      <x:c r="I672" s="20" t="str">
        <x:v>Historical Dummy</x:v>
      </x:c>
      <x:c r="J672" s="20" t="str">
        <x:v>YES</x:v>
      </x:c>
    </x:row>
    <x:row r="673">
      <x:c r="A673" s="20" t="str">
        <x:v>REC-L02_NUM</x:v>
      </x:c>
      <x:c r="B673" s="20" t="n">
        <x:v>2026</x:v>
      </x:c>
      <x:c r="C673" s="20" t="str">
        <x:v>Dirección + Administración</x:v>
      </x:c>
      <x:c r="D673" s="20" t="str">
        <x:v>REC-L02</x:v>
      </x:c>
      <x:c r="E673" s="20" t="str">
        <x:v>NUM</x:v>
      </x:c>
      <x:c r="F673" s="20" t="str">
        <x:v>Usuarios objetivo con uso activo relevante en el periodo</x:v>
      </x:c>
      <x:c r="G673" s="20" t="str">
        <x:v># / base</x:v>
      </x:c>
      <x:c r="H673" s="20" t="n">
        <x:v>115</x:v>
      </x:c>
      <x:c r="I673" s="20" t="str">
        <x:v>Plan-Year Dummy</x:v>
      </x:c>
      <x:c r="J673" s="20" t="str">
        <x:v>YES</x:v>
      </x:c>
    </x:row>
    <x:row r="674">
      <x:c r="A674" s="20" t="str">
        <x:v>REC-L02_DEN</x:v>
      </x:c>
      <x:c r="B674" s="20" t="n">
        <x:v>2023</x:v>
      </x:c>
      <x:c r="C674" s="20" t="str">
        <x:v>Dirección + Administración</x:v>
      </x:c>
      <x:c r="D674" s="20" t="str">
        <x:v>REC-L02</x:v>
      </x:c>
      <x:c r="E674" s="20" t="str">
        <x:v>DEN</x:v>
      </x:c>
      <x:c r="F674" s="20" t="str">
        <x:v>usuarios objetivo habilitados</x:v>
      </x:c>
      <x:c r="G674" s="20" t="str">
        <x:v># / base</x:v>
      </x:c>
      <x:c r="H674" s="20" t="n">
        <x:v>100</x:v>
      </x:c>
      <x:c r="I674" s="20" t="str">
        <x:v>Historical Dummy</x:v>
      </x:c>
      <x:c r="J674" s="20" t="str">
        <x:v>YES</x:v>
      </x:c>
    </x:row>
    <x:row r="675">
      <x:c r="A675" s="20" t="str">
        <x:v>REC-L02_DEN</x:v>
      </x:c>
      <x:c r="B675" s="20" t="n">
        <x:v>2024</x:v>
      </x:c>
      <x:c r="C675" s="20" t="str">
        <x:v>Dirección + Administración</x:v>
      </x:c>
      <x:c r="D675" s="20" t="str">
        <x:v>REC-L02</x:v>
      </x:c>
      <x:c r="E675" s="20" t="str">
        <x:v>DEN</x:v>
      </x:c>
      <x:c r="F675" s="20" t="str">
        <x:v>usuarios objetivo habilitados</x:v>
      </x:c>
      <x:c r="G675" s="20" t="str">
        <x:v># / base</x:v>
      </x:c>
      <x:c r="H675" s="20" t="n">
        <x:v>108</x:v>
      </x:c>
      <x:c r="I675" s="20" t="str">
        <x:v>Historical Dummy</x:v>
      </x:c>
      <x:c r="J675" s="20" t="str">
        <x:v>YES</x:v>
      </x:c>
    </x:row>
    <x:row r="676">
      <x:c r="A676" s="20" t="str">
        <x:v>REC-L02_DEN</x:v>
      </x:c>
      <x:c r="B676" s="20" t="n">
        <x:v>2025</x:v>
      </x:c>
      <x:c r="C676" s="20" t="str">
        <x:v>Dirección + Administración</x:v>
      </x:c>
      <x:c r="D676" s="20" t="str">
        <x:v>REC-L02</x:v>
      </x:c>
      <x:c r="E676" s="20" t="str">
        <x:v>DEN</x:v>
      </x:c>
      <x:c r="F676" s="20" t="str">
        <x:v>usuarios objetivo habilitados</x:v>
      </x:c>
      <x:c r="G676" s="20" t="str">
        <x:v># / base</x:v>
      </x:c>
      <x:c r="H676" s="20" t="n">
        <x:v>116</x:v>
      </x:c>
      <x:c r="I676" s="20" t="str">
        <x:v>Historical Dummy</x:v>
      </x:c>
      <x:c r="J676" s="20" t="str">
        <x:v>YES</x:v>
      </x:c>
    </x:row>
    <x:row r="677">
      <x:c r="A677" s="20" t="str">
        <x:v>REC-L02_DEN</x:v>
      </x:c>
      <x:c r="B677" s="20" t="n">
        <x:v>2026</x:v>
      </x:c>
      <x:c r="C677" s="20" t="str">
        <x:v>Dirección + Administración</x:v>
      </x:c>
      <x:c r="D677" s="20" t="str">
        <x:v>REC-L02</x:v>
      </x:c>
      <x:c r="E677" s="20" t="str">
        <x:v>DEN</x:v>
      </x:c>
      <x:c r="F677" s="20" t="str">
        <x:v>usuarios objetivo habilitados</x:v>
      </x:c>
      <x:c r="G677" s="20" t="str">
        <x:v># / base</x:v>
      </x:c>
      <x:c r="H677" s="20" t="n">
        <x:v>125</x:v>
      </x:c>
      <x:c r="I677" s="20" t="str">
        <x:v>Plan-Year Dummy</x:v>
      </x:c>
      <x:c r="J677" s="20" t="str">
        <x:v>YES</x:v>
      </x:c>
    </x:row>
    <x:row r="678">
      <x:c r="A678" s="20" t="str">
        <x:v>REC-L03_NUM</x:v>
      </x:c>
      <x:c r="B678" s="20" t="n">
        <x:v>2023</x:v>
      </x:c>
      <x:c r="C678" s="20" t="str">
        <x:v>Administración + Jurídico</x:v>
      </x:c>
      <x:c r="D678" s="20" t="str">
        <x:v>REC-L03</x:v>
      </x:c>
      <x:c r="E678" s="20" t="str">
        <x:v>NUM</x:v>
      </x:c>
      <x:c r="F678" s="20" t="str">
        <x:v>Procesos críticos con flujo digital end-to-end y trazabilidad</x:v>
      </x:c>
      <x:c r="G678" s="20" t="str">
        <x:v># / base</x:v>
      </x:c>
      <x:c r="H678" s="20" t="n">
        <x:v>66</x:v>
      </x:c>
      <x:c r="I678" s="20" t="str">
        <x:v>Historical Dummy</x:v>
      </x:c>
      <x:c r="J678" s="20" t="str">
        <x:v>YES</x:v>
      </x:c>
    </x:row>
    <x:row r="679">
      <x:c r="A679" s="20" t="str">
        <x:v>REC-L03_NUM</x:v>
      </x:c>
      <x:c r="B679" s="20" t="n">
        <x:v>2024</x:v>
      </x:c>
      <x:c r="C679" s="20" t="str">
        <x:v>Administración + Jurídico</x:v>
      </x:c>
      <x:c r="D679" s="20" t="str">
        <x:v>REC-L03</x:v>
      </x:c>
      <x:c r="E679" s="20" t="str">
        <x:v>NUM</x:v>
      </x:c>
      <x:c r="F679" s="20" t="str">
        <x:v>Procesos críticos con flujo digital end-to-end y trazabilidad</x:v>
      </x:c>
      <x:c r="G679" s="20" t="str">
        <x:v># / base</x:v>
      </x:c>
      <x:c r="H679" s="20" t="n">
        <x:v>77</x:v>
      </x:c>
      <x:c r="I679" s="20" t="str">
        <x:v>Historical Dummy</x:v>
      </x:c>
      <x:c r="J679" s="20" t="str">
        <x:v>YES</x:v>
      </x:c>
    </x:row>
    <x:row r="680">
      <x:c r="A680" s="20" t="str">
        <x:v>REC-L03_NUM</x:v>
      </x:c>
      <x:c r="B680" s="20" t="n">
        <x:v>2025</x:v>
      </x:c>
      <x:c r="C680" s="20" t="str">
        <x:v>Administración + Jurídico</x:v>
      </x:c>
      <x:c r="D680" s="20" t="str">
        <x:v>REC-L03</x:v>
      </x:c>
      <x:c r="E680" s="20" t="str">
        <x:v>NUM</x:v>
      </x:c>
      <x:c r="F680" s="20" t="str">
        <x:v>Procesos críticos con flujo digital end-to-end y trazabilidad</x:v>
      </x:c>
      <x:c r="G680" s="20" t="str">
        <x:v># / base</x:v>
      </x:c>
      <x:c r="H680" s="20" t="n">
        <x:v>88</x:v>
      </x:c>
      <x:c r="I680" s="20" t="str">
        <x:v>Historical Dummy</x:v>
      </x:c>
      <x:c r="J680" s="20" t="str">
        <x:v>YES</x:v>
      </x:c>
    </x:row>
    <x:row r="681">
      <x:c r="A681" s="20" t="str">
        <x:v>REC-L03_NUM</x:v>
      </x:c>
      <x:c r="B681" s="20" t="n">
        <x:v>2026</x:v>
      </x:c>
      <x:c r="C681" s="20" t="str">
        <x:v>Administración + Jurídico</x:v>
      </x:c>
      <x:c r="D681" s="20" t="str">
        <x:v>REC-L03</x:v>
      </x:c>
      <x:c r="E681" s="20" t="str">
        <x:v>NUM</x:v>
      </x:c>
      <x:c r="F681" s="20" t="str">
        <x:v>Procesos críticos con flujo digital end-to-end y trazabilidad</x:v>
      </x:c>
      <x:c r="G681" s="20" t="str">
        <x:v># / base</x:v>
      </x:c>
      <x:c r="H681" s="20" t="n">
        <x:v>102</x:v>
      </x:c>
      <x:c r="I681" s="20" t="str">
        <x:v>Plan-Year Dummy</x:v>
      </x:c>
      <x:c r="J681" s="20" t="str">
        <x:v>YES</x:v>
      </x:c>
    </x:row>
    <x:row r="682">
      <x:c r="A682" s="20" t="str">
        <x:v>REC-L03_DEN</x:v>
      </x:c>
      <x:c r="B682" s="20" t="n">
        <x:v>2023</x:v>
      </x:c>
      <x:c r="C682" s="20" t="str">
        <x:v>Administración + Jurídico</x:v>
      </x:c>
      <x:c r="D682" s="20" t="str">
        <x:v>REC-L03</x:v>
      </x:c>
      <x:c r="E682" s="20" t="str">
        <x:v>DEN</x:v>
      </x:c>
      <x:c r="F682" s="20" t="str">
        <x:v>procesos críticos priorizados</x:v>
      </x:c>
      <x:c r="G682" s="20" t="str">
        <x:v># / base</x:v>
      </x:c>
      <x:c r="H682" s="20" t="n">
        <x:v>100</x:v>
      </x:c>
      <x:c r="I682" s="20" t="str">
        <x:v>Historical Dummy</x:v>
      </x:c>
      <x:c r="J682" s="20" t="str">
        <x:v>YES</x:v>
      </x:c>
    </x:row>
    <x:row r="683">
      <x:c r="A683" s="20" t="str">
        <x:v>REC-L03_DEN</x:v>
      </x:c>
      <x:c r="B683" s="20" t="n">
        <x:v>2024</x:v>
      </x:c>
      <x:c r="C683" s="20" t="str">
        <x:v>Administración + Jurídico</x:v>
      </x:c>
      <x:c r="D683" s="20" t="str">
        <x:v>REC-L03</x:v>
      </x:c>
      <x:c r="E683" s="20" t="str">
        <x:v>DEN</x:v>
      </x:c>
      <x:c r="F683" s="20" t="str">
        <x:v>procesos críticos priorizados</x:v>
      </x:c>
      <x:c r="G683" s="20" t="str">
        <x:v># / base</x:v>
      </x:c>
      <x:c r="H683" s="20" t="n">
        <x:v>108</x:v>
      </x:c>
      <x:c r="I683" s="20" t="str">
        <x:v>Historical Dummy</x:v>
      </x:c>
      <x:c r="J683" s="20" t="str">
        <x:v>YES</x:v>
      </x:c>
    </x:row>
    <x:row r="684">
      <x:c r="A684" s="20" t="str">
        <x:v>REC-L03_DEN</x:v>
      </x:c>
      <x:c r="B684" s="20" t="n">
        <x:v>2025</x:v>
      </x:c>
      <x:c r="C684" s="20" t="str">
        <x:v>Administración + Jurídico</x:v>
      </x:c>
      <x:c r="D684" s="20" t="str">
        <x:v>REC-L03</x:v>
      </x:c>
      <x:c r="E684" s="20" t="str">
        <x:v>DEN</x:v>
      </x:c>
      <x:c r="F684" s="20" t="str">
        <x:v>procesos críticos priorizados</x:v>
      </x:c>
      <x:c r="G684" s="20" t="str">
        <x:v># / base</x:v>
      </x:c>
      <x:c r="H684" s="20" t="n">
        <x:v>116</x:v>
      </x:c>
      <x:c r="I684" s="20" t="str">
        <x:v>Historical Dummy</x:v>
      </x:c>
      <x:c r="J684" s="20" t="str">
        <x:v>YES</x:v>
      </x:c>
    </x:row>
    <x:row r="685">
      <x:c r="A685" s="20" t="str">
        <x:v>REC-L03_DEN</x:v>
      </x:c>
      <x:c r="B685" s="20" t="n">
        <x:v>2026</x:v>
      </x:c>
      <x:c r="C685" s="20" t="str">
        <x:v>Administración + Jurídico</x:v>
      </x:c>
      <x:c r="D685" s="20" t="str">
        <x:v>REC-L03</x:v>
      </x:c>
      <x:c r="E685" s="20" t="str">
        <x:v>DEN</x:v>
      </x:c>
      <x:c r="F685" s="20" t="str">
        <x:v>procesos críticos priorizados</x:v>
      </x:c>
      <x:c r="G685" s="20" t="str">
        <x:v># / base</x:v>
      </x:c>
      <x:c r="H685" s="20" t="n">
        <x:v>125</x:v>
      </x:c>
      <x:c r="I685" s="20" t="str">
        <x:v>Plan-Year Dummy</x:v>
      </x:c>
      <x:c r="J685" s="20" t="str">
        <x:v>YES</x:v>
      </x:c>
    </x:row>
    <x:row r="686">
      <x:c r="A686" s="20" t="str">
        <x:v>REC-L04_NUM</x:v>
      </x:c>
      <x:c r="B686" s="20" t="n">
        <x:v>2023</x:v>
      </x:c>
      <x:c r="C686" s="20" t="str">
        <x:v>Dirección / RH</x:v>
      </x:c>
      <x:c r="D686" s="20" t="str">
        <x:v>REC-L04</x:v>
      </x:c>
      <x:c r="E686" s="20" t="str">
        <x:v>NUM</x:v>
      </x:c>
      <x:c r="F686" s="20" t="str">
        <x:v>Personas que completan y aprueban capacitación obligatoria</x:v>
      </x:c>
      <x:c r="G686" s="20" t="str">
        <x:v># / base</x:v>
      </x:c>
      <x:c r="H686" s="20" t="n">
        <x:v>84</x:v>
      </x:c>
      <x:c r="I686" s="20" t="str">
        <x:v>Historical Dummy</x:v>
      </x:c>
      <x:c r="J686" s="20" t="str">
        <x:v>YES</x:v>
      </x:c>
    </x:row>
    <x:row r="687">
      <x:c r="A687" s="20" t="str">
        <x:v>REC-L04_NUM</x:v>
      </x:c>
      <x:c r="B687" s="20" t="n">
        <x:v>2024</x:v>
      </x:c>
      <x:c r="C687" s="20" t="str">
        <x:v>Dirección / RH</x:v>
      </x:c>
      <x:c r="D687" s="20" t="str">
        <x:v>REC-L04</x:v>
      </x:c>
      <x:c r="E687" s="20" t="str">
        <x:v>NUM</x:v>
      </x:c>
      <x:c r="F687" s="20" t="str">
        <x:v>Personas que completan y aprueban capacitación obligatoria</x:v>
      </x:c>
      <x:c r="G687" s="20" t="str">
        <x:v># / base</x:v>
      </x:c>
      <x:c r="H687" s="20" t="n">
        <x:v>96</x:v>
      </x:c>
      <x:c r="I687" s="20" t="str">
        <x:v>Historical Dummy</x:v>
      </x:c>
      <x:c r="J687" s="20" t="str">
        <x:v>YES</x:v>
      </x:c>
    </x:row>
    <x:row r="688">
      <x:c r="A688" s="20" t="str">
        <x:v>REC-L04_NUM</x:v>
      </x:c>
      <x:c r="B688" s="20" t="n">
        <x:v>2025</x:v>
      </x:c>
      <x:c r="C688" s="20" t="str">
        <x:v>Dirección / RH</x:v>
      </x:c>
      <x:c r="D688" s="20" t="str">
        <x:v>REC-L04</x:v>
      </x:c>
      <x:c r="E688" s="20" t="str">
        <x:v>NUM</x:v>
      </x:c>
      <x:c r="F688" s="20" t="str">
        <x:v>Personas que completan y aprueban capacitación obligatoria</x:v>
      </x:c>
      <x:c r="G688" s="20" t="str">
        <x:v># / base</x:v>
      </x:c>
      <x:c r="H688" s="20" t="n">
        <x:v>109</x:v>
      </x:c>
      <x:c r="I688" s="20" t="str">
        <x:v>Historical Dummy</x:v>
      </x:c>
      <x:c r="J688" s="20" t="str">
        <x:v>YES</x:v>
      </x:c>
    </x:row>
    <x:row r="689">
      <x:c r="A689" s="20" t="str">
        <x:v>REC-L04_NUM</x:v>
      </x:c>
      <x:c r="B689" s="20" t="n">
        <x:v>2026</x:v>
      </x:c>
      <x:c r="C689" s="20" t="str">
        <x:v>Dirección / RH</x:v>
      </x:c>
      <x:c r="D689" s="20" t="str">
        <x:v>REC-L04</x:v>
      </x:c>
      <x:c r="E689" s="20" t="str">
        <x:v>NUM</x:v>
      </x:c>
      <x:c r="F689" s="20" t="str">
        <x:v>Personas que completan y aprueban capacitación obligatoria</x:v>
      </x:c>
      <x:c r="G689" s="20" t="str">
        <x:v># / base</x:v>
      </x:c>
      <x:c r="H689" s="20" t="n">
        <x:v>125</x:v>
      </x:c>
      <x:c r="I689" s="20" t="str">
        <x:v>Plan-Year Dummy</x:v>
      </x:c>
      <x:c r="J689" s="20" t="str">
        <x:v>YES</x:v>
      </x:c>
    </x:row>
    <x:row r="690">
      <x:c r="A690" s="20" t="str">
        <x:v>REC-L04_DEN</x:v>
      </x:c>
      <x:c r="B690" s="20" t="n">
        <x:v>2023</x:v>
      </x:c>
      <x:c r="C690" s="20" t="str">
        <x:v>Dirección / RH</x:v>
      </x:c>
      <x:c r="D690" s="20" t="str">
        <x:v>REC-L04</x:v>
      </x:c>
      <x:c r="E690" s="20" t="str">
        <x:v>DEN</x:v>
      </x:c>
      <x:c r="F690" s="20" t="str">
        <x:v>personas requeridas</x:v>
      </x:c>
      <x:c r="G690" s="20" t="str">
        <x:v># / base</x:v>
      </x:c>
      <x:c r="H690" s="20" t="n">
        <x:v>100</x:v>
      </x:c>
      <x:c r="I690" s="20" t="str">
        <x:v>Historical Dummy</x:v>
      </x:c>
      <x:c r="J690" s="20" t="str">
        <x:v>YES</x:v>
      </x:c>
    </x:row>
    <x:row r="691">
      <x:c r="A691" s="20" t="str">
        <x:v>REC-L04_DEN</x:v>
      </x:c>
      <x:c r="B691" s="20" t="n">
        <x:v>2024</x:v>
      </x:c>
      <x:c r="C691" s="20" t="str">
        <x:v>Dirección / RH</x:v>
      </x:c>
      <x:c r="D691" s="20" t="str">
        <x:v>REC-L04</x:v>
      </x:c>
      <x:c r="E691" s="20" t="str">
        <x:v>DEN</x:v>
      </x:c>
      <x:c r="F691" s="20" t="str">
        <x:v>personas requeridas</x:v>
      </x:c>
      <x:c r="G691" s="20" t="str">
        <x:v># / base</x:v>
      </x:c>
      <x:c r="H691" s="20" t="n">
        <x:v>108</x:v>
      </x:c>
      <x:c r="I691" s="20" t="str">
        <x:v>Historical Dummy</x:v>
      </x:c>
      <x:c r="J691" s="20" t="str">
        <x:v>YES</x:v>
      </x:c>
    </x:row>
    <x:row r="692">
      <x:c r="A692" s="20" t="str">
        <x:v>REC-L04_DEN</x:v>
      </x:c>
      <x:c r="B692" s="20" t="n">
        <x:v>2025</x:v>
      </x:c>
      <x:c r="C692" s="20" t="str">
        <x:v>Dirección / RH</x:v>
      </x:c>
      <x:c r="D692" s="20" t="str">
        <x:v>REC-L04</x:v>
      </x:c>
      <x:c r="E692" s="20" t="str">
        <x:v>DEN</x:v>
      </x:c>
      <x:c r="F692" s="20" t="str">
        <x:v>personas requeridas</x:v>
      </x:c>
      <x:c r="G692" s="20" t="str">
        <x:v># / base</x:v>
      </x:c>
      <x:c r="H692" s="20" t="n">
        <x:v>116</x:v>
      </x:c>
      <x:c r="I692" s="20" t="str">
        <x:v>Historical Dummy</x:v>
      </x:c>
      <x:c r="J692" s="20" t="str">
        <x:v>YES</x:v>
      </x:c>
    </x:row>
    <x:row r="693">
      <x:c r="A693" s="20" t="str">
        <x:v>REC-L04_DEN</x:v>
      </x:c>
      <x:c r="B693" s="20" t="n">
        <x:v>2026</x:v>
      </x:c>
      <x:c r="C693" s="20" t="str">
        <x:v>Dirección / RH</x:v>
      </x:c>
      <x:c r="D693" s="20" t="str">
        <x:v>REC-L04</x:v>
      </x:c>
      <x:c r="E693" s="20" t="str">
        <x:v>DEN</x:v>
      </x:c>
      <x:c r="F693" s="20" t="str">
        <x:v>personas requeridas</x:v>
      </x:c>
      <x:c r="G693" s="20" t="str">
        <x:v># / base</x:v>
      </x:c>
      <x:c r="H693" s="20" t="n">
        <x:v>125</x:v>
      </x:c>
      <x:c r="I693" s="20" t="str">
        <x:v>Plan-Year Dummy</x:v>
      </x:c>
      <x:c r="J693" s="20" t="str">
        <x:v>YES</x:v>
      </x:c>
    </x:row>
    <x:row r="694">
      <x:c r="A694" s="20" t="str">
        <x:v>REC-L05_NUM</x:v>
      </x:c>
      <x:c r="B694" s="20" t="n">
        <x:v>2023</x:v>
      </x:c>
      <x:c r="C694" s="20" t="str">
        <x:v>Todas las áreas</x:v>
      </x:c>
      <x:c r="D694" s="20" t="str">
        <x:v>REC-L05</x:v>
      </x:c>
      <x:c r="E694" s="20" t="str">
        <x:v>NUM</x:v>
      </x:c>
      <x:c r="F694" s="20" t="str">
        <x:v>Compromisos interárea cerrados en fecha y aceptados por receptor</x:v>
      </x:c>
      <x:c r="G694" s="20" t="str">
        <x:v>días</x:v>
      </x:c>
      <x:c r="H694" s="20" t="n">
        <x:v>34</x:v>
      </x:c>
      <x:c r="I694" s="20" t="str">
        <x:v>Historical Dummy</x:v>
      </x:c>
      <x:c r="J694" s="20" t="str">
        <x:v>YES</x:v>
      </x:c>
    </x:row>
    <x:row r="695">
      <x:c r="A695" s="20" t="str">
        <x:v>REC-L05_NUM</x:v>
      </x:c>
      <x:c r="B695" s="20" t="n">
        <x:v>2024</x:v>
      </x:c>
      <x:c r="C695" s="20" t="str">
        <x:v>Todas las áreas</x:v>
      </x:c>
      <x:c r="D695" s="20" t="str">
        <x:v>REC-L05</x:v>
      </x:c>
      <x:c r="E695" s="20" t="str">
        <x:v>NUM</x:v>
      </x:c>
      <x:c r="F695" s="20" t="str">
        <x:v>Compromisos interárea cerrados en fecha y aceptados por receptor</x:v>
      </x:c>
      <x:c r="G695" s="20" t="str">
        <x:v>días</x:v>
      </x:c>
      <x:c r="H695" s="20" t="n">
        <x:v>40</x:v>
      </x:c>
      <x:c r="I695" s="20" t="str">
        <x:v>Historical Dummy</x:v>
      </x:c>
      <x:c r="J695" s="20" t="str">
        <x:v>YES</x:v>
      </x:c>
    </x:row>
    <x:row r="696">
      <x:c r="A696" s="20" t="str">
        <x:v>REC-L05_NUM</x:v>
      </x:c>
      <x:c r="B696" s="20" t="n">
        <x:v>2025</x:v>
      </x:c>
      <x:c r="C696" s="20" t="str">
        <x:v>Todas las áreas</x:v>
      </x:c>
      <x:c r="D696" s="20" t="str">
        <x:v>REC-L05</x:v>
      </x:c>
      <x:c r="E696" s="20" t="str">
        <x:v>NUM</x:v>
      </x:c>
      <x:c r="F696" s="20" t="str">
        <x:v>Compromisos interárea cerrados en fecha y aceptados por receptor</x:v>
      </x:c>
      <x:c r="G696" s="20" t="str">
        <x:v>días</x:v>
      </x:c>
      <x:c r="H696" s="20" t="n">
        <x:v>45</x:v>
      </x:c>
      <x:c r="I696" s="20" t="str">
        <x:v>Historical Dummy</x:v>
      </x:c>
      <x:c r="J696" s="20" t="str">
        <x:v>YES</x:v>
      </x:c>
    </x:row>
    <x:row r="697">
      <x:c r="A697" s="20" t="str">
        <x:v>REC-L05_NUM</x:v>
      </x:c>
      <x:c r="B697" s="20" t="n">
        <x:v>2026</x:v>
      </x:c>
      <x:c r="C697" s="20" t="str">
        <x:v>Todas las áreas</x:v>
      </x:c>
      <x:c r="D697" s="20" t="str">
        <x:v>REC-L05</x:v>
      </x:c>
      <x:c r="E697" s="20" t="str">
        <x:v>NUM</x:v>
      </x:c>
      <x:c r="F697" s="20" t="str">
        <x:v>Compromisos interárea cerrados en fecha y aceptados por receptor</x:v>
      </x:c>
      <x:c r="G697" s="20" t="str">
        <x:v>días</x:v>
      </x:c>
      <x:c r="H697" s="20" t="n">
        <x:v>52</x:v>
      </x:c>
      <x:c r="I697" s="20" t="str">
        <x:v>Plan-Year Dummy</x:v>
      </x:c>
      <x:c r="J697" s="20" t="str">
        <x:v>YES</x:v>
      </x:c>
    </x:row>
    <x:row r="698">
      <x:c r="A698" s="20" t="str">
        <x:v>REC-L05_DEN</x:v>
      </x:c>
      <x:c r="B698" s="20" t="n">
        <x:v>2023</x:v>
      </x:c>
      <x:c r="C698" s="20" t="str">
        <x:v>Todas las áreas</x:v>
      </x:c>
      <x:c r="D698" s="20" t="str">
        <x:v>REC-L05</x:v>
      </x:c>
      <x:c r="E698" s="20" t="str">
        <x:v>DEN</x:v>
      </x:c>
      <x:c r="F698" s="20" t="str">
        <x:v>compromisos interárea vencidos</x:v>
      </x:c>
      <x:c r="G698" s="20" t="str">
        <x:v># / base</x:v>
      </x:c>
      <x:c r="H698" s="20" t="n">
        <x:v>45</x:v>
      </x:c>
      <x:c r="I698" s="20" t="str">
        <x:v>Historical Dummy</x:v>
      </x:c>
      <x:c r="J698" s="20" t="str">
        <x:v>YES</x:v>
      </x:c>
    </x:row>
    <x:row r="699">
      <x:c r="A699" s="20" t="str">
        <x:v>REC-L05_DEN</x:v>
      </x:c>
      <x:c r="B699" s="20" t="n">
        <x:v>2024</x:v>
      </x:c>
      <x:c r="C699" s="20" t="str">
        <x:v>Todas las áreas</x:v>
      </x:c>
      <x:c r="D699" s="20" t="str">
        <x:v>REC-L05</x:v>
      </x:c>
      <x:c r="E699" s="20" t="str">
        <x:v>DEN</x:v>
      </x:c>
      <x:c r="F699" s="20" t="str">
        <x:v>compromisos interárea vencidos</x:v>
      </x:c>
      <x:c r="G699" s="20" t="str">
        <x:v># / base</x:v>
      </x:c>
      <x:c r="H699" s="20" t="n">
        <x:v>49</x:v>
      </x:c>
      <x:c r="I699" s="20" t="str">
        <x:v>Historical Dummy</x:v>
      </x:c>
      <x:c r="J699" s="20" t="str">
        <x:v>YES</x:v>
      </x:c>
    </x:row>
    <x:row r="700">
      <x:c r="A700" s="20" t="str">
        <x:v>REC-L05_DEN</x:v>
      </x:c>
      <x:c r="B700" s="20" t="n">
        <x:v>2025</x:v>
      </x:c>
      <x:c r="C700" s="20" t="str">
        <x:v>Todas las áreas</x:v>
      </x:c>
      <x:c r="D700" s="20" t="str">
        <x:v>REC-L05</x:v>
      </x:c>
      <x:c r="E700" s="20" t="str">
        <x:v>DEN</x:v>
      </x:c>
      <x:c r="F700" s="20" t="str">
        <x:v>compromisos interárea vencidos</x:v>
      </x:c>
      <x:c r="G700" s="20" t="str">
        <x:v># / base</x:v>
      </x:c>
      <x:c r="H700" s="20" t="n">
        <x:v>52</x:v>
      </x:c>
      <x:c r="I700" s="20" t="str">
        <x:v>Historical Dummy</x:v>
      </x:c>
      <x:c r="J700" s="20" t="str">
        <x:v>YES</x:v>
      </x:c>
    </x:row>
    <x:row r="701">
      <x:c r="A701" s="20" t="str">
        <x:v>REC-L05_DEN</x:v>
      </x:c>
      <x:c r="B701" s="20" t="n">
        <x:v>2026</x:v>
      </x:c>
      <x:c r="C701" s="20" t="str">
        <x:v>Todas las áreas</x:v>
      </x:c>
      <x:c r="D701" s="20" t="str">
        <x:v>REC-L05</x:v>
      </x:c>
      <x:c r="E701" s="20" t="str">
        <x:v>DEN</x:v>
      </x:c>
      <x:c r="F701" s="20" t="str">
        <x:v>compromisos interárea vencidos</x:v>
      </x:c>
      <x:c r="G701" s="20" t="str">
        <x:v># / base</x:v>
      </x:c>
      <x:c r="H701" s="20" t="n">
        <x:v>56</x:v>
      </x:c>
      <x:c r="I701" s="20" t="str">
        <x:v>Plan-Year Dummy</x:v>
      </x:c>
      <x:c r="J701" s="20" t="str">
        <x:v>YES</x:v>
      </x:c>
    </x:row>
    <x:row r="702">
      <x:c r="A702" s="20" t="str">
        <x:v>REC-M02_NUM</x:v>
      </x:c>
      <x:c r="B702" s="20" t="n">
        <x:v>2023</x:v>
      </x:c>
      <x:c r="C702" s="20" t="str">
        <x:v>Marketing y Comunicación</x:v>
      </x:c>
      <x:c r="D702" s="20" t="str">
        <x:v>REC-M02</x:v>
      </x:c>
      <x:c r="E702" s="20" t="str">
        <x:v>NUM</x:v>
      </x:c>
      <x:c r="F702" s="20" t="str">
        <x:v>Costo incremental atribuible a captación</x:v>
      </x:c>
      <x:c r="G702" s="20" t="str">
        <x:v>USD</x:v>
      </x:c>
      <x:c r="H702" s="20" t="n">
        <x:v>176400</x:v>
      </x:c>
      <x:c r="I702" s="20" t="str">
        <x:v>Historical Dummy</x:v>
      </x:c>
      <x:c r="J702" s="20" t="str">
        <x:v>YES</x:v>
      </x:c>
    </x:row>
    <x:row r="703">
      <x:c r="A703" s="20" t="str">
        <x:v>REC-M02_NUM</x:v>
      </x:c>
      <x:c r="B703" s="20" t="n">
        <x:v>2024</x:v>
      </x:c>
      <x:c r="C703" s="20" t="str">
        <x:v>Marketing y Comunicación</x:v>
      </x:c>
      <x:c r="D703" s="20" t="str">
        <x:v>REC-M02</x:v>
      </x:c>
      <x:c r="E703" s="20" t="str">
        <x:v>NUM</x:v>
      </x:c>
      <x:c r="F703" s="20" t="str">
        <x:v>Costo incremental atribuible a captación</x:v>
      </x:c>
      <x:c r="G703" s="20" t="str">
        <x:v>USD</x:v>
      </x:c>
      <x:c r="H703" s="20" t="n">
        <x:v>172660</x:v>
      </x:c>
      <x:c r="I703" s="20" t="str">
        <x:v>Historical Dummy</x:v>
      </x:c>
      <x:c r="J703" s="20" t="str">
        <x:v>YES</x:v>
      </x:c>
    </x:row>
    <x:row r="704">
      <x:c r="A704" s="20" t="str">
        <x:v>REC-M02_NUM</x:v>
      </x:c>
      <x:c r="B704" s="20" t="n">
        <x:v>2025</x:v>
      </x:c>
      <x:c r="C704" s="20" t="str">
        <x:v>Marketing y Comunicación</x:v>
      </x:c>
      <x:c r="D704" s="20" t="str">
        <x:v>REC-M02</x:v>
      </x:c>
      <x:c r="E704" s="20" t="str">
        <x:v>NUM</x:v>
      </x:c>
      <x:c r="F704" s="20" t="str">
        <x:v>Costo incremental atribuible a captación</x:v>
      </x:c>
      <x:c r="G704" s="20" t="str">
        <x:v>USD</x:v>
      </x:c>
      <x:c r="H704" s="20" t="n">
        <x:v>171380</x:v>
      </x:c>
      <x:c r="I704" s="20" t="str">
        <x:v>Historical Dummy</x:v>
      </x:c>
      <x:c r="J704" s="20" t="str">
        <x:v>YES</x:v>
      </x:c>
    </x:row>
    <x:row r="705">
      <x:c r="A705" s="20" t="str">
        <x:v>REC-M02_NUM</x:v>
      </x:c>
      <x:c r="B705" s="20" t="n">
        <x:v>2026</x:v>
      </x:c>
      <x:c r="C705" s="20" t="str">
        <x:v>Marketing y Comunicación</x:v>
      </x:c>
      <x:c r="D705" s="20" t="str">
        <x:v>REC-M02</x:v>
      </x:c>
      <x:c r="E705" s="20" t="str">
        <x:v>NUM</x:v>
      </x:c>
      <x:c r="F705" s="20" t="str">
        <x:v>Costo incremental atribuible a captación</x:v>
      </x:c>
      <x:c r="G705" s="20" t="str">
        <x:v>USD</x:v>
      </x:c>
      <x:c r="H705" s="20" t="n">
        <x:v>171000</x:v>
      </x:c>
      <x:c r="I705" s="20" t="str">
        <x:v>Plan-Year Dummy</x:v>
      </x:c>
      <x:c r="J705" s="20" t="str">
        <x:v>YES</x:v>
      </x:c>
    </x:row>
    <x:row r="706">
      <x:c r="A706" s="20" t="str">
        <x:v>REC-M02_DEN</x:v>
      </x:c>
      <x:c r="B706" s="20" t="n">
        <x:v>2023</x:v>
      </x:c>
      <x:c r="C706" s="20" t="str">
        <x:v>Marketing y Comunicación</x:v>
      </x:c>
      <x:c r="D706" s="20" t="str">
        <x:v>REC-M02</x:v>
      </x:c>
      <x:c r="E706" s="20" t="str">
        <x:v>DEN</x:v>
      </x:c>
      <x:c r="F706" s="20" t="str">
        <x:v>nuevos donantes adquiridos atribuibles</x:v>
      </x:c>
      <x:c r="G706" s="20" t="str">
        <x:v># / base</x:v>
      </x:c>
      <x:c r="H706" s="20" t="n">
        <x:v>180</x:v>
      </x:c>
      <x:c r="I706" s="20" t="str">
        <x:v>Historical Dummy</x:v>
      </x:c>
      <x:c r="J706" s="20" t="str">
        <x:v>YES</x:v>
      </x:c>
    </x:row>
    <x:row r="707">
      <x:c r="A707" s="20" t="str">
        <x:v>REC-M02_DEN</x:v>
      </x:c>
      <x:c r="B707" s="20" t="n">
        <x:v>2024</x:v>
      </x:c>
      <x:c r="C707" s="20" t="str">
        <x:v>Marketing y Comunicación</x:v>
      </x:c>
      <x:c r="D707" s="20" t="str">
        <x:v>REC-M02</x:v>
      </x:c>
      <x:c r="E707" s="20" t="str">
        <x:v>DEN</x:v>
      </x:c>
      <x:c r="F707" s="20" t="str">
        <x:v>nuevos donantes adquiridos atribuibles</x:v>
      </x:c>
      <x:c r="G707" s="20" t="str">
        <x:v># / base</x:v>
      </x:c>
      <x:c r="H707" s="20" t="n">
        <x:v>194</x:v>
      </x:c>
      <x:c r="I707" s="20" t="str">
        <x:v>Historical Dummy</x:v>
      </x:c>
      <x:c r="J707" s="20" t="str">
        <x:v>YES</x:v>
      </x:c>
    </x:row>
    <x:row r="708">
      <x:c r="A708" s="20" t="str">
        <x:v>REC-M02_DEN</x:v>
      </x:c>
      <x:c r="B708" s="20" t="n">
        <x:v>2025</x:v>
      </x:c>
      <x:c r="C708" s="20" t="str">
        <x:v>Marketing y Comunicación</x:v>
      </x:c>
      <x:c r="D708" s="20" t="str">
        <x:v>REC-M02</x:v>
      </x:c>
      <x:c r="E708" s="20" t="str">
        <x:v>DEN</x:v>
      </x:c>
      <x:c r="F708" s="20" t="str">
        <x:v>nuevos donantes adquiridos atribuibles</x:v>
      </x:c>
      <x:c r="G708" s="20" t="str">
        <x:v># / base</x:v>
      </x:c>
      <x:c r="H708" s="20" t="n">
        <x:v>209</x:v>
      </x:c>
      <x:c r="I708" s="20" t="str">
        <x:v>Historical Dummy</x:v>
      </x:c>
      <x:c r="J708" s="20" t="str">
        <x:v>YES</x:v>
      </x:c>
    </x:row>
    <x:row r="709">
      <x:c r="A709" s="20" t="str">
        <x:v>REC-M02_DEN</x:v>
      </x:c>
      <x:c r="B709" s="20" t="n">
        <x:v>2026</x:v>
      </x:c>
      <x:c r="C709" s="20" t="str">
        <x:v>Marketing y Comunicación</x:v>
      </x:c>
      <x:c r="D709" s="20" t="str">
        <x:v>REC-M02</x:v>
      </x:c>
      <x:c r="E709" s="20" t="str">
        <x:v>DEN</x:v>
      </x:c>
      <x:c r="F709" s="20" t="str">
        <x:v>nuevos donantes adquiridos atribuibles</x:v>
      </x:c>
      <x:c r="G709" s="20" t="str">
        <x:v># / base</x:v>
      </x:c>
      <x:c r="H709" s="20" t="n">
        <x:v>225</x:v>
      </x:c>
      <x:c r="I709" s="20" t="str">
        <x:v>Plan-Year Dummy</x:v>
      </x:c>
      <x:c r="J709" s="20" t="str">
        <x:v>YES</x:v>
      </x:c>
    </x:row>
    <x:row r="710">
      <x:c r="A710" s="20" t="str">
        <x:v>REC-M03_NUM</x:v>
      </x:c>
      <x:c r="B710" s="20" t="n">
        <x:v>2023</x:v>
      </x:c>
      <x:c r="C710" s="20" t="str">
        <x:v>Marketing y Comunicación</x:v>
      </x:c>
      <x:c r="D710" s="20" t="str">
        <x:v>REC-M03</x:v>
      </x:c>
      <x:c r="E710" s="20" t="str">
        <x:v>NUM</x:v>
      </x:c>
      <x:c r="F710" s="20" t="str">
        <x:v>Piezas de comunicación de impacto que incluyen dato/evidencia validada</x:v>
      </x:c>
      <x:c r="G710" s="20" t="str">
        <x:v># / base</x:v>
      </x:c>
      <x:c r="H710" s="20" t="n">
        <x:v>101</x:v>
      </x:c>
      <x:c r="I710" s="20" t="str">
        <x:v>Historical Dummy</x:v>
      </x:c>
      <x:c r="J710" s="20" t="str">
        <x:v>YES</x:v>
      </x:c>
    </x:row>
    <x:row r="711">
      <x:c r="A711" s="20" t="str">
        <x:v>REC-M03_NUM</x:v>
      </x:c>
      <x:c r="B711" s="20" t="n">
        <x:v>2024</x:v>
      </x:c>
      <x:c r="C711" s="20" t="str">
        <x:v>Marketing y Comunicación</x:v>
      </x:c>
      <x:c r="D711" s="20" t="str">
        <x:v>REC-M03</x:v>
      </x:c>
      <x:c r="E711" s="20" t="str">
        <x:v>NUM</x:v>
      </x:c>
      <x:c r="F711" s="20" t="str">
        <x:v>Piezas de comunicación de impacto que incluyen dato/evidencia validada</x:v>
      </x:c>
      <x:c r="G711" s="20" t="str">
        <x:v># / base</x:v>
      </x:c>
      <x:c r="H711" s="20" t="n">
        <x:v>116</x:v>
      </x:c>
      <x:c r="I711" s="20" t="str">
        <x:v>Historical Dummy</x:v>
      </x:c>
      <x:c r="J711" s="20" t="str">
        <x:v>YES</x:v>
      </x:c>
    </x:row>
    <x:row r="712">
      <x:c r="A712" s="20" t="str">
        <x:v>REC-M03_NUM</x:v>
      </x:c>
      <x:c r="B712" s="20" t="n">
        <x:v>2025</x:v>
      </x:c>
      <x:c r="C712" s="20" t="str">
        <x:v>Marketing y Comunicación</x:v>
      </x:c>
      <x:c r="D712" s="20" t="str">
        <x:v>REC-M03</x:v>
      </x:c>
      <x:c r="E712" s="20" t="str">
        <x:v>NUM</x:v>
      </x:c>
      <x:c r="F712" s="20" t="str">
        <x:v>Piezas de comunicación de impacto que incluyen dato/evidencia validada</x:v>
      </x:c>
      <x:c r="G712" s="20" t="str">
        <x:v># / base</x:v>
      </x:c>
      <x:c r="H712" s="20" t="n">
        <x:v>131</x:v>
      </x:c>
      <x:c r="I712" s="20" t="str">
        <x:v>Historical Dummy</x:v>
      </x:c>
      <x:c r="J712" s="20" t="str">
        <x:v>YES</x:v>
      </x:c>
    </x:row>
    <x:row r="713">
      <x:c r="A713" s="20" t="str">
        <x:v>REC-M03_NUM</x:v>
      </x:c>
      <x:c r="B713" s="20" t="n">
        <x:v>2026</x:v>
      </x:c>
      <x:c r="C713" s="20" t="str">
        <x:v>Marketing y Comunicación</x:v>
      </x:c>
      <x:c r="D713" s="20" t="str">
        <x:v>REC-M03</x:v>
      </x:c>
      <x:c r="E713" s="20" t="str">
        <x:v>NUM</x:v>
      </x:c>
      <x:c r="F713" s="20" t="str">
        <x:v>Piezas de comunicación de impacto que incluyen dato/evidencia validada</x:v>
      </x:c>
      <x:c r="G713" s="20" t="str">
        <x:v># / base</x:v>
      </x:c>
      <x:c r="H713" s="20" t="n">
        <x:v>150</x:v>
      </x:c>
      <x:c r="I713" s="20" t="str">
        <x:v>Plan-Year Dummy</x:v>
      </x:c>
      <x:c r="J713" s="20" t="str">
        <x:v>YES</x:v>
      </x:c>
    </x:row>
    <x:row r="714">
      <x:c r="A714" s="20" t="str">
        <x:v>REC-M03_DEN</x:v>
      </x:c>
      <x:c r="B714" s="20" t="n">
        <x:v>2023</x:v>
      </x:c>
      <x:c r="C714" s="20" t="str">
        <x:v>Marketing y Comunicación</x:v>
      </x:c>
      <x:c r="D714" s="20" t="str">
        <x:v>REC-M03</x:v>
      </x:c>
      <x:c r="E714" s="20" t="str">
        <x:v>DEN</x:v>
      </x:c>
      <x:c r="F714" s="20" t="str">
        <x:v>piezas que comunican impacto</x:v>
      </x:c>
      <x:c r="G714" s="20" t="str">
        <x:v># / base</x:v>
      </x:c>
      <x:c r="H714" s="20" t="n">
        <x:v>120</x:v>
      </x:c>
      <x:c r="I714" s="20" t="str">
        <x:v>Historical Dummy</x:v>
      </x:c>
      <x:c r="J714" s="20" t="str">
        <x:v>YES</x:v>
      </x:c>
    </x:row>
    <x:row r="715">
      <x:c r="A715" s="20" t="str">
        <x:v>REC-M03_DEN</x:v>
      </x:c>
      <x:c r="B715" s="20" t="n">
        <x:v>2024</x:v>
      </x:c>
      <x:c r="C715" s="20" t="str">
        <x:v>Marketing y Comunicación</x:v>
      </x:c>
      <x:c r="D715" s="20" t="str">
        <x:v>REC-M03</x:v>
      </x:c>
      <x:c r="E715" s="20" t="str">
        <x:v>DEN</x:v>
      </x:c>
      <x:c r="F715" s="20" t="str">
        <x:v>piezas que comunican impacto</x:v>
      </x:c>
      <x:c r="G715" s="20" t="str">
        <x:v># / base</x:v>
      </x:c>
      <x:c r="H715" s="20" t="n">
        <x:v>130</x:v>
      </x:c>
      <x:c r="I715" s="20" t="str">
        <x:v>Historical Dummy</x:v>
      </x:c>
      <x:c r="J715" s="20" t="str">
        <x:v>YES</x:v>
      </x:c>
    </x:row>
    <x:row r="716">
      <x:c r="A716" s="20" t="str">
        <x:v>REC-M03_DEN</x:v>
      </x:c>
      <x:c r="B716" s="20" t="n">
        <x:v>2025</x:v>
      </x:c>
      <x:c r="C716" s="20" t="str">
        <x:v>Marketing y Comunicación</x:v>
      </x:c>
      <x:c r="D716" s="20" t="str">
        <x:v>REC-M03</x:v>
      </x:c>
      <x:c r="E716" s="20" t="str">
        <x:v>DEN</x:v>
      </x:c>
      <x:c r="F716" s="20" t="str">
        <x:v>piezas que comunican impacto</x:v>
      </x:c>
      <x:c r="G716" s="20" t="str">
        <x:v># / base</x:v>
      </x:c>
      <x:c r="H716" s="20" t="n">
        <x:v>139</x:v>
      </x:c>
      <x:c r="I716" s="20" t="str">
        <x:v>Historical Dummy</x:v>
      </x:c>
      <x:c r="J716" s="20" t="str">
        <x:v>YES</x:v>
      </x:c>
    </x:row>
    <x:row r="717">
      <x:c r="A717" s="20" t="str">
        <x:v>REC-M03_DEN</x:v>
      </x:c>
      <x:c r="B717" s="20" t="n">
        <x:v>2026</x:v>
      </x:c>
      <x:c r="C717" s="20" t="str">
        <x:v>Marketing y Comunicación</x:v>
      </x:c>
      <x:c r="D717" s="20" t="str">
        <x:v>REC-M03</x:v>
      </x:c>
      <x:c r="E717" s="20" t="str">
        <x:v>DEN</x:v>
      </x:c>
      <x:c r="F717" s="20" t="str">
        <x:v>piezas que comunican impacto</x:v>
      </x:c>
      <x:c r="G717" s="20" t="str">
        <x:v># / base</x:v>
      </x:c>
      <x:c r="H717" s="20" t="n">
        <x:v>150</x:v>
      </x:c>
      <x:c r="I717" s="20" t="str">
        <x:v>Plan-Year Dummy</x:v>
      </x:c>
      <x:c r="J717" s="20" t="str">
        <x:v>YES</x:v>
      </x:c>
    </x:row>
    <x:row r="718">
      <x:c r="A718" s="20" t="str">
        <x:v>REC-F07_P1</x:v>
      </x:c>
      <x:c r="B718" s="20" t="n">
        <x:v>2023</x:v>
      </x:c>
      <x:c r="C718" s="20" t="str">
        <x:v>Procuración de Fondos</x:v>
      </x:c>
      <x:c r="D718" s="20" t="str">
        <x:v>REC-F07</x:v>
      </x:c>
      <x:c r="E718" s="20" t="str">
        <x:v>P1</x:v>
      </x:c>
      <x:c r="F718" s="20" t="str">
        <x:v>Nuevos donantes recurrentes USA</x:v>
      </x:c>
      <x:c r="G718" s="20" t="str">
        <x:v>#</x:v>
      </x:c>
      <x:c r="H718" s="20" t="n">
        <x:v>3.92</x:v>
      </x:c>
      <x:c r="I718" s="20" t="str">
        <x:v>Historical Dummy</x:v>
      </x:c>
      <x:c r="J718" s="20" t="str">
        <x:v>YES</x:v>
      </x:c>
    </x:row>
    <x:row r="719">
      <x:c r="A719" s="20" t="str">
        <x:v>REC-F07_P1</x:v>
      </x:c>
      <x:c r="B719" s="20" t="n">
        <x:v>2024</x:v>
      </x:c>
      <x:c r="C719" s="20" t="str">
        <x:v>Procuración de Fondos</x:v>
      </x:c>
      <x:c r="D719" s="20" t="str">
        <x:v>REC-F07</x:v>
      </x:c>
      <x:c r="E719" s="20" t="str">
        <x:v>P1</x:v>
      </x:c>
      <x:c r="F719" s="20" t="str">
        <x:v>Nuevos donantes recurrentes USA</x:v>
      </x:c>
      <x:c r="G719" s="20" t="str">
        <x:v>#</x:v>
      </x:c>
      <x:c r="H719" s="20" t="n">
        <x:v>4.49</x:v>
      </x:c>
      <x:c r="I719" s="20" t="str">
        <x:v>Historical Dummy</x:v>
      </x:c>
      <x:c r="J719" s="20" t="str">
        <x:v>YES</x:v>
      </x:c>
    </x:row>
    <x:row r="720">
      <x:c r="A720" s="20" t="str">
        <x:v>REC-F07_P1</x:v>
      </x:c>
      <x:c r="B720" s="20" t="n">
        <x:v>2025</x:v>
      </x:c>
      <x:c r="C720" s="20" t="str">
        <x:v>Procuración de Fondos</x:v>
      </x:c>
      <x:c r="D720" s="20" t="str">
        <x:v>REC-F07</x:v>
      </x:c>
      <x:c r="E720" s="20" t="str">
        <x:v>P1</x:v>
      </x:c>
      <x:c r="F720" s="20" t="str">
        <x:v>Nuevos donantes recurrentes USA</x:v>
      </x:c>
      <x:c r="G720" s="20" t="str">
        <x:v>#</x:v>
      </x:c>
      <x:c r="H720" s="20" t="n">
        <x:v>5.13</x:v>
      </x:c>
      <x:c r="I720" s="20" t="str">
        <x:v>Historical Dummy</x:v>
      </x:c>
      <x:c r="J720" s="20" t="str">
        <x:v>YES</x:v>
      </x:c>
    </x:row>
    <x:row r="721">
      <x:c r="A721" s="20" t="str">
        <x:v>REC-F07_P1</x:v>
      </x:c>
      <x:c r="B721" s="20" t="n">
        <x:v>2026</x:v>
      </x:c>
      <x:c r="C721" s="20" t="str">
        <x:v>Procuración de Fondos</x:v>
      </x:c>
      <x:c r="D721" s="20" t="str">
        <x:v>REC-F07</x:v>
      </x:c>
      <x:c r="E721" s="20" t="str">
        <x:v>P1</x:v>
      </x:c>
      <x:c r="F721" s="20" t="str">
        <x:v>Nuevos donantes recurrentes USA</x:v>
      </x:c>
      <x:c r="G721" s="20" t="str">
        <x:v>#</x:v>
      </x:c>
      <x:c r="H721" s="20" t="n">
        <x:v>5.88</x:v>
      </x:c>
      <x:c r="I721" s="20" t="str">
        <x:v>Plan-Year Dummy</x:v>
      </x:c>
      <x:c r="J721" s="20" t="str">
        <x:v>YES</x:v>
      </x:c>
    </x:row>
    <x:row r="722">
      <x:c r="A722" s="20" t="str">
        <x:v>REC-F07_P2</x:v>
      </x:c>
      <x:c r="B722" s="20" t="n">
        <x:v>2023</x:v>
      </x:c>
      <x:c r="C722" s="20" t="str">
        <x:v>Procuración de Fondos</x:v>
      </x:c>
      <x:c r="D722" s="20" t="str">
        <x:v>REC-F07</x:v>
      </x:c>
      <x:c r="E722" s="20" t="str">
        <x:v>P2</x:v>
      </x:c>
      <x:c r="F722" s="20" t="str">
        <x:v>México</x:v>
      </x:c>
      <x:c r="G722" s="20" t="str">
        <x:v>#</x:v>
      </x:c>
      <x:c r="H722" s="20" t="n">
        <x:v>20.24</x:v>
      </x:c>
      <x:c r="I722" s="20" t="str">
        <x:v>Historical Dummy</x:v>
      </x:c>
      <x:c r="J722" s="20" t="str">
        <x:v>YES</x:v>
      </x:c>
    </x:row>
    <x:row r="723">
      <x:c r="A723" s="20" t="str">
        <x:v>REC-F07_P2</x:v>
      </x:c>
      <x:c r="B723" s="20" t="n">
        <x:v>2024</x:v>
      </x:c>
      <x:c r="C723" s="20" t="str">
        <x:v>Procuración de Fondos</x:v>
      </x:c>
      <x:c r="D723" s="20" t="str">
        <x:v>REC-F07</x:v>
      </x:c>
      <x:c r="E723" s="20" t="str">
        <x:v>P2</x:v>
      </x:c>
      <x:c r="F723" s="20" t="str">
        <x:v>México</x:v>
      </x:c>
      <x:c r="G723" s="20" t="str">
        <x:v>#</x:v>
      </x:c>
      <x:c r="H723" s="20" t="n">
        <x:v>23.21</x:v>
      </x:c>
      <x:c r="I723" s="20" t="str">
        <x:v>Historical Dummy</x:v>
      </x:c>
      <x:c r="J723" s="20" t="str">
        <x:v>YES</x:v>
      </x:c>
    </x:row>
    <x:row r="724">
      <x:c r="A724" s="20" t="str">
        <x:v>REC-F07_P2</x:v>
      </x:c>
      <x:c r="B724" s="20" t="n">
        <x:v>2025</x:v>
      </x:c>
      <x:c r="C724" s="20" t="str">
        <x:v>Procuración de Fondos</x:v>
      </x:c>
      <x:c r="D724" s="20" t="str">
        <x:v>REC-F07</x:v>
      </x:c>
      <x:c r="E724" s="20" t="str">
        <x:v>P2</x:v>
      </x:c>
      <x:c r="F724" s="20" t="str">
        <x:v>México</x:v>
      </x:c>
      <x:c r="G724" s="20" t="str">
        <x:v>#</x:v>
      </x:c>
      <x:c r="H724" s="20" t="n">
        <x:v>26.49</x:v>
      </x:c>
      <x:c r="I724" s="20" t="str">
        <x:v>Historical Dummy</x:v>
      </x:c>
      <x:c r="J724" s="20" t="str">
        <x:v>YES</x:v>
      </x:c>
    </x:row>
    <x:row r="725">
      <x:c r="A725" s="20" t="str">
        <x:v>REC-F07_P2</x:v>
      </x:c>
      <x:c r="B725" s="20" t="n">
        <x:v>2026</x:v>
      </x:c>
      <x:c r="C725" s="20" t="str">
        <x:v>Procuración de Fondos</x:v>
      </x:c>
      <x:c r="D725" s="20" t="str">
        <x:v>REC-F07</x:v>
      </x:c>
      <x:c r="E725" s="20" t="str">
        <x:v>P2</x:v>
      </x:c>
      <x:c r="F725" s="20" t="str">
        <x:v>México</x:v>
      </x:c>
      <x:c r="G725" s="20" t="str">
        <x:v>#</x:v>
      </x:c>
      <x:c r="H725" s="20" t="n">
        <x:v>30.36</x:v>
      </x:c>
      <x:c r="I725" s="20" t="str">
        <x:v>Plan-Year Dummy</x:v>
      </x:c>
      <x:c r="J725" s="20" t="str">
        <x:v>YES</x:v>
      </x:c>
    </x:row>
    <x:row r="726">
      <x:c r="A726" s="20" t="str">
        <x:v>REC-F07_P3</x:v>
      </x:c>
      <x:c r="B726" s="20" t="n">
        <x:v>2023</x:v>
      </x:c>
      <x:c r="C726" s="20" t="str">
        <x:v>Procuración de Fondos</x:v>
      </x:c>
      <x:c r="D726" s="20" t="str">
        <x:v>REC-F07</x:v>
      </x:c>
      <x:c r="E726" s="20" t="str">
        <x:v>P3</x:v>
      </x:c>
      <x:c r="F726" s="20" t="str">
        <x:v>Perú</x:v>
      </x:c>
      <x:c r="G726" s="20" t="str">
        <x:v>#</x:v>
      </x:c>
      <x:c r="H726" s="20" t="n">
        <x:v>5.22</x:v>
      </x:c>
      <x:c r="I726" s="20" t="str">
        <x:v>Historical Dummy</x:v>
      </x:c>
      <x:c r="J726" s="20" t="str">
        <x:v>YES</x:v>
      </x:c>
    </x:row>
    <x:row r="727">
      <x:c r="A727" s="20" t="str">
        <x:v>REC-F07_P3</x:v>
      </x:c>
      <x:c r="B727" s="20" t="n">
        <x:v>2024</x:v>
      </x:c>
      <x:c r="C727" s="20" t="str">
        <x:v>Procuración de Fondos</x:v>
      </x:c>
      <x:c r="D727" s="20" t="str">
        <x:v>REC-F07</x:v>
      </x:c>
      <x:c r="E727" s="20" t="str">
        <x:v>P3</x:v>
      </x:c>
      <x:c r="F727" s="20" t="str">
        <x:v>Perú</x:v>
      </x:c>
      <x:c r="G727" s="20" t="str">
        <x:v>#</x:v>
      </x:c>
      <x:c r="H727" s="20" t="n">
        <x:v>5.99</x:v>
      </x:c>
      <x:c r="I727" s="20" t="str">
        <x:v>Historical Dummy</x:v>
      </x:c>
      <x:c r="J727" s="20" t="str">
        <x:v>YES</x:v>
      </x:c>
    </x:row>
    <x:row r="728">
      <x:c r="A728" s="20" t="str">
        <x:v>REC-F07_P3</x:v>
      </x:c>
      <x:c r="B728" s="20" t="n">
        <x:v>2025</x:v>
      </x:c>
      <x:c r="C728" s="20" t="str">
        <x:v>Procuración de Fondos</x:v>
      </x:c>
      <x:c r="D728" s="20" t="str">
        <x:v>REC-F07</x:v>
      </x:c>
      <x:c r="E728" s="20" t="str">
        <x:v>P3</x:v>
      </x:c>
      <x:c r="F728" s="20" t="str">
        <x:v>Perú</x:v>
      </x:c>
      <x:c r="G728" s="20" t="str">
        <x:v>#</x:v>
      </x:c>
      <x:c r="H728" s="20" t="n">
        <x:v>6.84</x:v>
      </x:c>
      <x:c r="I728" s="20" t="str">
        <x:v>Historical Dummy</x:v>
      </x:c>
      <x:c r="J728" s="20" t="str">
        <x:v>YES</x:v>
      </x:c>
    </x:row>
    <x:row r="729">
      <x:c r="A729" s="20" t="str">
        <x:v>REC-F07_P3</x:v>
      </x:c>
      <x:c r="B729" s="20" t="n">
        <x:v>2026</x:v>
      </x:c>
      <x:c r="C729" s="20" t="str">
        <x:v>Procuración de Fondos</x:v>
      </x:c>
      <x:c r="D729" s="20" t="str">
        <x:v>REC-F07</x:v>
      </x:c>
      <x:c r="E729" s="20" t="str">
        <x:v>P3</x:v>
      </x:c>
      <x:c r="F729" s="20" t="str">
        <x:v>Perú</x:v>
      </x:c>
      <x:c r="G729" s="20" t="str">
        <x:v>#</x:v>
      </x:c>
      <x:c r="H729" s="20" t="n">
        <x:v>7.83</x:v>
      </x:c>
      <x:c r="I729" s="20" t="str">
        <x:v>Plan-Year Dummy</x:v>
      </x:c>
      <x:c r="J729" s="20" t="str">
        <x:v>YES</x:v>
      </x:c>
    </x:row>
    <x:row r="730">
      <x:c r="A730" s="20" t="str">
        <x:v>REC-F07_P4</x:v>
      </x:c>
      <x:c r="B730" s="20" t="n">
        <x:v>2023</x:v>
      </x:c>
      <x:c r="C730" s="20" t="str">
        <x:v>Procuración de Fondos</x:v>
      </x:c>
      <x:c r="D730" s="20" t="str">
        <x:v>REC-F07</x:v>
      </x:c>
      <x:c r="E730" s="20" t="str">
        <x:v>P4</x:v>
      </x:c>
      <x:c r="F730" s="20" t="str">
        <x:v>Colombia</x:v>
      </x:c>
      <x:c r="G730" s="20" t="str">
        <x:v>#</x:v>
      </x:c>
      <x:c r="H730" s="20" t="n">
        <x:v>3.26</x:v>
      </x:c>
      <x:c r="I730" s="20" t="str">
        <x:v>Historical Dummy</x:v>
      </x:c>
      <x:c r="J730" s="20" t="str">
        <x:v>YES</x:v>
      </x:c>
    </x:row>
    <x:row r="731">
      <x:c r="A731" s="20" t="str">
        <x:v>REC-F07_P4</x:v>
      </x:c>
      <x:c r="B731" s="20" t="n">
        <x:v>2024</x:v>
      </x:c>
      <x:c r="C731" s="20" t="str">
        <x:v>Procuración de Fondos</x:v>
      </x:c>
      <x:c r="D731" s="20" t="str">
        <x:v>REC-F07</x:v>
      </x:c>
      <x:c r="E731" s="20" t="str">
        <x:v>P4</x:v>
      </x:c>
      <x:c r="F731" s="20" t="str">
        <x:v>Colombia</x:v>
      </x:c>
      <x:c r="G731" s="20" t="str">
        <x:v>#</x:v>
      </x:c>
      <x:c r="H731" s="20" t="n">
        <x:v>3.74</x:v>
      </x:c>
      <x:c r="I731" s="20" t="str">
        <x:v>Historical Dummy</x:v>
      </x:c>
      <x:c r="J731" s="20" t="str">
        <x:v>YES</x:v>
      </x:c>
    </x:row>
    <x:row r="732">
      <x:c r="A732" s="20" t="str">
        <x:v>REC-F07_P4</x:v>
      </x:c>
      <x:c r="B732" s="20" t="n">
        <x:v>2025</x:v>
      </x:c>
      <x:c r="C732" s="20" t="str">
        <x:v>Procuración de Fondos</x:v>
      </x:c>
      <x:c r="D732" s="20" t="str">
        <x:v>REC-F07</x:v>
      </x:c>
      <x:c r="E732" s="20" t="str">
        <x:v>P4</x:v>
      </x:c>
      <x:c r="F732" s="20" t="str">
        <x:v>Colombia</x:v>
      </x:c>
      <x:c r="G732" s="20" t="str">
        <x:v>#</x:v>
      </x:c>
      <x:c r="H732" s="20" t="n">
        <x:v>4.27</x:v>
      </x:c>
      <x:c r="I732" s="20" t="str">
        <x:v>Historical Dummy</x:v>
      </x:c>
      <x:c r="J732" s="20" t="str">
        <x:v>YES</x:v>
      </x:c>
    </x:row>
    <x:row r="733">
      <x:c r="A733" s="20" t="str">
        <x:v>REC-F07_P4</x:v>
      </x:c>
      <x:c r="B733" s="20" t="n">
        <x:v>2026</x:v>
      </x:c>
      <x:c r="C733" s="20" t="str">
        <x:v>Procuración de Fondos</x:v>
      </x:c>
      <x:c r="D733" s="20" t="str">
        <x:v>REC-F07</x:v>
      </x:c>
      <x:c r="E733" s="20" t="str">
        <x:v>P4</x:v>
      </x:c>
      <x:c r="F733" s="20" t="str">
        <x:v>Colombia</x:v>
      </x:c>
      <x:c r="G733" s="20" t="str">
        <x:v>#</x:v>
      </x:c>
      <x:c r="H733" s="20" t="n">
        <x:v>4.9</x:v>
      </x:c>
      <x:c r="I733" s="20" t="str">
        <x:v>Plan-Year Dummy</x:v>
      </x:c>
      <x:c r="J733" s="20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c3b7144c8d44ac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0" hidden="0" customWidth="1"/>
  </x:cols>
  <x:sheetData>
    <x:row r="1" ht="28" customHeight="1">
      <x:c r="A1" s="56" t="str">
        <x:v>AI Copilot Prompt Contract — Recommended Prototype</x:v>
      </x:c>
      <x:c r="B1" s="56"/>
      <x:c r="C1" s="56"/>
      <x:c r="D1" s="56"/>
      <x:c r="E1" s="56"/>
      <x:c r="F1" s="56"/>
    </x:row>
    <x:row r="3" ht="42" customHeight="1">
      <x:c r="A3" s="10" t="str">
        <x:v>ROLE</x:v>
      </x:c>
      <x:c r="B3" s="20" t="str">
        <x:v>You are an organizational decision-support copilot for Fundación Jorge Vergara. Analyze KPI performance using only the supplied data context. Distinguish observations from hypotheses.</x:v>
      </x:c>
    </x:row>
    <x:row r="4" ht="42" customHeight="1">
      <x:c r="A4" s="10" t="str">
        <x:v>INPUT</x:v>
      </x:c>
      <x:c r="B4" s="20" t="str">
        <x:v>Selected KPI context + historical 2023–2026 values + 3Y baseline + target + thresholds + underlying values + related KPI context + strategy/objective + owner + governance fields.</x:v>
      </x:c>
    </x:row>
    <x:row r="5" ht="42" customHeight="1">
      <x:c r="A5" s="10" t="str">
        <x:v>RULE 1</x:v>
      </x:c>
      <x:c r="B5" s="20" t="str">
        <x:v>Never claim causality from correlation or from the relationship heuristic. Say 'may be associated' or 'investigate' unless causal evidence is supplied.</x:v>
      </x:c>
    </x:row>
    <x:row r="6" ht="42" customHeight="1">
      <x:c r="A6" s="10" t="str">
        <x:v>RULE 2</x:v>
      </x:c>
      <x:c r="B6" s="20" t="str">
        <x:v>Do not invent missing data. Explicitly name the data gap if a recommendation depends on information not present.</x:v>
      </x:c>
    </x:row>
    <x:row r="7" ht="42" customHeight="1">
      <x:c r="A7" s="10" t="str">
        <x:v>RULE 3</x:v>
      </x:c>
      <x:c r="B7" s="20" t="str">
        <x:v>Prioritize evidence from the selected KPI, then underlying values, then strategically related KPIs. Ignore unrelated noise.</x:v>
      </x:c>
    </x:row>
    <x:row r="8" ht="42" customHeight="1">
      <x:c r="A8" s="10" t="str">
        <x:v>RULE 4</x:v>
      </x:c>
      <x:c r="B8" s="20" t="str">
        <x:v>Recommended actions must be concrete, feasible, assigned to the relevant owner/area where possible, and tied to a measurable follow-up.</x:v>
      </x:c>
    </x:row>
    <x:row r="9" ht="42" customHeight="1">
      <x:c r="A9" s="10" t="str">
        <x:v>RULE 5</x:v>
      </x:c>
      <x:c r="B9" s="20" t="str">
        <x:v>AI recommends only. Human approval is required before changing targets, budgets, legal/compliance actions, employee consequences or external commitments.</x:v>
      </x:c>
    </x:row>
    <x:row r="10" ht="42" customHeight="1">
      <x:c r="A10" s="10" t="str">
        <x:v>OUTPUT — 1</x:v>
      </x:c>
      <x:c r="B10" s="20" t="str">
        <x:v>DIAGNOSIS: What is changing in the selected KPI?</x:v>
      </x:c>
    </x:row>
    <x:row r="11" ht="42" customHeight="1">
      <x:c r="A11" s="10" t="str">
        <x:v>OUTPUT — 2</x:v>
      </x:c>
      <x:c r="B11" s="20" t="str">
        <x:v>EVIDENCE: Which values/KPIs support the diagnosis? Quote KPI IDs and numbers.</x:v>
      </x:c>
    </x:row>
    <x:row r="12" ht="42" customHeight="1">
      <x:c r="A12" s="10" t="str">
        <x:v>OUTPUT — 3</x:v>
      </x:c>
      <x:c r="B12" s="20" t="str">
        <x:v>LIKELY DRIVERS: What should be investigated first? Separate evidence-backed drivers from hypotheses.</x:v>
      </x:c>
    </x:row>
    <x:row r="13" ht="42" customHeight="1">
      <x:c r="A13" s="10" t="str">
        <x:v>OUTPUT — 4</x:v>
      </x:c>
      <x:c r="B13" s="20" t="str">
        <x:v>RECOMMENDED ACTION: One to three concrete next actions, including owner and follow-up metric/timeframe where possible.</x:v>
      </x:c>
    </x:row>
    <x:row r="14" ht="42" customHeight="1">
      <x:c r="A14" s="10" t="str">
        <x:v>OUTPUT — 5</x:v>
      </x:c>
      <x:c r="B14" s="20" t="str">
        <x:v>CONFIDENCE &amp; DATA GAPS: High/Medium/Low confidence and what missing data would materially improve the decision.</x:v>
      </x:c>
    </x:row>
    <x:row r="17" ht="34" customHeight="1">
      <x:c r="A17" s="27" t="str">
        <x:v>Prototype warning: all numerical values in this workbook are synthetic/dummy. Replace with validated production data before operational use.</x:v>
      </x:c>
      <x:c r="B17" s="27"/>
      <x:c r="C17" s="27"/>
      <x:c r="D17" s="27"/>
      <x:c r="E17" s="27"/>
      <x:c r="F17" s="27"/>
    </x:row>
  </x:sheetData>
  <x:mergeCells>
    <x:mergeCell ref="A1:F1"/>
    <x:mergeCell ref="A17:F17"/>
  </x:mergeCells>
  <x:pageMargins left="0.7" right="0.7" top="0.75" bottom="0.75" header="0.3" footer="0.3"/>
</x:worksheet>
</file>